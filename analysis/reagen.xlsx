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bPK\Downloads\"/>
    </mc:Choice>
  </mc:AlternateContent>
  <xr:revisionPtr revIDLastSave="0" documentId="13_ncr:1_{9565E7FF-FBEA-4D10-8F17-5837329E5D9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Q_Harian" sheetId="42" state="hidden" r:id="rId1"/>
    <sheet name="Juli2026" sheetId="50" r:id="rId2"/>
    <sheet name="Aug2026" sheetId="52" r:id="rId3"/>
    <sheet name="PQ_Aug" sheetId="54" r:id="rId4"/>
    <sheet name="LIS_Aug" sheetId="53" r:id="rId5"/>
    <sheet name="PQ_Juli" sheetId="49" state="hidden" r:id="rId6"/>
    <sheet name="LIS_Juli" sheetId="48" state="hidden" r:id="rId7"/>
    <sheet name="LIS_Histori" sheetId="43" state="hidden" r:id="rId8"/>
    <sheet name="Mapping_Test" sheetId="38" r:id="rId9"/>
    <sheet name="Mapping_Test (2)" sheetId="39" state="hidden" r:id="rId10"/>
  </sheets>
  <definedNames>
    <definedName name="ExternalData_1" localSheetId="9" hidden="1">'Mapping_Test (2)'!$A$1:$C$248</definedName>
    <definedName name="ExternalData_1" localSheetId="0" hidden="1">PQ_Harian!$A$1:$AG$84</definedName>
    <definedName name="ExternalData_2" localSheetId="7" hidden="1">LIS_Histori!$A$1:$AI$891</definedName>
    <definedName name="ExternalData_3" localSheetId="6" hidden="1">LIS_Juli!$A$1:$AI$1000</definedName>
    <definedName name="ExternalData_4" localSheetId="5" hidden="1">PQ_Juli!$A$1:$AG$98</definedName>
    <definedName name="ExternalData_5" localSheetId="4" hidden="1">LIS_Aug!$A$1:$AI$115</definedName>
    <definedName name="ExternalData_6" localSheetId="3" hidden="1">PQ_Aug!$A$1:$AG$102</definedName>
    <definedName name="_xlnm.Print_Area" localSheetId="2">'Aug2026'!$A$1:$BB$107</definedName>
    <definedName name="_xlnm.Print_Area" localSheetId="1">Juli2026!$A$1:$BB$101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00" i="52" l="1" a="1"/>
  <c r="AB100" i="52" s="1"/>
  <c r="AC100" i="52" a="1"/>
  <c r="AC100" i="52" s="1"/>
  <c r="AE100" i="52" a="1"/>
  <c r="AE100" i="52" s="1"/>
  <c r="AB101" i="52" a="1"/>
  <c r="AB101" i="52"/>
  <c r="AC101" i="52" a="1"/>
  <c r="AC101" i="52" s="1"/>
  <c r="AE101" i="52" a="1"/>
  <c r="AE101" i="52" s="1"/>
  <c r="AB102" i="52" a="1"/>
  <c r="AB102" i="52" s="1"/>
  <c r="AC102" i="52" a="1"/>
  <c r="AC102" i="52" s="1"/>
  <c r="AE102" i="52" a="1"/>
  <c r="AE102" i="52" s="1"/>
  <c r="AB103" i="52" a="1"/>
  <c r="AB103" i="52" s="1"/>
  <c r="AC103" i="52" a="1"/>
  <c r="AC103" i="52" s="1"/>
  <c r="AE103" i="52" a="1"/>
  <c r="AE103" i="52" s="1"/>
  <c r="AB104" i="52" a="1"/>
  <c r="AB104" i="52" s="1"/>
  <c r="AC104" i="52" a="1"/>
  <c r="AC104" i="52" s="1"/>
  <c r="AE104" i="52" a="1"/>
  <c r="AE104" i="52" s="1"/>
  <c r="AB105" i="52" a="1"/>
  <c r="AB105" i="52"/>
  <c r="AC105" i="52" a="1"/>
  <c r="AC105" i="52" s="1"/>
  <c r="AE105" i="52" a="1"/>
  <c r="AE105" i="52" s="1"/>
  <c r="AB106" i="52" a="1"/>
  <c r="AB106" i="52" s="1"/>
  <c r="AC106" i="52" a="1"/>
  <c r="AC106" i="52" s="1"/>
  <c r="AE106" i="52" a="1"/>
  <c r="AE106" i="52" s="1"/>
  <c r="AB99" i="52" a="1"/>
  <c r="AB99" i="52" s="1"/>
  <c r="AC99" i="52" a="1"/>
  <c r="AC99" i="52" s="1"/>
  <c r="AE99" i="52" a="1"/>
  <c r="AE99" i="52" s="1"/>
  <c r="AB98" i="52" a="1"/>
  <c r="AB98" i="52" s="1"/>
  <c r="AE98" i="52" a="1"/>
  <c r="AE98" i="52" s="1"/>
  <c r="AB5" i="52" a="1"/>
  <c r="AB5" i="52"/>
  <c r="AC5" i="52" a="1"/>
  <c r="AC5" i="52" s="1"/>
  <c r="AE5" i="52" a="1"/>
  <c r="AE5" i="52" s="1"/>
  <c r="AB6" i="52" a="1"/>
  <c r="AB6" i="52" s="1"/>
  <c r="AC6" i="52" a="1"/>
  <c r="AC6" i="52" s="1"/>
  <c r="AE6" i="52" a="1"/>
  <c r="AE6" i="52" s="1"/>
  <c r="AB7" i="52" a="1"/>
  <c r="AB7" i="52"/>
  <c r="AC7" i="52" a="1"/>
  <c r="AC7" i="52" s="1"/>
  <c r="AE7" i="52" a="1"/>
  <c r="AE7" i="52" s="1"/>
  <c r="AB8" i="52" a="1"/>
  <c r="AB8" i="52"/>
  <c r="AC8" i="52" a="1"/>
  <c r="AC8" i="52" s="1"/>
  <c r="AE8" i="52" a="1"/>
  <c r="AE8" i="52" s="1"/>
  <c r="AB9" i="52" a="1"/>
  <c r="AB9" i="52" s="1"/>
  <c r="AC9" i="52" a="1"/>
  <c r="AC9" i="52" s="1"/>
  <c r="AE9" i="52" a="1"/>
  <c r="AE9" i="52" s="1"/>
  <c r="AB10" i="52" a="1"/>
  <c r="AB10" i="52"/>
  <c r="AC10" i="52" a="1"/>
  <c r="AC10" i="52"/>
  <c r="AE10" i="52" a="1"/>
  <c r="AE10" i="52" s="1"/>
  <c r="AB11" i="52" a="1"/>
  <c r="AB11" i="52" s="1"/>
  <c r="AC11" i="52" a="1"/>
  <c r="AC11" i="52" s="1"/>
  <c r="AE11" i="52" a="1"/>
  <c r="AE11" i="52" s="1"/>
  <c r="AB12" i="52" a="1"/>
  <c r="AB12" i="52" s="1"/>
  <c r="AC12" i="52" a="1"/>
  <c r="AC12" i="52" s="1"/>
  <c r="AE12" i="52" a="1"/>
  <c r="AE12" i="52" s="1"/>
  <c r="AB13" i="52" a="1"/>
  <c r="AB13" i="52" s="1"/>
  <c r="AC13" i="52" a="1"/>
  <c r="AC13" i="52" s="1"/>
  <c r="AE13" i="52" a="1"/>
  <c r="AE13" i="52" s="1"/>
  <c r="AB14" i="52" a="1"/>
  <c r="AB14" i="52" s="1"/>
  <c r="AC14" i="52" a="1"/>
  <c r="AC14" i="52" s="1"/>
  <c r="AE14" i="52" a="1"/>
  <c r="AE14" i="52" s="1"/>
  <c r="AB15" i="52" a="1"/>
  <c r="AB15" i="52" s="1"/>
  <c r="AC15" i="52" a="1"/>
  <c r="AC15" i="52" s="1"/>
  <c r="AE15" i="52" a="1"/>
  <c r="AE15" i="52" s="1"/>
  <c r="AB16" i="52" a="1"/>
  <c r="AB16" i="52" s="1"/>
  <c r="AC16" i="52" a="1"/>
  <c r="AC16" i="52" s="1"/>
  <c r="AE16" i="52" a="1"/>
  <c r="AE16" i="52" s="1"/>
  <c r="AB17" i="52" a="1"/>
  <c r="AB17" i="52" s="1"/>
  <c r="AC17" i="52" a="1"/>
  <c r="AC17" i="52" s="1"/>
  <c r="AE17" i="52" a="1"/>
  <c r="AE17" i="52" s="1"/>
  <c r="AB18" i="52" a="1"/>
  <c r="AB18" i="52" s="1"/>
  <c r="AC18" i="52" a="1"/>
  <c r="AC18" i="52"/>
  <c r="AE18" i="52" a="1"/>
  <c r="AE18" i="52" s="1"/>
  <c r="AB19" i="52" a="1"/>
  <c r="AB19" i="52" s="1"/>
  <c r="AC19" i="52" a="1"/>
  <c r="AC19" i="52" s="1"/>
  <c r="AE19" i="52" a="1"/>
  <c r="AE19" i="52" s="1"/>
  <c r="AB20" i="52" a="1"/>
  <c r="AB20" i="52" s="1"/>
  <c r="AC20" i="52" a="1"/>
  <c r="AC20" i="52"/>
  <c r="AE20" i="52" a="1"/>
  <c r="AE20" i="52" s="1"/>
  <c r="AB21" i="52" a="1"/>
  <c r="AB21" i="52" s="1"/>
  <c r="AC21" i="52" a="1"/>
  <c r="AC21" i="52" s="1"/>
  <c r="AE21" i="52" a="1"/>
  <c r="AE21" i="52" s="1"/>
  <c r="AB22" i="52" a="1"/>
  <c r="AB22" i="52" s="1"/>
  <c r="AC22" i="52" a="1"/>
  <c r="AC22" i="52" s="1"/>
  <c r="AE22" i="52" a="1"/>
  <c r="AE22" i="52" s="1"/>
  <c r="AB23" i="52" a="1"/>
  <c r="AB23" i="52" s="1"/>
  <c r="AC23" i="52" a="1"/>
  <c r="AC23" i="52" s="1"/>
  <c r="AE23" i="52" a="1"/>
  <c r="AE23" i="52" s="1"/>
  <c r="AB24" i="52" a="1"/>
  <c r="AB24" i="52" s="1"/>
  <c r="AC24" i="52" a="1"/>
  <c r="AC24" i="52" s="1"/>
  <c r="AE24" i="52" a="1"/>
  <c r="AE24" i="52" s="1"/>
  <c r="AB25" i="52" a="1"/>
  <c r="AB25" i="52" s="1"/>
  <c r="AC25" i="52" a="1"/>
  <c r="AC25" i="52" s="1"/>
  <c r="AE25" i="52" a="1"/>
  <c r="AE25" i="52" s="1"/>
  <c r="AB26" i="52" a="1"/>
  <c r="AB26" i="52" s="1"/>
  <c r="AC26" i="52" a="1"/>
  <c r="AC26" i="52" s="1"/>
  <c r="AE26" i="52" a="1"/>
  <c r="AE26" i="52" s="1"/>
  <c r="AB27" i="52" a="1"/>
  <c r="AB27" i="52" s="1"/>
  <c r="AC27" i="52" a="1"/>
  <c r="AC27" i="52" s="1"/>
  <c r="AE27" i="52" a="1"/>
  <c r="AE27" i="52" s="1"/>
  <c r="AB28" i="52" a="1"/>
  <c r="AB28" i="52" s="1"/>
  <c r="AC28" i="52" a="1"/>
  <c r="AC28" i="52" s="1"/>
  <c r="AE28" i="52" a="1"/>
  <c r="AE28" i="52" s="1"/>
  <c r="AB29" i="52" a="1"/>
  <c r="AB29" i="52" s="1"/>
  <c r="AC29" i="52" a="1"/>
  <c r="AC29" i="52" s="1"/>
  <c r="AE29" i="52" a="1"/>
  <c r="AE29" i="52" s="1"/>
  <c r="AB30" i="52" a="1"/>
  <c r="AB30" i="52" s="1"/>
  <c r="AC30" i="52" a="1"/>
  <c r="AC30" i="52" s="1"/>
  <c r="AE30" i="52" a="1"/>
  <c r="AE30" i="52" s="1"/>
  <c r="AB31" i="52" a="1"/>
  <c r="AB31" i="52" s="1"/>
  <c r="AC31" i="52" a="1"/>
  <c r="AC31" i="52" s="1"/>
  <c r="AE31" i="52" a="1"/>
  <c r="AE31" i="52" s="1"/>
  <c r="AB32" i="52" a="1"/>
  <c r="AB32" i="52" s="1"/>
  <c r="AC32" i="52" a="1"/>
  <c r="AC32" i="52" s="1"/>
  <c r="AE32" i="52" a="1"/>
  <c r="AE32" i="52" s="1"/>
  <c r="AB33" i="52" a="1"/>
  <c r="AB33" i="52" s="1"/>
  <c r="AC33" i="52" a="1"/>
  <c r="AC33" i="52" s="1"/>
  <c r="AE33" i="52" a="1"/>
  <c r="AE33" i="52" s="1"/>
  <c r="AB34" i="52" a="1"/>
  <c r="AB34" i="52" s="1"/>
  <c r="AC34" i="52" a="1"/>
  <c r="AC34" i="52" s="1"/>
  <c r="AE34" i="52" a="1"/>
  <c r="AE34" i="52" s="1"/>
  <c r="AB35" i="52" a="1"/>
  <c r="AB35" i="52" s="1"/>
  <c r="AC35" i="52" a="1"/>
  <c r="AC35" i="52" s="1"/>
  <c r="AE35" i="52" a="1"/>
  <c r="AE35" i="52" s="1"/>
  <c r="AB36" i="52" a="1"/>
  <c r="AB36" i="52" s="1"/>
  <c r="AC36" i="52" a="1"/>
  <c r="AC36" i="52" s="1"/>
  <c r="AE36" i="52" a="1"/>
  <c r="AE36" i="52" s="1"/>
  <c r="AB37" i="52" a="1"/>
  <c r="AB37" i="52" s="1"/>
  <c r="AC37" i="52" a="1"/>
  <c r="AC37" i="52" s="1"/>
  <c r="AE37" i="52" a="1"/>
  <c r="AE37" i="52" s="1"/>
  <c r="AB38" i="52" a="1"/>
  <c r="AB38" i="52" s="1"/>
  <c r="AC38" i="52" a="1"/>
  <c r="AC38" i="52" s="1"/>
  <c r="AE38" i="52" a="1"/>
  <c r="AE38" i="52" s="1"/>
  <c r="AB39" i="52" a="1"/>
  <c r="AB39" i="52" s="1"/>
  <c r="AC39" i="52" a="1"/>
  <c r="AC39" i="52" s="1"/>
  <c r="AE39" i="52" a="1"/>
  <c r="AE39" i="52" s="1"/>
  <c r="AB40" i="52" a="1"/>
  <c r="AB40" i="52" s="1"/>
  <c r="AC40" i="52" a="1"/>
  <c r="AC40" i="52" s="1"/>
  <c r="AE40" i="52" a="1"/>
  <c r="AE40" i="52" s="1"/>
  <c r="AB41" i="52" a="1"/>
  <c r="AB41" i="52" s="1"/>
  <c r="AC41" i="52" a="1"/>
  <c r="AC41" i="52" s="1"/>
  <c r="AE41" i="52" a="1"/>
  <c r="AE41" i="52" s="1"/>
  <c r="AB42" i="52" a="1"/>
  <c r="AB42" i="52" s="1"/>
  <c r="AC42" i="52" a="1"/>
  <c r="AC42" i="52" s="1"/>
  <c r="AE42" i="52" a="1"/>
  <c r="AE42" i="52" s="1"/>
  <c r="AB43" i="52" a="1"/>
  <c r="AB43" i="52" s="1"/>
  <c r="AC43" i="52" a="1"/>
  <c r="AC43" i="52" s="1"/>
  <c r="AE43" i="52" a="1"/>
  <c r="AE43" i="52" s="1"/>
  <c r="AB44" i="52" a="1"/>
  <c r="AB44" i="52" s="1"/>
  <c r="AC44" i="52" a="1"/>
  <c r="AC44" i="52" s="1"/>
  <c r="AE44" i="52" a="1"/>
  <c r="AE44" i="52"/>
  <c r="AB45" i="52" a="1"/>
  <c r="AB45" i="52" s="1"/>
  <c r="AC45" i="52" a="1"/>
  <c r="AC45" i="52" s="1"/>
  <c r="AE45" i="52" a="1"/>
  <c r="AE45" i="52" s="1"/>
  <c r="AB46" i="52" a="1"/>
  <c r="AB46" i="52" s="1"/>
  <c r="AC46" i="52" a="1"/>
  <c r="AC46" i="52" s="1"/>
  <c r="AE46" i="52" a="1"/>
  <c r="AE46" i="52" s="1"/>
  <c r="AB47" i="52" a="1"/>
  <c r="AB47" i="52" s="1"/>
  <c r="AC47" i="52" a="1"/>
  <c r="AC47" i="52" s="1"/>
  <c r="AE47" i="52" a="1"/>
  <c r="AE47" i="52" s="1"/>
  <c r="AB48" i="52" a="1"/>
  <c r="AB48" i="52" s="1"/>
  <c r="AC48" i="52" a="1"/>
  <c r="AC48" i="52" s="1"/>
  <c r="AE48" i="52" a="1"/>
  <c r="AE48" i="52"/>
  <c r="AB49" i="52" a="1"/>
  <c r="AB49" i="52" s="1"/>
  <c r="AC49" i="52" a="1"/>
  <c r="AC49" i="52" s="1"/>
  <c r="AE49" i="52" a="1"/>
  <c r="AE49" i="52" s="1"/>
  <c r="AB50" i="52" a="1"/>
  <c r="AB50" i="52" s="1"/>
  <c r="AC50" i="52" a="1"/>
  <c r="AC50" i="52" s="1"/>
  <c r="AE50" i="52" a="1"/>
  <c r="AE50" i="52" s="1"/>
  <c r="AB51" i="52" a="1"/>
  <c r="AB51" i="52" s="1"/>
  <c r="AC51" i="52" a="1"/>
  <c r="AC51" i="52" s="1"/>
  <c r="AE51" i="52" a="1"/>
  <c r="AE51" i="52" s="1"/>
  <c r="AB52" i="52" a="1"/>
  <c r="AB52" i="52" s="1"/>
  <c r="AC52" i="52" a="1"/>
  <c r="AC52" i="52" s="1"/>
  <c r="AE52" i="52" a="1"/>
  <c r="AE52" i="52" s="1"/>
  <c r="AB53" i="52" a="1"/>
  <c r="AB53" i="52" s="1"/>
  <c r="AC53" i="52" a="1"/>
  <c r="AC53" i="52" s="1"/>
  <c r="AE53" i="52" a="1"/>
  <c r="AE53" i="52" s="1"/>
  <c r="AB54" i="52" a="1"/>
  <c r="AB54" i="52" s="1"/>
  <c r="AC54" i="52" a="1"/>
  <c r="AC54" i="52" s="1"/>
  <c r="AE54" i="52" a="1"/>
  <c r="AE54" i="52" s="1"/>
  <c r="AB55" i="52" a="1"/>
  <c r="AB55" i="52" s="1"/>
  <c r="AC55" i="52" a="1"/>
  <c r="AC55" i="52" s="1"/>
  <c r="AE55" i="52" a="1"/>
  <c r="AE55" i="52" s="1"/>
  <c r="AB56" i="52" a="1"/>
  <c r="AB56" i="52" s="1"/>
  <c r="AC56" i="52" a="1"/>
  <c r="AC56" i="52" s="1"/>
  <c r="AE56" i="52" a="1"/>
  <c r="AE56" i="52" s="1"/>
  <c r="AB57" i="52" a="1"/>
  <c r="AB57" i="52" s="1"/>
  <c r="AC57" i="52" a="1"/>
  <c r="AC57" i="52" s="1"/>
  <c r="AE57" i="52" a="1"/>
  <c r="AE57" i="52" s="1"/>
  <c r="AB58" i="52" a="1"/>
  <c r="AB58" i="52" s="1"/>
  <c r="AC58" i="52" a="1"/>
  <c r="AC58" i="52" s="1"/>
  <c r="AE58" i="52" a="1"/>
  <c r="AE58" i="52" s="1"/>
  <c r="AB59" i="52" a="1"/>
  <c r="AB59" i="52" s="1"/>
  <c r="AC59" i="52" a="1"/>
  <c r="AC59" i="52" s="1"/>
  <c r="AE59" i="52" a="1"/>
  <c r="AE59" i="52" s="1"/>
  <c r="AB60" i="52" a="1"/>
  <c r="AB60" i="52" s="1"/>
  <c r="AC60" i="52" a="1"/>
  <c r="AC60" i="52" s="1"/>
  <c r="AE60" i="52" a="1"/>
  <c r="AE60" i="52" s="1"/>
  <c r="AB61" i="52" a="1"/>
  <c r="AB61" i="52" s="1"/>
  <c r="AC61" i="52" a="1"/>
  <c r="AC61" i="52" s="1"/>
  <c r="AE61" i="52" a="1"/>
  <c r="AE61" i="52" s="1"/>
  <c r="AB62" i="52" a="1"/>
  <c r="AB62" i="52" s="1"/>
  <c r="AC62" i="52" a="1"/>
  <c r="AC62" i="52" s="1"/>
  <c r="AE62" i="52" a="1"/>
  <c r="AE62" i="52" s="1"/>
  <c r="AB63" i="52" a="1"/>
  <c r="AB63" i="52" s="1"/>
  <c r="AC63" i="52" a="1"/>
  <c r="AC63" i="52" s="1"/>
  <c r="AE63" i="52" a="1"/>
  <c r="AE63" i="52" s="1"/>
  <c r="AB64" i="52" a="1"/>
  <c r="AB64" i="52" s="1"/>
  <c r="AC64" i="52" a="1"/>
  <c r="AC64" i="52" s="1"/>
  <c r="AE64" i="52" a="1"/>
  <c r="AE64" i="52" s="1"/>
  <c r="AB65" i="52" a="1"/>
  <c r="AB65" i="52" s="1"/>
  <c r="AC65" i="52" a="1"/>
  <c r="AC65" i="52" s="1"/>
  <c r="AE65" i="52" a="1"/>
  <c r="AE65" i="52" s="1"/>
  <c r="AB66" i="52" a="1"/>
  <c r="AB66" i="52" s="1"/>
  <c r="AC66" i="52" a="1"/>
  <c r="AC66" i="52" s="1"/>
  <c r="AE66" i="52" a="1"/>
  <c r="AE66" i="52" s="1"/>
  <c r="AB67" i="52" a="1"/>
  <c r="AB67" i="52" s="1"/>
  <c r="AC67" i="52" a="1"/>
  <c r="AC67" i="52" s="1"/>
  <c r="AE67" i="52" a="1"/>
  <c r="AE67" i="52" s="1"/>
  <c r="AB68" i="52" a="1"/>
  <c r="AB68" i="52" s="1"/>
  <c r="AC68" i="52" a="1"/>
  <c r="AC68" i="52" s="1"/>
  <c r="AE68" i="52" a="1"/>
  <c r="AE68" i="52" s="1"/>
  <c r="AB69" i="52" a="1"/>
  <c r="AB69" i="52" s="1"/>
  <c r="AC69" i="52" a="1"/>
  <c r="AC69" i="52" s="1"/>
  <c r="AE69" i="52" a="1"/>
  <c r="AE69" i="52" s="1"/>
  <c r="AB70" i="52" a="1"/>
  <c r="AB70" i="52" s="1"/>
  <c r="AC70" i="52" a="1"/>
  <c r="AC70" i="52" s="1"/>
  <c r="AE70" i="52" a="1"/>
  <c r="AE70" i="52" s="1"/>
  <c r="AB71" i="52" a="1"/>
  <c r="AB71" i="52" s="1"/>
  <c r="AC71" i="52" a="1"/>
  <c r="AC71" i="52" s="1"/>
  <c r="AE71" i="52" a="1"/>
  <c r="AE71" i="52" s="1"/>
  <c r="AB72" i="52" a="1"/>
  <c r="AB72" i="52" s="1"/>
  <c r="AC72" i="52" a="1"/>
  <c r="AC72" i="52" s="1"/>
  <c r="AE72" i="52" a="1"/>
  <c r="AE72" i="52" s="1"/>
  <c r="AB73" i="52" a="1"/>
  <c r="AB73" i="52" s="1"/>
  <c r="AC73" i="52" a="1"/>
  <c r="AC73" i="52" s="1"/>
  <c r="AE73" i="52" a="1"/>
  <c r="AE73" i="52" s="1"/>
  <c r="AB74" i="52" a="1"/>
  <c r="AB74" i="52" s="1"/>
  <c r="AC74" i="52" a="1"/>
  <c r="AC74" i="52" s="1"/>
  <c r="AE74" i="52" a="1"/>
  <c r="AE74" i="52" s="1"/>
  <c r="AB75" i="52" a="1"/>
  <c r="AB75" i="52" s="1"/>
  <c r="AC75" i="52" a="1"/>
  <c r="AC75" i="52" s="1"/>
  <c r="AE75" i="52" a="1"/>
  <c r="AE75" i="52" s="1"/>
  <c r="AB76" i="52" a="1"/>
  <c r="AB76" i="52" s="1"/>
  <c r="AC76" i="52" a="1"/>
  <c r="AC76" i="52" s="1"/>
  <c r="AE76" i="52" a="1"/>
  <c r="AE76" i="52" s="1"/>
  <c r="AB77" i="52" a="1"/>
  <c r="AB77" i="52" s="1"/>
  <c r="AC77" i="52" a="1"/>
  <c r="AC77" i="52" s="1"/>
  <c r="AE77" i="52" a="1"/>
  <c r="AE77" i="52" s="1"/>
  <c r="AB78" i="52" a="1"/>
  <c r="AB78" i="52" s="1"/>
  <c r="AC78" i="52" a="1"/>
  <c r="AC78" i="52" s="1"/>
  <c r="AE78" i="52" a="1"/>
  <c r="AE78" i="52" s="1"/>
  <c r="AB79" i="52" a="1"/>
  <c r="AB79" i="52" s="1"/>
  <c r="AC79" i="52" a="1"/>
  <c r="AC79" i="52" s="1"/>
  <c r="AE79" i="52" a="1"/>
  <c r="AE79" i="52" s="1"/>
  <c r="AB80" i="52" a="1"/>
  <c r="AB80" i="52" s="1"/>
  <c r="AC80" i="52" a="1"/>
  <c r="AC80" i="52" s="1"/>
  <c r="AE80" i="52" a="1"/>
  <c r="AE80" i="52" s="1"/>
  <c r="AB81" i="52" a="1"/>
  <c r="AB81" i="52" s="1"/>
  <c r="AC81" i="52" a="1"/>
  <c r="AC81" i="52" s="1"/>
  <c r="AE81" i="52" a="1"/>
  <c r="AE81" i="52" s="1"/>
  <c r="AB82" i="52" a="1"/>
  <c r="AB82" i="52" s="1"/>
  <c r="AC82" i="52" a="1"/>
  <c r="AC82" i="52" s="1"/>
  <c r="AE82" i="52" a="1"/>
  <c r="AE82" i="52" s="1"/>
  <c r="AB83" i="52" a="1"/>
  <c r="AB83" i="52" s="1"/>
  <c r="AC83" i="52" a="1"/>
  <c r="AC83" i="52" s="1"/>
  <c r="AE83" i="52" a="1"/>
  <c r="AE83" i="52" s="1"/>
  <c r="AB84" i="52" a="1"/>
  <c r="AB84" i="52" s="1"/>
  <c r="AC84" i="52" a="1"/>
  <c r="AC84" i="52" s="1"/>
  <c r="AE84" i="52" a="1"/>
  <c r="AE84" i="52" s="1"/>
  <c r="AB85" i="52" a="1"/>
  <c r="AB85" i="52" s="1"/>
  <c r="AC85" i="52" a="1"/>
  <c r="AC85" i="52" s="1"/>
  <c r="AE85" i="52" a="1"/>
  <c r="AE85" i="52" s="1"/>
  <c r="AB86" i="52" a="1"/>
  <c r="AB86" i="52" s="1"/>
  <c r="AC86" i="52" a="1"/>
  <c r="AC86" i="52" s="1"/>
  <c r="AE86" i="52" a="1"/>
  <c r="AE86" i="52" s="1"/>
  <c r="AB87" i="52" a="1"/>
  <c r="AB87" i="52" s="1"/>
  <c r="AC87" i="52" a="1"/>
  <c r="AC87" i="52" s="1"/>
  <c r="AE87" i="52" a="1"/>
  <c r="AE87" i="52" s="1"/>
  <c r="AB88" i="52" a="1"/>
  <c r="AB88" i="52" s="1"/>
  <c r="AC88" i="52" a="1"/>
  <c r="AC88" i="52" s="1"/>
  <c r="AE88" i="52" a="1"/>
  <c r="AE88" i="52" s="1"/>
  <c r="AB89" i="52" a="1"/>
  <c r="AB89" i="52" s="1"/>
  <c r="AC89" i="52" a="1"/>
  <c r="AC89" i="52" s="1"/>
  <c r="AE89" i="52" a="1"/>
  <c r="AE89" i="52" s="1"/>
  <c r="AB90" i="52" a="1"/>
  <c r="AB90" i="52" s="1"/>
  <c r="AC90" i="52" a="1"/>
  <c r="AC90" i="52" s="1"/>
  <c r="AE90" i="52" a="1"/>
  <c r="AE90" i="52" s="1"/>
  <c r="AB91" i="52" a="1"/>
  <c r="AB91" i="52" s="1"/>
  <c r="AC91" i="52" a="1"/>
  <c r="AC91" i="52" s="1"/>
  <c r="AE91" i="52" a="1"/>
  <c r="AE91" i="52" s="1"/>
  <c r="AB92" i="52" a="1"/>
  <c r="AB92" i="52" s="1"/>
  <c r="AC92" i="52" a="1"/>
  <c r="AC92" i="52" s="1"/>
  <c r="AE92" i="52" a="1"/>
  <c r="AE92" i="52" s="1"/>
  <c r="AB93" i="52" a="1"/>
  <c r="AB93" i="52" s="1"/>
  <c r="AC93" i="52" a="1"/>
  <c r="AC93" i="52" s="1"/>
  <c r="AE93" i="52" a="1"/>
  <c r="AE93" i="52" s="1"/>
  <c r="AB94" i="52" a="1"/>
  <c r="AB94" i="52" s="1"/>
  <c r="AC94" i="52" a="1"/>
  <c r="AC94" i="52" s="1"/>
  <c r="AE94" i="52" a="1"/>
  <c r="AE94" i="52" s="1"/>
  <c r="AB95" i="52" a="1"/>
  <c r="AB95" i="52" s="1"/>
  <c r="AC95" i="52" a="1"/>
  <c r="AC95" i="52" s="1"/>
  <c r="AE95" i="52" a="1"/>
  <c r="AE95" i="52" s="1"/>
  <c r="AB96" i="52" a="1"/>
  <c r="AB96" i="52" s="1"/>
  <c r="AC96" i="52" a="1"/>
  <c r="AC96" i="52" s="1"/>
  <c r="AE96" i="52" a="1"/>
  <c r="AE96" i="52" s="1"/>
  <c r="AB4" i="52" a="1"/>
  <c r="AB4" i="52" s="1"/>
  <c r="AC4" i="52" a="1"/>
  <c r="AC4" i="52" s="1"/>
  <c r="AE4" i="52" a="1"/>
  <c r="AE4" i="52" s="1"/>
  <c r="AA98" i="52" a="1"/>
  <c r="AA98" i="52" s="1"/>
  <c r="Z99" i="52" a="1"/>
  <c r="Z99" i="52"/>
  <c r="AA99" i="52" a="1"/>
  <c r="AA99" i="52" s="1"/>
  <c r="Z100" i="52" a="1"/>
  <c r="Z100" i="52" s="1"/>
  <c r="AA100" i="52" a="1"/>
  <c r="AA100" i="52"/>
  <c r="Z101" i="52" a="1"/>
  <c r="Z101" i="52"/>
  <c r="AA101" i="52" a="1"/>
  <c r="AA101" i="52"/>
  <c r="Z102" i="52" a="1"/>
  <c r="Z102" i="52" s="1"/>
  <c r="AA102" i="52" a="1"/>
  <c r="AA102" i="52" s="1"/>
  <c r="Z103" i="52" a="1"/>
  <c r="Z103" i="52" s="1"/>
  <c r="AA103" i="52" a="1"/>
  <c r="AA103" i="52"/>
  <c r="Z104" i="52" a="1"/>
  <c r="Z104" i="52"/>
  <c r="AA104" i="52" a="1"/>
  <c r="AA104" i="52"/>
  <c r="Z105" i="52" a="1"/>
  <c r="Z105" i="52" s="1"/>
  <c r="AA105" i="52" a="1"/>
  <c r="AA105" i="52"/>
  <c r="Z106" i="52" a="1"/>
  <c r="Z106" i="52" s="1"/>
  <c r="AA106" i="52" a="1"/>
  <c r="AA106" i="52"/>
  <c r="Z5" i="52" a="1"/>
  <c r="Z5" i="52" s="1"/>
  <c r="AA5" i="52" a="1"/>
  <c r="AA5" i="52" s="1"/>
  <c r="Z6" i="52" a="1"/>
  <c r="Z6" i="52" s="1"/>
  <c r="AA6" i="52" a="1"/>
  <c r="AA6" i="52" s="1"/>
  <c r="Z7" i="52" a="1"/>
  <c r="Z7" i="52" s="1"/>
  <c r="AA7" i="52" a="1"/>
  <c r="AA7" i="52" s="1"/>
  <c r="Z8" i="52" a="1"/>
  <c r="Z8" i="52" s="1"/>
  <c r="AA8" i="52" a="1"/>
  <c r="AA8" i="52" s="1"/>
  <c r="Z9" i="52" a="1"/>
  <c r="Z9" i="52" s="1"/>
  <c r="AA9" i="52" a="1"/>
  <c r="AA9" i="52" s="1"/>
  <c r="Z10" i="52" a="1"/>
  <c r="Z10" i="52" s="1"/>
  <c r="AA10" i="52" a="1"/>
  <c r="AA10" i="52" s="1"/>
  <c r="Z11" i="52" a="1"/>
  <c r="Z11" i="52" s="1"/>
  <c r="AA11" i="52" a="1"/>
  <c r="AA11" i="52" s="1"/>
  <c r="Z12" i="52" a="1"/>
  <c r="Z12" i="52" s="1"/>
  <c r="AA12" i="52" a="1"/>
  <c r="AA12" i="52" s="1"/>
  <c r="Z13" i="52" a="1"/>
  <c r="Z13" i="52" s="1"/>
  <c r="AA13" i="52" a="1"/>
  <c r="AA13" i="52" s="1"/>
  <c r="Z14" i="52" a="1"/>
  <c r="Z14" i="52" s="1"/>
  <c r="AA14" i="52" a="1"/>
  <c r="AA14" i="52" s="1"/>
  <c r="Z15" i="52" a="1"/>
  <c r="Z15" i="52" s="1"/>
  <c r="AA15" i="52" a="1"/>
  <c r="AA15" i="52" s="1"/>
  <c r="Z16" i="52" a="1"/>
  <c r="Z16" i="52" s="1"/>
  <c r="AA16" i="52" a="1"/>
  <c r="AA16" i="52" s="1"/>
  <c r="Z17" i="52" a="1"/>
  <c r="Z17" i="52" s="1"/>
  <c r="AA17" i="52" a="1"/>
  <c r="AA17" i="52" s="1"/>
  <c r="Z18" i="52" a="1"/>
  <c r="Z18" i="52" s="1"/>
  <c r="AA18" i="52" a="1"/>
  <c r="AA18" i="52" s="1"/>
  <c r="Z19" i="52" a="1"/>
  <c r="Z19" i="52" s="1"/>
  <c r="AA19" i="52" a="1"/>
  <c r="AA19" i="52" s="1"/>
  <c r="Z20" i="52" a="1"/>
  <c r="Z20" i="52" s="1"/>
  <c r="AA20" i="52" a="1"/>
  <c r="AA20" i="52" s="1"/>
  <c r="Z21" i="52" a="1"/>
  <c r="Z21" i="52" s="1"/>
  <c r="AA21" i="52" a="1"/>
  <c r="AA21" i="52" s="1"/>
  <c r="Z22" i="52" a="1"/>
  <c r="Z22" i="52" s="1"/>
  <c r="AA22" i="52" a="1"/>
  <c r="AA22" i="52" s="1"/>
  <c r="Z23" i="52" a="1"/>
  <c r="Z23" i="52" s="1"/>
  <c r="AA23" i="52" a="1"/>
  <c r="AA23" i="52" s="1"/>
  <c r="Z24" i="52" a="1"/>
  <c r="Z24" i="52" s="1"/>
  <c r="AA24" i="52" a="1"/>
  <c r="AA24" i="52"/>
  <c r="Z25" i="52" a="1"/>
  <c r="Z25" i="52" s="1"/>
  <c r="AA25" i="52" a="1"/>
  <c r="AA25" i="52" s="1"/>
  <c r="Z26" i="52" a="1"/>
  <c r="Z26" i="52" s="1"/>
  <c r="AA26" i="52" a="1"/>
  <c r="AA26" i="52" s="1"/>
  <c r="Z27" i="52" a="1"/>
  <c r="Z27" i="52" s="1"/>
  <c r="AA27" i="52" a="1"/>
  <c r="AA27" i="52" s="1"/>
  <c r="Z28" i="52" a="1"/>
  <c r="Z28" i="52" s="1"/>
  <c r="AA28" i="52" a="1"/>
  <c r="AA28" i="52" s="1"/>
  <c r="Z29" i="52" a="1"/>
  <c r="Z29" i="52" s="1"/>
  <c r="AA29" i="52" a="1"/>
  <c r="AA29" i="52" s="1"/>
  <c r="Z30" i="52" a="1"/>
  <c r="Z30" i="52" s="1"/>
  <c r="AA30" i="52" a="1"/>
  <c r="AA30" i="52"/>
  <c r="Z31" i="52" a="1"/>
  <c r="Z31" i="52" s="1"/>
  <c r="AA31" i="52" a="1"/>
  <c r="AA31" i="52" s="1"/>
  <c r="Z32" i="52" a="1"/>
  <c r="Z32" i="52" s="1"/>
  <c r="AA32" i="52" a="1"/>
  <c r="AA32" i="52" s="1"/>
  <c r="Z33" i="52" a="1"/>
  <c r="Z33" i="52" s="1"/>
  <c r="AA33" i="52" a="1"/>
  <c r="AA33" i="52" s="1"/>
  <c r="Z34" i="52" a="1"/>
  <c r="Z34" i="52" s="1"/>
  <c r="AA34" i="52" a="1"/>
  <c r="AA34" i="52" s="1"/>
  <c r="Z35" i="52" a="1"/>
  <c r="Z35" i="52" s="1"/>
  <c r="AA35" i="52" a="1"/>
  <c r="AA35" i="52" s="1"/>
  <c r="Z36" i="52" a="1"/>
  <c r="Z36" i="52" s="1"/>
  <c r="AA36" i="52" a="1"/>
  <c r="AA36" i="52" s="1"/>
  <c r="Z37" i="52" a="1"/>
  <c r="Z37" i="52" s="1"/>
  <c r="AA37" i="52" a="1"/>
  <c r="AA37" i="52" s="1"/>
  <c r="Z38" i="52" a="1"/>
  <c r="Z38" i="52" s="1"/>
  <c r="AA38" i="52" a="1"/>
  <c r="AA38" i="52" s="1"/>
  <c r="Z39" i="52" a="1"/>
  <c r="Z39" i="52" s="1"/>
  <c r="AA39" i="52" a="1"/>
  <c r="AA39" i="52" s="1"/>
  <c r="Z40" i="52" a="1"/>
  <c r="Z40" i="52" s="1"/>
  <c r="AA40" i="52" a="1"/>
  <c r="AA40" i="52" s="1"/>
  <c r="Z41" i="52" a="1"/>
  <c r="Z41" i="52" s="1"/>
  <c r="AA41" i="52" a="1"/>
  <c r="AA41" i="52" s="1"/>
  <c r="Z42" i="52" a="1"/>
  <c r="Z42" i="52" s="1"/>
  <c r="AA42" i="52" a="1"/>
  <c r="AA42" i="52" s="1"/>
  <c r="Z43" i="52" a="1"/>
  <c r="Z43" i="52" s="1"/>
  <c r="AA43" i="52" a="1"/>
  <c r="AA43" i="52" s="1"/>
  <c r="Z44" i="52" a="1"/>
  <c r="Z44" i="52" s="1"/>
  <c r="AA44" i="52" a="1"/>
  <c r="AA44" i="52" s="1"/>
  <c r="Z45" i="52" a="1"/>
  <c r="Z45" i="52" s="1"/>
  <c r="AA45" i="52" a="1"/>
  <c r="AA45" i="52"/>
  <c r="Z46" i="52" a="1"/>
  <c r="Z46" i="52" s="1"/>
  <c r="AA46" i="52" a="1"/>
  <c r="AA46" i="52" s="1"/>
  <c r="Z47" i="52" a="1"/>
  <c r="Z47" i="52" s="1"/>
  <c r="AA47" i="52" a="1"/>
  <c r="AA47" i="52" s="1"/>
  <c r="Z48" i="52" a="1"/>
  <c r="Z48" i="52" s="1"/>
  <c r="AA48" i="52" a="1"/>
  <c r="AA48" i="52" s="1"/>
  <c r="Z49" i="52" a="1"/>
  <c r="Z49" i="52" s="1"/>
  <c r="AA49" i="52" a="1"/>
  <c r="AA49" i="52" s="1"/>
  <c r="Z50" i="52" a="1"/>
  <c r="Z50" i="52" s="1"/>
  <c r="AA50" i="52" a="1"/>
  <c r="AA50" i="52" s="1"/>
  <c r="Z51" i="52" a="1"/>
  <c r="Z51" i="52" s="1"/>
  <c r="AA51" i="52" a="1"/>
  <c r="AA51" i="52" s="1"/>
  <c r="Z52" i="52" a="1"/>
  <c r="Z52" i="52" s="1"/>
  <c r="AA52" i="52" a="1"/>
  <c r="AA52" i="52" s="1"/>
  <c r="Z53" i="52" a="1"/>
  <c r="Z53" i="52" s="1"/>
  <c r="AA53" i="52" a="1"/>
  <c r="AA53" i="52" s="1"/>
  <c r="Z54" i="52" a="1"/>
  <c r="Z54" i="52" s="1"/>
  <c r="AA54" i="52" a="1"/>
  <c r="AA54" i="52" s="1"/>
  <c r="Z55" i="52" a="1"/>
  <c r="Z55" i="52" s="1"/>
  <c r="AA55" i="52" a="1"/>
  <c r="AA55" i="52" s="1"/>
  <c r="Z56" i="52" a="1"/>
  <c r="Z56" i="52" s="1"/>
  <c r="AA56" i="52" a="1"/>
  <c r="AA56" i="52" s="1"/>
  <c r="Z57" i="52" a="1"/>
  <c r="Z57" i="52" s="1"/>
  <c r="AA57" i="52" a="1"/>
  <c r="AA57" i="52" s="1"/>
  <c r="Z58" i="52" a="1"/>
  <c r="Z58" i="52" s="1"/>
  <c r="AA58" i="52" a="1"/>
  <c r="AA58" i="52" s="1"/>
  <c r="Z59" i="52" a="1"/>
  <c r="Z59" i="52" s="1"/>
  <c r="AA59" i="52" a="1"/>
  <c r="AA59" i="52" s="1"/>
  <c r="Z60" i="52" a="1"/>
  <c r="Z60" i="52" s="1"/>
  <c r="AA60" i="52" a="1"/>
  <c r="AA60" i="52" s="1"/>
  <c r="Z61" i="52" a="1"/>
  <c r="Z61" i="52" s="1"/>
  <c r="AA61" i="52" a="1"/>
  <c r="AA61" i="52" s="1"/>
  <c r="Z62" i="52" a="1"/>
  <c r="Z62" i="52" s="1"/>
  <c r="AA62" i="52" a="1"/>
  <c r="AA62" i="52" s="1"/>
  <c r="Z63" i="52" a="1"/>
  <c r="Z63" i="52" s="1"/>
  <c r="AA63" i="52" a="1"/>
  <c r="AA63" i="52" s="1"/>
  <c r="Z64" i="52" a="1"/>
  <c r="Z64" i="52" s="1"/>
  <c r="AA64" i="52" a="1"/>
  <c r="AA64" i="52" s="1"/>
  <c r="Z65" i="52" a="1"/>
  <c r="Z65" i="52" s="1"/>
  <c r="AA65" i="52" a="1"/>
  <c r="AA65" i="52" s="1"/>
  <c r="Z66" i="52" a="1"/>
  <c r="Z66" i="52" s="1"/>
  <c r="AA66" i="52" a="1"/>
  <c r="AA66" i="52" s="1"/>
  <c r="Z67" i="52" a="1"/>
  <c r="Z67" i="52" s="1"/>
  <c r="AA67" i="52" a="1"/>
  <c r="AA67" i="52" s="1"/>
  <c r="Z68" i="52" a="1"/>
  <c r="Z68" i="52" s="1"/>
  <c r="AA68" i="52" a="1"/>
  <c r="AA68" i="52" s="1"/>
  <c r="Z69" i="52" a="1"/>
  <c r="Z69" i="52" s="1"/>
  <c r="AA69" i="52" a="1"/>
  <c r="AA69" i="52" s="1"/>
  <c r="Z70" i="52" a="1"/>
  <c r="Z70" i="52"/>
  <c r="AA70" i="52" a="1"/>
  <c r="AA70" i="52" s="1"/>
  <c r="Z71" i="52" a="1"/>
  <c r="Z71" i="52" s="1"/>
  <c r="AA71" i="52" a="1"/>
  <c r="AA71" i="52" s="1"/>
  <c r="Z72" i="52" a="1"/>
  <c r="Z72" i="52" s="1"/>
  <c r="AA72" i="52" a="1"/>
  <c r="AA72" i="52" s="1"/>
  <c r="Z73" i="52" a="1"/>
  <c r="Z73" i="52" s="1"/>
  <c r="AA73" i="52" a="1"/>
  <c r="AA73" i="52" s="1"/>
  <c r="Z74" i="52" a="1"/>
  <c r="Z74" i="52" s="1"/>
  <c r="AA74" i="52" a="1"/>
  <c r="AA74" i="52" s="1"/>
  <c r="Z75" i="52" a="1"/>
  <c r="Z75" i="52" s="1"/>
  <c r="AA75" i="52" a="1"/>
  <c r="AA75" i="52" s="1"/>
  <c r="Z76" i="52" a="1"/>
  <c r="Z76" i="52" s="1"/>
  <c r="AA76" i="52" a="1"/>
  <c r="AA76" i="52" s="1"/>
  <c r="Z77" i="52" a="1"/>
  <c r="Z77" i="52" s="1"/>
  <c r="AA77" i="52" a="1"/>
  <c r="AA77" i="52" s="1"/>
  <c r="Z78" i="52" a="1"/>
  <c r="Z78" i="52" s="1"/>
  <c r="AA78" i="52" a="1"/>
  <c r="AA78" i="52" s="1"/>
  <c r="Z79" i="52" a="1"/>
  <c r="Z79" i="52" s="1"/>
  <c r="AA79" i="52" a="1"/>
  <c r="AA79" i="52" s="1"/>
  <c r="Z80" i="52" a="1"/>
  <c r="Z80" i="52" s="1"/>
  <c r="AA80" i="52" a="1"/>
  <c r="AA80" i="52" s="1"/>
  <c r="Z81" i="52" a="1"/>
  <c r="Z81" i="52" s="1"/>
  <c r="AA81" i="52" a="1"/>
  <c r="AA81" i="52"/>
  <c r="Z82" i="52" a="1"/>
  <c r="Z82" i="52" s="1"/>
  <c r="AA82" i="52" a="1"/>
  <c r="AA82" i="52" s="1"/>
  <c r="Z83" i="52" a="1"/>
  <c r="Z83" i="52" s="1"/>
  <c r="AA83" i="52" a="1"/>
  <c r="AA83" i="52" s="1"/>
  <c r="Z84" i="52" a="1"/>
  <c r="Z84" i="52" s="1"/>
  <c r="AA84" i="52" a="1"/>
  <c r="AA84" i="52" s="1"/>
  <c r="Z85" i="52" a="1"/>
  <c r="Z85" i="52" s="1"/>
  <c r="AA85" i="52" a="1"/>
  <c r="AA85" i="52" s="1"/>
  <c r="Z86" i="52" a="1"/>
  <c r="Z86" i="52" s="1"/>
  <c r="AA86" i="52" a="1"/>
  <c r="AA86" i="52" s="1"/>
  <c r="Z87" i="52" a="1"/>
  <c r="Z87" i="52" s="1"/>
  <c r="AA87" i="52" a="1"/>
  <c r="AA87" i="52" s="1"/>
  <c r="Z88" i="52" a="1"/>
  <c r="Z88" i="52" s="1"/>
  <c r="AA88" i="52" a="1"/>
  <c r="AA88" i="52" s="1"/>
  <c r="Z89" i="52" a="1"/>
  <c r="Z89" i="52" s="1"/>
  <c r="AA89" i="52" a="1"/>
  <c r="AA89" i="52" s="1"/>
  <c r="Z90" i="52" a="1"/>
  <c r="Z90" i="52" s="1"/>
  <c r="AA90" i="52" a="1"/>
  <c r="AA90" i="52" s="1"/>
  <c r="Z91" i="52" a="1"/>
  <c r="Z91" i="52" s="1"/>
  <c r="AA91" i="52" a="1"/>
  <c r="AA91" i="52" s="1"/>
  <c r="Z92" i="52" a="1"/>
  <c r="Z92" i="52" s="1"/>
  <c r="AA92" i="52" a="1"/>
  <c r="AA92" i="52" s="1"/>
  <c r="Z93" i="52" a="1"/>
  <c r="Z93" i="52" s="1"/>
  <c r="AA93" i="52" a="1"/>
  <c r="AA93" i="52" s="1"/>
  <c r="Z94" i="52" a="1"/>
  <c r="Z94" i="52" s="1"/>
  <c r="AA94" i="52" a="1"/>
  <c r="AA94" i="52" s="1"/>
  <c r="Z95" i="52" a="1"/>
  <c r="Z95" i="52" s="1"/>
  <c r="AA95" i="52" a="1"/>
  <c r="AA95" i="52" s="1"/>
  <c r="Z96" i="52" a="1"/>
  <c r="Z96" i="52" s="1"/>
  <c r="Z97" i="52" s="1"/>
  <c r="AA96" i="52" a="1"/>
  <c r="AA96" i="52" s="1"/>
  <c r="AA97" i="52" s="1"/>
  <c r="AA4" i="52" a="1"/>
  <c r="AA4" i="52" s="1"/>
  <c r="Z4" i="52" a="1"/>
  <c r="Z4" i="52" s="1"/>
  <c r="Y106" i="52" a="1"/>
  <c r="Y106" i="52" s="1"/>
  <c r="Y98" i="52" a="1"/>
  <c r="Y98" i="52" s="1"/>
  <c r="Y99" i="52" a="1"/>
  <c r="Y99" i="52" s="1"/>
  <c r="Y100" i="52" a="1"/>
  <c r="Y100" i="52" s="1"/>
  <c r="Y101" i="52" a="1"/>
  <c r="Y101" i="52" s="1"/>
  <c r="Y102" i="52" a="1"/>
  <c r="Y102" i="52" s="1"/>
  <c r="Y103" i="52" a="1"/>
  <c r="Y103" i="52" s="1"/>
  <c r="Y104" i="52" a="1"/>
  <c r="Y104" i="52" s="1"/>
  <c r="Y105" i="52" a="1"/>
  <c r="Y105" i="52" s="1"/>
  <c r="Y5" i="52" a="1"/>
  <c r="Y5" i="52" s="1"/>
  <c r="Y6" i="52" a="1"/>
  <c r="Y6" i="52" s="1"/>
  <c r="Y7" i="52" a="1"/>
  <c r="Y7" i="52" s="1"/>
  <c r="Y8" i="52" a="1"/>
  <c r="Y8" i="52" s="1"/>
  <c r="Y9" i="52" a="1"/>
  <c r="Y9" i="52" s="1"/>
  <c r="Y10" i="52" a="1"/>
  <c r="Y10" i="52" s="1"/>
  <c r="Y11" i="52" a="1"/>
  <c r="Y11" i="52"/>
  <c r="Y12" i="52" a="1"/>
  <c r="Y12" i="52" s="1"/>
  <c r="Y13" i="52" a="1"/>
  <c r="Y13" i="52" s="1"/>
  <c r="Y14" i="52" a="1"/>
  <c r="Y14" i="52" s="1"/>
  <c r="Y15" i="52" a="1"/>
  <c r="Y15" i="52" s="1"/>
  <c r="Y16" i="52" a="1"/>
  <c r="Y16" i="52" s="1"/>
  <c r="Y17" i="52" a="1"/>
  <c r="Y17" i="52" s="1"/>
  <c r="Y18" i="52" a="1"/>
  <c r="Y18" i="52" s="1"/>
  <c r="Y19" i="52" a="1"/>
  <c r="Y19" i="52" s="1"/>
  <c r="Y20" i="52" a="1"/>
  <c r="Y20" i="52" s="1"/>
  <c r="Y21" i="52" a="1"/>
  <c r="Y21" i="52" s="1"/>
  <c r="Y22" i="52" a="1"/>
  <c r="Y22" i="52" s="1"/>
  <c r="Y23" i="52" a="1"/>
  <c r="Y23" i="52" s="1"/>
  <c r="Y24" i="52" a="1"/>
  <c r="Y24" i="52" s="1"/>
  <c r="Y25" i="52" a="1"/>
  <c r="Y25" i="52" s="1"/>
  <c r="Y26" i="52" a="1"/>
  <c r="Y26" i="52" s="1"/>
  <c r="Y27" i="52" a="1"/>
  <c r="Y27" i="52" s="1"/>
  <c r="Y28" i="52" a="1"/>
  <c r="Y28" i="52" s="1"/>
  <c r="Y29" i="52" a="1"/>
  <c r="Y29" i="52" s="1"/>
  <c r="Y30" i="52" a="1"/>
  <c r="Y30" i="52" s="1"/>
  <c r="Y31" i="52" a="1"/>
  <c r="Y31" i="52" s="1"/>
  <c r="Y32" i="52" a="1"/>
  <c r="Y32" i="52" s="1"/>
  <c r="Y33" i="52" a="1"/>
  <c r="Y33" i="52" s="1"/>
  <c r="Y34" i="52" a="1"/>
  <c r="Y34" i="52" s="1"/>
  <c r="Y35" i="52" a="1"/>
  <c r="Y35" i="52" s="1"/>
  <c r="Y36" i="52" a="1"/>
  <c r="Y36" i="52" s="1"/>
  <c r="Y37" i="52" a="1"/>
  <c r="Y37" i="52" s="1"/>
  <c r="Y38" i="52" a="1"/>
  <c r="Y38" i="52" s="1"/>
  <c r="Y39" i="52" a="1"/>
  <c r="Y39" i="52" s="1"/>
  <c r="Y40" i="52" a="1"/>
  <c r="Y40" i="52" s="1"/>
  <c r="Y41" i="52" a="1"/>
  <c r="Y41" i="52" s="1"/>
  <c r="Y42" i="52" a="1"/>
  <c r="Y42" i="52" s="1"/>
  <c r="Y43" i="52" a="1"/>
  <c r="Y43" i="52" s="1"/>
  <c r="Y44" i="52" a="1"/>
  <c r="Y44" i="52" s="1"/>
  <c r="Y45" i="52" a="1"/>
  <c r="Y45" i="52" s="1"/>
  <c r="Y46" i="52" a="1"/>
  <c r="Y46" i="52" s="1"/>
  <c r="Y47" i="52" a="1"/>
  <c r="Y47" i="52" s="1"/>
  <c r="Y48" i="52" a="1"/>
  <c r="Y48" i="52" s="1"/>
  <c r="Y49" i="52" a="1"/>
  <c r="Y49" i="52" s="1"/>
  <c r="Y50" i="52" a="1"/>
  <c r="Y50" i="52" s="1"/>
  <c r="Y51" i="52" a="1"/>
  <c r="Y51" i="52" s="1"/>
  <c r="Y52" i="52" a="1"/>
  <c r="Y52" i="52" s="1"/>
  <c r="Y53" i="52" a="1"/>
  <c r="Y53" i="52" s="1"/>
  <c r="Y54" i="52" a="1"/>
  <c r="Y54" i="52" s="1"/>
  <c r="Y55" i="52" a="1"/>
  <c r="Y55" i="52" s="1"/>
  <c r="Y56" i="52" a="1"/>
  <c r="Y56" i="52" s="1"/>
  <c r="Y57" i="52" a="1"/>
  <c r="Y57" i="52"/>
  <c r="Y58" i="52" a="1"/>
  <c r="Y58" i="52" s="1"/>
  <c r="Y59" i="52" a="1"/>
  <c r="Y59" i="52" s="1"/>
  <c r="Y60" i="52" a="1"/>
  <c r="Y60" i="52" s="1"/>
  <c r="Y61" i="52" a="1"/>
  <c r="Y61" i="52" s="1"/>
  <c r="Y62" i="52" a="1"/>
  <c r="Y62" i="52" s="1"/>
  <c r="Y63" i="52" a="1"/>
  <c r="Y63" i="52" s="1"/>
  <c r="Y64" i="52" a="1"/>
  <c r="Y64" i="52" s="1"/>
  <c r="Y65" i="52" a="1"/>
  <c r="Y65" i="52" s="1"/>
  <c r="Y66" i="52" a="1"/>
  <c r="Y66" i="52" s="1"/>
  <c r="Y67" i="52" a="1"/>
  <c r="Y67" i="52" s="1"/>
  <c r="Y68" i="52" a="1"/>
  <c r="Y68" i="52"/>
  <c r="Y69" i="52" a="1"/>
  <c r="Y69" i="52" s="1"/>
  <c r="Y70" i="52" a="1"/>
  <c r="Y70" i="52" s="1"/>
  <c r="Y71" i="52" a="1"/>
  <c r="Y71" i="52" s="1"/>
  <c r="Y72" i="52" a="1"/>
  <c r="Y72" i="52" s="1"/>
  <c r="Y73" i="52" a="1"/>
  <c r="Y73" i="52" s="1"/>
  <c r="Y74" i="52" a="1"/>
  <c r="Y74" i="52" s="1"/>
  <c r="Y75" i="52" a="1"/>
  <c r="Y75" i="52" s="1"/>
  <c r="Y76" i="52" a="1"/>
  <c r="Y76" i="52" s="1"/>
  <c r="Y77" i="52" a="1"/>
  <c r="Y77" i="52" s="1"/>
  <c r="Y78" i="52" a="1"/>
  <c r="Y78" i="52" s="1"/>
  <c r="Y79" i="52" a="1"/>
  <c r="Y79" i="52" s="1"/>
  <c r="Y80" i="52" a="1"/>
  <c r="Y80" i="52" s="1"/>
  <c r="Y81" i="52" a="1"/>
  <c r="Y81" i="52" s="1"/>
  <c r="Y82" i="52" a="1"/>
  <c r="Y82" i="52" s="1"/>
  <c r="Y83" i="52" a="1"/>
  <c r="Y83" i="52" s="1"/>
  <c r="Y84" i="52" a="1"/>
  <c r="Y84" i="52" s="1"/>
  <c r="Y85" i="52" a="1"/>
  <c r="Y85" i="52" s="1"/>
  <c r="Y86" i="52" a="1"/>
  <c r="Y86" i="52" s="1"/>
  <c r="Y87" i="52" a="1"/>
  <c r="Y87" i="52" s="1"/>
  <c r="Y88" i="52" a="1"/>
  <c r="Y88" i="52" s="1"/>
  <c r="Y89" i="52" a="1"/>
  <c r="Y89" i="52" s="1"/>
  <c r="Y90" i="52" a="1"/>
  <c r="Y90" i="52" s="1"/>
  <c r="Y91" i="52" a="1"/>
  <c r="Y91" i="52" s="1"/>
  <c r="Y92" i="52" a="1"/>
  <c r="Y92" i="52" s="1"/>
  <c r="Y93" i="52" a="1"/>
  <c r="Y93" i="52" s="1"/>
  <c r="Y94" i="52" a="1"/>
  <c r="Y94" i="52" s="1"/>
  <c r="Y95" i="52" a="1"/>
  <c r="Y95" i="52" s="1"/>
  <c r="Y96" i="52" a="1"/>
  <c r="Y96" i="52" s="1"/>
  <c r="Y97" i="52" s="1"/>
  <c r="Y4" i="52" a="1"/>
  <c r="Y4" i="52" s="1"/>
  <c r="U98" i="52" a="1"/>
  <c r="U98" i="52" s="1"/>
  <c r="U99" i="52" a="1"/>
  <c r="U99" i="52" s="1"/>
  <c r="V99" i="52" a="1"/>
  <c r="V99" i="52"/>
  <c r="U100" i="52" a="1"/>
  <c r="U100" i="52" s="1"/>
  <c r="V100" i="52" a="1"/>
  <c r="V100" i="52" s="1"/>
  <c r="U101" i="52" a="1"/>
  <c r="U101" i="52" s="1"/>
  <c r="V101" i="52" a="1"/>
  <c r="V101" i="52" s="1"/>
  <c r="U102" i="52" a="1"/>
  <c r="U102" i="52" s="1"/>
  <c r="V102" i="52" a="1"/>
  <c r="V102" i="52" s="1"/>
  <c r="U103" i="52" a="1"/>
  <c r="U103" i="52" s="1"/>
  <c r="V103" i="52" a="1"/>
  <c r="V103" i="52" s="1"/>
  <c r="U104" i="52" a="1"/>
  <c r="U104" i="52" s="1"/>
  <c r="V104" i="52" a="1"/>
  <c r="V104" i="52" s="1"/>
  <c r="U105" i="52" a="1"/>
  <c r="U105" i="52" s="1"/>
  <c r="V105" i="52" a="1"/>
  <c r="V105" i="52" s="1"/>
  <c r="U106" i="52" a="1"/>
  <c r="U106" i="52" s="1"/>
  <c r="V106" i="52" a="1"/>
  <c r="V106" i="52" s="1"/>
  <c r="U5" i="52" a="1"/>
  <c r="U5" i="52" s="1"/>
  <c r="V5" i="52" a="1"/>
  <c r="V5" i="52" s="1"/>
  <c r="U6" i="52" a="1"/>
  <c r="U6" i="52" s="1"/>
  <c r="V6" i="52" a="1"/>
  <c r="V6" i="52" s="1"/>
  <c r="U7" i="52" a="1"/>
  <c r="U7" i="52" s="1"/>
  <c r="V7" i="52" a="1"/>
  <c r="V7" i="52" s="1"/>
  <c r="U8" i="52" a="1"/>
  <c r="U8" i="52" s="1"/>
  <c r="V8" i="52" a="1"/>
  <c r="V8" i="52" s="1"/>
  <c r="U9" i="52" a="1"/>
  <c r="U9" i="52" s="1"/>
  <c r="V9" i="52" a="1"/>
  <c r="V9" i="52"/>
  <c r="U10" i="52" a="1"/>
  <c r="U10" i="52" s="1"/>
  <c r="V10" i="52" a="1"/>
  <c r="V10" i="52" s="1"/>
  <c r="U11" i="52" a="1"/>
  <c r="U11" i="52" s="1"/>
  <c r="V11" i="52" a="1"/>
  <c r="V11" i="52" s="1"/>
  <c r="U12" i="52" a="1"/>
  <c r="U12" i="52" s="1"/>
  <c r="V12" i="52" a="1"/>
  <c r="V12" i="52" s="1"/>
  <c r="U13" i="52" a="1"/>
  <c r="U13" i="52" s="1"/>
  <c r="V13" i="52" a="1"/>
  <c r="V13" i="52" s="1"/>
  <c r="U14" i="52" a="1"/>
  <c r="U14" i="52" s="1"/>
  <c r="V14" i="52" a="1"/>
  <c r="V14" i="52" s="1"/>
  <c r="U15" i="52" a="1"/>
  <c r="U15" i="52" s="1"/>
  <c r="V15" i="52" a="1"/>
  <c r="V15" i="52" s="1"/>
  <c r="U16" i="52" a="1"/>
  <c r="U16" i="52" s="1"/>
  <c r="V16" i="52" a="1"/>
  <c r="V16" i="52" s="1"/>
  <c r="U17" i="52" a="1"/>
  <c r="U17" i="52" s="1"/>
  <c r="V17" i="52" a="1"/>
  <c r="V17" i="52" s="1"/>
  <c r="U18" i="52" a="1"/>
  <c r="U18" i="52" s="1"/>
  <c r="V18" i="52" a="1"/>
  <c r="V18" i="52" s="1"/>
  <c r="U19" i="52" a="1"/>
  <c r="U19" i="52" s="1"/>
  <c r="V19" i="52" a="1"/>
  <c r="V19" i="52" s="1"/>
  <c r="U20" i="52" a="1"/>
  <c r="U20" i="52" s="1"/>
  <c r="V20" i="52" a="1"/>
  <c r="V20" i="52" s="1"/>
  <c r="U21" i="52" a="1"/>
  <c r="U21" i="52"/>
  <c r="V21" i="52" a="1"/>
  <c r="V21" i="52" s="1"/>
  <c r="U22" i="52" a="1"/>
  <c r="U22" i="52" s="1"/>
  <c r="V22" i="52" a="1"/>
  <c r="V22" i="52" s="1"/>
  <c r="U23" i="52" a="1"/>
  <c r="U23" i="52" s="1"/>
  <c r="V23" i="52" a="1"/>
  <c r="V23" i="52" s="1"/>
  <c r="U24" i="52" a="1"/>
  <c r="U24" i="52" s="1"/>
  <c r="V24" i="52" a="1"/>
  <c r="V24" i="52" s="1"/>
  <c r="U25" i="52" a="1"/>
  <c r="U25" i="52" s="1"/>
  <c r="V25" i="52" a="1"/>
  <c r="V25" i="52" s="1"/>
  <c r="U26" i="52" a="1"/>
  <c r="U26" i="52" s="1"/>
  <c r="V26" i="52" a="1"/>
  <c r="V26" i="52" s="1"/>
  <c r="U27" i="52" a="1"/>
  <c r="U27" i="52" s="1"/>
  <c r="V27" i="52" a="1"/>
  <c r="V27" i="52" s="1"/>
  <c r="U28" i="52" a="1"/>
  <c r="U28" i="52" s="1"/>
  <c r="V28" i="52" a="1"/>
  <c r="V28" i="52" s="1"/>
  <c r="U29" i="52" a="1"/>
  <c r="U29" i="52" s="1"/>
  <c r="V29" i="52" a="1"/>
  <c r="V29" i="52" s="1"/>
  <c r="U30" i="52" a="1"/>
  <c r="U30" i="52" s="1"/>
  <c r="V30" i="52" a="1"/>
  <c r="V30" i="52" s="1"/>
  <c r="U31" i="52" a="1"/>
  <c r="U31" i="52" s="1"/>
  <c r="V31" i="52" a="1"/>
  <c r="V31" i="52" s="1"/>
  <c r="U32" i="52" a="1"/>
  <c r="U32" i="52" s="1"/>
  <c r="V32" i="52" a="1"/>
  <c r="V32" i="52" s="1"/>
  <c r="U33" i="52" a="1"/>
  <c r="U33" i="52" s="1"/>
  <c r="V33" i="52" a="1"/>
  <c r="V33" i="52" s="1"/>
  <c r="U34" i="52" a="1"/>
  <c r="U34" i="52" s="1"/>
  <c r="V34" i="52" a="1"/>
  <c r="V34" i="52" s="1"/>
  <c r="U35" i="52" a="1"/>
  <c r="U35" i="52" s="1"/>
  <c r="V35" i="52" a="1"/>
  <c r="V35" i="52" s="1"/>
  <c r="U36" i="52" a="1"/>
  <c r="U36" i="52" s="1"/>
  <c r="V36" i="52" a="1"/>
  <c r="V36" i="52" s="1"/>
  <c r="U37" i="52" a="1"/>
  <c r="U37" i="52" s="1"/>
  <c r="V37" i="52" a="1"/>
  <c r="V37" i="52" s="1"/>
  <c r="U38" i="52" a="1"/>
  <c r="U38" i="52" s="1"/>
  <c r="V38" i="52" a="1"/>
  <c r="V38" i="52" s="1"/>
  <c r="U39" i="52" a="1"/>
  <c r="U39" i="52" s="1"/>
  <c r="V39" i="52" a="1"/>
  <c r="V39" i="52" s="1"/>
  <c r="U40" i="52" a="1"/>
  <c r="U40" i="52" s="1"/>
  <c r="V40" i="52" a="1"/>
  <c r="V40" i="52" s="1"/>
  <c r="U41" i="52" a="1"/>
  <c r="U41" i="52" s="1"/>
  <c r="V41" i="52" a="1"/>
  <c r="V41" i="52" s="1"/>
  <c r="U42" i="52" a="1"/>
  <c r="U42" i="52" s="1"/>
  <c r="V42" i="52" a="1"/>
  <c r="V42" i="52" s="1"/>
  <c r="U43" i="52" a="1"/>
  <c r="U43" i="52" s="1"/>
  <c r="V43" i="52" a="1"/>
  <c r="V43" i="52" s="1"/>
  <c r="U44" i="52" a="1"/>
  <c r="U44" i="52" s="1"/>
  <c r="V44" i="52" a="1"/>
  <c r="V44" i="52" s="1"/>
  <c r="U45" i="52" a="1"/>
  <c r="U45" i="52" s="1"/>
  <c r="V45" i="52" a="1"/>
  <c r="V45" i="52" s="1"/>
  <c r="U46" i="52" a="1"/>
  <c r="U46" i="52" s="1"/>
  <c r="V46" i="52" a="1"/>
  <c r="V46" i="52" s="1"/>
  <c r="U47" i="52" a="1"/>
  <c r="U47" i="52" s="1"/>
  <c r="V47" i="52" a="1"/>
  <c r="V47" i="52" s="1"/>
  <c r="U48" i="52" a="1"/>
  <c r="U48" i="52" s="1"/>
  <c r="V48" i="52" a="1"/>
  <c r="V48" i="52" s="1"/>
  <c r="U49" i="52" a="1"/>
  <c r="U49" i="52" s="1"/>
  <c r="V49" i="52" a="1"/>
  <c r="V49" i="52" s="1"/>
  <c r="U50" i="52" a="1"/>
  <c r="U50" i="52" s="1"/>
  <c r="V50" i="52" a="1"/>
  <c r="V50" i="52" s="1"/>
  <c r="U51" i="52" a="1"/>
  <c r="U51" i="52" s="1"/>
  <c r="V51" i="52" a="1"/>
  <c r="V51" i="52" s="1"/>
  <c r="U52" i="52" a="1"/>
  <c r="U52" i="52" s="1"/>
  <c r="V52" i="52" a="1"/>
  <c r="V52" i="52" s="1"/>
  <c r="U53" i="52" a="1"/>
  <c r="U53" i="52" s="1"/>
  <c r="V53" i="52" a="1"/>
  <c r="V53" i="52" s="1"/>
  <c r="U54" i="52" a="1"/>
  <c r="U54" i="52" s="1"/>
  <c r="V54" i="52" a="1"/>
  <c r="V54" i="52" s="1"/>
  <c r="U55" i="52" a="1"/>
  <c r="U55" i="52" s="1"/>
  <c r="V55" i="52" a="1"/>
  <c r="V55" i="52" s="1"/>
  <c r="U56" i="52" a="1"/>
  <c r="U56" i="52" s="1"/>
  <c r="V56" i="52" a="1"/>
  <c r="V56" i="52" s="1"/>
  <c r="U57" i="52" a="1"/>
  <c r="U57" i="52" s="1"/>
  <c r="V57" i="52" a="1"/>
  <c r="V57" i="52" s="1"/>
  <c r="U58" i="52" a="1"/>
  <c r="U58" i="52" s="1"/>
  <c r="V58" i="52" a="1"/>
  <c r="V58" i="52" s="1"/>
  <c r="U59" i="52" a="1"/>
  <c r="U59" i="52" s="1"/>
  <c r="V59" i="52" a="1"/>
  <c r="V59" i="52" s="1"/>
  <c r="U60" i="52" a="1"/>
  <c r="U60" i="52" s="1"/>
  <c r="V60" i="52" a="1"/>
  <c r="V60" i="52" s="1"/>
  <c r="U61" i="52" a="1"/>
  <c r="U61" i="52" s="1"/>
  <c r="V61" i="52" a="1"/>
  <c r="V61" i="52" s="1"/>
  <c r="U62" i="52" a="1"/>
  <c r="U62" i="52" s="1"/>
  <c r="V62" i="52" a="1"/>
  <c r="V62" i="52" s="1"/>
  <c r="U63" i="52" a="1"/>
  <c r="U63" i="52" s="1"/>
  <c r="V63" i="52" a="1"/>
  <c r="V63" i="52" s="1"/>
  <c r="U64" i="52" a="1"/>
  <c r="U64" i="52" s="1"/>
  <c r="V64" i="52" a="1"/>
  <c r="V64" i="52" s="1"/>
  <c r="U65" i="52" a="1"/>
  <c r="U65" i="52" s="1"/>
  <c r="V65" i="52" a="1"/>
  <c r="V65" i="52" s="1"/>
  <c r="U66" i="52" a="1"/>
  <c r="U66" i="52" s="1"/>
  <c r="V66" i="52" a="1"/>
  <c r="V66" i="52" s="1"/>
  <c r="U67" i="52" a="1"/>
  <c r="U67" i="52" s="1"/>
  <c r="V67" i="52" a="1"/>
  <c r="V67" i="52" s="1"/>
  <c r="U68" i="52" a="1"/>
  <c r="U68" i="52" s="1"/>
  <c r="V68" i="52" a="1"/>
  <c r="V68" i="52" s="1"/>
  <c r="U69" i="52" a="1"/>
  <c r="U69" i="52" s="1"/>
  <c r="V69" i="52" a="1"/>
  <c r="V69" i="52" s="1"/>
  <c r="U70" i="52" a="1"/>
  <c r="U70" i="52" s="1"/>
  <c r="V70" i="52" a="1"/>
  <c r="V70" i="52" s="1"/>
  <c r="U71" i="52" a="1"/>
  <c r="U71" i="52" s="1"/>
  <c r="V71" i="52" a="1"/>
  <c r="V71" i="52" s="1"/>
  <c r="U72" i="52" a="1"/>
  <c r="U72" i="52"/>
  <c r="V72" i="52" a="1"/>
  <c r="V72" i="52" s="1"/>
  <c r="U73" i="52" a="1"/>
  <c r="U73" i="52" s="1"/>
  <c r="V73" i="52" a="1"/>
  <c r="V73" i="52" s="1"/>
  <c r="U74" i="52" a="1"/>
  <c r="U74" i="52" s="1"/>
  <c r="V74" i="52" a="1"/>
  <c r="V74" i="52" s="1"/>
  <c r="U75" i="52" a="1"/>
  <c r="U75" i="52" s="1"/>
  <c r="V75" i="52" a="1"/>
  <c r="V75" i="52" s="1"/>
  <c r="U76" i="52" a="1"/>
  <c r="U76" i="52" s="1"/>
  <c r="V76" i="52" a="1"/>
  <c r="V76" i="52" s="1"/>
  <c r="U77" i="52" a="1"/>
  <c r="U77" i="52" s="1"/>
  <c r="V77" i="52" a="1"/>
  <c r="V77" i="52" s="1"/>
  <c r="U78" i="52" a="1"/>
  <c r="U78" i="52" s="1"/>
  <c r="V78" i="52" a="1"/>
  <c r="V78" i="52" s="1"/>
  <c r="U79" i="52" a="1"/>
  <c r="U79" i="52" s="1"/>
  <c r="V79" i="52" a="1"/>
  <c r="V79" i="52" s="1"/>
  <c r="U80" i="52" a="1"/>
  <c r="U80" i="52" s="1"/>
  <c r="V80" i="52" a="1"/>
  <c r="V80" i="52" s="1"/>
  <c r="U81" i="52" a="1"/>
  <c r="U81" i="52" s="1"/>
  <c r="V81" i="52" a="1"/>
  <c r="V81" i="52" s="1"/>
  <c r="U82" i="52" a="1"/>
  <c r="U82" i="52" s="1"/>
  <c r="V82" i="52" a="1"/>
  <c r="V82" i="52" s="1"/>
  <c r="U83" i="52" a="1"/>
  <c r="U83" i="52" s="1"/>
  <c r="V83" i="52" a="1"/>
  <c r="V83" i="52" s="1"/>
  <c r="U84" i="52" a="1"/>
  <c r="U84" i="52" s="1"/>
  <c r="V84" i="52" a="1"/>
  <c r="V84" i="52" s="1"/>
  <c r="U85" i="52" a="1"/>
  <c r="U85" i="52" s="1"/>
  <c r="V85" i="52" a="1"/>
  <c r="V85" i="52" s="1"/>
  <c r="U86" i="52" a="1"/>
  <c r="U86" i="52" s="1"/>
  <c r="V86" i="52" a="1"/>
  <c r="V86" i="52" s="1"/>
  <c r="U87" i="52" a="1"/>
  <c r="U87" i="52" s="1"/>
  <c r="V87" i="52" a="1"/>
  <c r="V87" i="52" s="1"/>
  <c r="U88" i="52" a="1"/>
  <c r="U88" i="52" s="1"/>
  <c r="V88" i="52" a="1"/>
  <c r="V88" i="52" s="1"/>
  <c r="U89" i="52" a="1"/>
  <c r="U89" i="52" s="1"/>
  <c r="V89" i="52" a="1"/>
  <c r="V89" i="52" s="1"/>
  <c r="U90" i="52" a="1"/>
  <c r="U90" i="52"/>
  <c r="V90" i="52" a="1"/>
  <c r="V90" i="52" s="1"/>
  <c r="U91" i="52" a="1"/>
  <c r="U91" i="52" s="1"/>
  <c r="V91" i="52" a="1"/>
  <c r="V91" i="52" s="1"/>
  <c r="U92" i="52" a="1"/>
  <c r="U92" i="52" s="1"/>
  <c r="V92" i="52" a="1"/>
  <c r="V92" i="52" s="1"/>
  <c r="U93" i="52" a="1"/>
  <c r="U93" i="52" s="1"/>
  <c r="V93" i="52" a="1"/>
  <c r="V93" i="52" s="1"/>
  <c r="U94" i="52" a="1"/>
  <c r="U94" i="52" s="1"/>
  <c r="V94" i="52" a="1"/>
  <c r="V94" i="52" s="1"/>
  <c r="U95" i="52" a="1"/>
  <c r="U95" i="52" s="1"/>
  <c r="V95" i="52" a="1"/>
  <c r="V95" i="52" s="1"/>
  <c r="U96" i="52" a="1"/>
  <c r="U96" i="52" s="1"/>
  <c r="U97" i="52" s="1"/>
  <c r="V96" i="52" a="1"/>
  <c r="V96" i="52" s="1"/>
  <c r="V97" i="52" s="1"/>
  <c r="U4" i="52" a="1"/>
  <c r="U4" i="52" s="1"/>
  <c r="V4" i="52" a="1"/>
  <c r="V4" i="52" s="1"/>
  <c r="T98" i="52" a="1"/>
  <c r="T98" i="52" s="1"/>
  <c r="T99" i="52" a="1"/>
  <c r="T99" i="52" s="1"/>
  <c r="T100" i="52" a="1"/>
  <c r="T100" i="52" s="1"/>
  <c r="T101" i="52" a="1"/>
  <c r="T101" i="52" s="1"/>
  <c r="T102" i="52" a="1"/>
  <c r="T102" i="52" s="1"/>
  <c r="T103" i="52" a="1"/>
  <c r="T103" i="52" s="1"/>
  <c r="T104" i="52" a="1"/>
  <c r="T104" i="52" s="1"/>
  <c r="T105" i="52" a="1"/>
  <c r="T105" i="52" s="1"/>
  <c r="T106" i="52" a="1"/>
  <c r="T106" i="52" s="1"/>
  <c r="T5" i="52" a="1"/>
  <c r="T5" i="52" s="1"/>
  <c r="T6" i="52" a="1"/>
  <c r="T6" i="52" s="1"/>
  <c r="T7" i="52" a="1"/>
  <c r="T7" i="52" s="1"/>
  <c r="T8" i="52" a="1"/>
  <c r="T8" i="52" s="1"/>
  <c r="T9" i="52" a="1"/>
  <c r="T9" i="52" s="1"/>
  <c r="T10" i="52" a="1"/>
  <c r="T10" i="52" s="1"/>
  <c r="T11" i="52" a="1"/>
  <c r="T11" i="52" s="1"/>
  <c r="T12" i="52" a="1"/>
  <c r="T12" i="52" s="1"/>
  <c r="T13" i="52" a="1"/>
  <c r="T13" i="52" s="1"/>
  <c r="T14" i="52" a="1"/>
  <c r="T14" i="52" s="1"/>
  <c r="T15" i="52" a="1"/>
  <c r="T15" i="52" s="1"/>
  <c r="T16" i="52" a="1"/>
  <c r="T16" i="52" s="1"/>
  <c r="T17" i="52" a="1"/>
  <c r="T17" i="52" s="1"/>
  <c r="T18" i="52" a="1"/>
  <c r="T18" i="52" s="1"/>
  <c r="T19" i="52" a="1"/>
  <c r="T19" i="52" s="1"/>
  <c r="T20" i="52" a="1"/>
  <c r="T20" i="52" s="1"/>
  <c r="T21" i="52" a="1"/>
  <c r="T21" i="52" s="1"/>
  <c r="T22" i="52" a="1"/>
  <c r="T22" i="52" s="1"/>
  <c r="T23" i="52" a="1"/>
  <c r="T23" i="52" s="1"/>
  <c r="T24" i="52" a="1"/>
  <c r="T24" i="52" s="1"/>
  <c r="T25" i="52" a="1"/>
  <c r="T25" i="52" s="1"/>
  <c r="T26" i="52" a="1"/>
  <c r="T26" i="52" s="1"/>
  <c r="T27" i="52" a="1"/>
  <c r="T27" i="52" s="1"/>
  <c r="T28" i="52" a="1"/>
  <c r="T28" i="52" s="1"/>
  <c r="T29" i="52" a="1"/>
  <c r="T29" i="52" s="1"/>
  <c r="T30" i="52" a="1"/>
  <c r="T30" i="52" s="1"/>
  <c r="T31" i="52" a="1"/>
  <c r="T31" i="52" s="1"/>
  <c r="T32" i="52" a="1"/>
  <c r="T32" i="52" s="1"/>
  <c r="T33" i="52" a="1"/>
  <c r="T33" i="52" s="1"/>
  <c r="T34" i="52" a="1"/>
  <c r="T34" i="52" s="1"/>
  <c r="T35" i="52" a="1"/>
  <c r="T35" i="52" s="1"/>
  <c r="T36" i="52" a="1"/>
  <c r="T36" i="52" s="1"/>
  <c r="T37" i="52" a="1"/>
  <c r="T37" i="52" s="1"/>
  <c r="T38" i="52" a="1"/>
  <c r="T38" i="52" s="1"/>
  <c r="T39" i="52" a="1"/>
  <c r="T39" i="52" s="1"/>
  <c r="T40" i="52" a="1"/>
  <c r="T40" i="52" s="1"/>
  <c r="T41" i="52" a="1"/>
  <c r="T41" i="52" s="1"/>
  <c r="T42" i="52" a="1"/>
  <c r="T42" i="52" s="1"/>
  <c r="T43" i="52" a="1"/>
  <c r="T43" i="52" s="1"/>
  <c r="T44" i="52" a="1"/>
  <c r="T44" i="52" s="1"/>
  <c r="T45" i="52" a="1"/>
  <c r="T45" i="52" s="1"/>
  <c r="T46" i="52" a="1"/>
  <c r="T46" i="52" s="1"/>
  <c r="T47" i="52" a="1"/>
  <c r="T47" i="52" s="1"/>
  <c r="T48" i="52" a="1"/>
  <c r="T48" i="52" s="1"/>
  <c r="T49" i="52" a="1"/>
  <c r="T49" i="52" s="1"/>
  <c r="T50" i="52" a="1"/>
  <c r="T50" i="52" s="1"/>
  <c r="T51" i="52" a="1"/>
  <c r="T51" i="52" s="1"/>
  <c r="T52" i="52" a="1"/>
  <c r="T52" i="52" s="1"/>
  <c r="T53" i="52" a="1"/>
  <c r="T53" i="52" s="1"/>
  <c r="T54" i="52" a="1"/>
  <c r="T54" i="52" s="1"/>
  <c r="T55" i="52" a="1"/>
  <c r="T55" i="52" s="1"/>
  <c r="T56" i="52" a="1"/>
  <c r="T56" i="52" s="1"/>
  <c r="T57" i="52" a="1"/>
  <c r="T57" i="52" s="1"/>
  <c r="T58" i="52" a="1"/>
  <c r="T58" i="52" s="1"/>
  <c r="T59" i="52" a="1"/>
  <c r="T59" i="52" s="1"/>
  <c r="T60" i="52" a="1"/>
  <c r="T60" i="52" s="1"/>
  <c r="T61" i="52" a="1"/>
  <c r="T61" i="52" s="1"/>
  <c r="T62" i="52" a="1"/>
  <c r="T62" i="52" s="1"/>
  <c r="T63" i="52" a="1"/>
  <c r="T63" i="52" s="1"/>
  <c r="T64" i="52" a="1"/>
  <c r="T64" i="52" s="1"/>
  <c r="T65" i="52" a="1"/>
  <c r="T65" i="52" s="1"/>
  <c r="T66" i="52" a="1"/>
  <c r="T66" i="52" s="1"/>
  <c r="T67" i="52" a="1"/>
  <c r="T67" i="52" s="1"/>
  <c r="T68" i="52" a="1"/>
  <c r="T68" i="52" s="1"/>
  <c r="T69" i="52" a="1"/>
  <c r="T69" i="52" s="1"/>
  <c r="T70" i="52" a="1"/>
  <c r="T70" i="52" s="1"/>
  <c r="T71" i="52" a="1"/>
  <c r="T71" i="52" s="1"/>
  <c r="T72" i="52" a="1"/>
  <c r="T72" i="52" s="1"/>
  <c r="T73" i="52" a="1"/>
  <c r="T73" i="52" s="1"/>
  <c r="T74" i="52" a="1"/>
  <c r="T74" i="52" s="1"/>
  <c r="T75" i="52" a="1"/>
  <c r="T75" i="52" s="1"/>
  <c r="T76" i="52" a="1"/>
  <c r="T76" i="52" s="1"/>
  <c r="T77" i="52" a="1"/>
  <c r="T77" i="52" s="1"/>
  <c r="T78" i="52" a="1"/>
  <c r="T78" i="52" s="1"/>
  <c r="T79" i="52" a="1"/>
  <c r="T79" i="52" s="1"/>
  <c r="T80" i="52" a="1"/>
  <c r="T80" i="52" s="1"/>
  <c r="T81" i="52" a="1"/>
  <c r="T81" i="52" s="1"/>
  <c r="T82" i="52" a="1"/>
  <c r="T82" i="52" s="1"/>
  <c r="T83" i="52" a="1"/>
  <c r="T83" i="52" s="1"/>
  <c r="T84" i="52" a="1"/>
  <c r="T84" i="52" s="1"/>
  <c r="T85" i="52" a="1"/>
  <c r="T85" i="52" s="1"/>
  <c r="T86" i="52" a="1"/>
  <c r="T86" i="52" s="1"/>
  <c r="T87" i="52" a="1"/>
  <c r="T87" i="52" s="1"/>
  <c r="T88" i="52" a="1"/>
  <c r="T88" i="52" s="1"/>
  <c r="T89" i="52" a="1"/>
  <c r="T89" i="52" s="1"/>
  <c r="T90" i="52" a="1"/>
  <c r="T90" i="52" s="1"/>
  <c r="T91" i="52" a="1"/>
  <c r="T91" i="52" s="1"/>
  <c r="T92" i="52" a="1"/>
  <c r="T92" i="52" s="1"/>
  <c r="T93" i="52" a="1"/>
  <c r="T93" i="52" s="1"/>
  <c r="T94" i="52" a="1"/>
  <c r="T94" i="52" s="1"/>
  <c r="T95" i="52" a="1"/>
  <c r="T95" i="52" s="1"/>
  <c r="T96" i="52" a="1"/>
  <c r="T96" i="52" s="1"/>
  <c r="T97" i="52" s="1"/>
  <c r="T4" i="52" a="1"/>
  <c r="T4" i="52" s="1"/>
  <c r="Q100" i="52" a="1"/>
  <c r="Q100" i="52" s="1"/>
  <c r="R100" i="52" a="1"/>
  <c r="R100" i="52" s="1"/>
  <c r="Q4" i="52" a="1"/>
  <c r="Q4" i="52" s="1"/>
  <c r="R4" i="52" a="1"/>
  <c r="R4" i="52" s="1"/>
  <c r="S4" i="52" a="1"/>
  <c r="S4" i="52" s="1"/>
  <c r="Q5" i="52" a="1"/>
  <c r="Q5" i="52" s="1"/>
  <c r="R5" i="52" a="1"/>
  <c r="R5" i="52" s="1"/>
  <c r="S5" i="52" a="1"/>
  <c r="S5" i="52" s="1"/>
  <c r="Q6" i="52" a="1"/>
  <c r="Q6" i="52" s="1"/>
  <c r="R6" i="52" a="1"/>
  <c r="R6" i="52" s="1"/>
  <c r="S6" i="52" a="1"/>
  <c r="S6" i="52" s="1"/>
  <c r="Q7" i="52" a="1"/>
  <c r="Q7" i="52" s="1"/>
  <c r="R7" i="52" a="1"/>
  <c r="R7" i="52" s="1"/>
  <c r="S7" i="52" a="1"/>
  <c r="S7" i="52" s="1"/>
  <c r="Q8" i="52" a="1"/>
  <c r="Q8" i="52" s="1"/>
  <c r="R8" i="52" a="1"/>
  <c r="R8" i="52" s="1"/>
  <c r="S8" i="52" a="1"/>
  <c r="S8" i="52" s="1"/>
  <c r="Q9" i="52" a="1"/>
  <c r="Q9" i="52" s="1"/>
  <c r="R9" i="52" a="1"/>
  <c r="R9" i="52" s="1"/>
  <c r="S9" i="52" a="1"/>
  <c r="S9" i="52" s="1"/>
  <c r="Q10" i="52" a="1"/>
  <c r="Q10" i="52" s="1"/>
  <c r="R10" i="52" a="1"/>
  <c r="R10" i="52" s="1"/>
  <c r="S10" i="52" a="1"/>
  <c r="S10" i="52" s="1"/>
  <c r="Q11" i="52" a="1"/>
  <c r="Q11" i="52" s="1"/>
  <c r="R11" i="52" a="1"/>
  <c r="R11" i="52" s="1"/>
  <c r="S11" i="52" a="1"/>
  <c r="S11" i="52" s="1"/>
  <c r="Q12" i="52" a="1"/>
  <c r="Q12" i="52" s="1"/>
  <c r="R12" i="52" a="1"/>
  <c r="R12" i="52" s="1"/>
  <c r="S12" i="52" a="1"/>
  <c r="S12" i="52" s="1"/>
  <c r="Q13" i="52" a="1"/>
  <c r="Q13" i="52" s="1"/>
  <c r="R13" i="52" a="1"/>
  <c r="R13" i="52" s="1"/>
  <c r="S13" i="52" a="1"/>
  <c r="S13" i="52" s="1"/>
  <c r="Q14" i="52" a="1"/>
  <c r="Q14" i="52" s="1"/>
  <c r="R14" i="52" a="1"/>
  <c r="R14" i="52" s="1"/>
  <c r="S14" i="52" a="1"/>
  <c r="S14" i="52" s="1"/>
  <c r="Q15" i="52" a="1"/>
  <c r="Q15" i="52" s="1"/>
  <c r="R15" i="52" a="1"/>
  <c r="R15" i="52" s="1"/>
  <c r="S15" i="52" a="1"/>
  <c r="S15" i="52" s="1"/>
  <c r="Q16" i="52" a="1"/>
  <c r="Q16" i="52" s="1"/>
  <c r="R16" i="52" a="1"/>
  <c r="R16" i="52" s="1"/>
  <c r="S16" i="52" a="1"/>
  <c r="S16" i="52" s="1"/>
  <c r="Q17" i="52" a="1"/>
  <c r="Q17" i="52" s="1"/>
  <c r="R17" i="52" a="1"/>
  <c r="R17" i="52" s="1"/>
  <c r="S17" i="52" a="1"/>
  <c r="S17" i="52" s="1"/>
  <c r="Q18" i="52" a="1"/>
  <c r="Q18" i="52" s="1"/>
  <c r="R18" i="52" a="1"/>
  <c r="R18" i="52" s="1"/>
  <c r="S18" i="52" a="1"/>
  <c r="S18" i="52" s="1"/>
  <c r="Q19" i="52" a="1"/>
  <c r="Q19" i="52" s="1"/>
  <c r="R19" i="52" a="1"/>
  <c r="R19" i="52" s="1"/>
  <c r="S19" i="52" a="1"/>
  <c r="S19" i="52" s="1"/>
  <c r="Q20" i="52" a="1"/>
  <c r="Q20" i="52" s="1"/>
  <c r="R20" i="52" a="1"/>
  <c r="R20" i="52" s="1"/>
  <c r="S20" i="52" a="1"/>
  <c r="S20" i="52" s="1"/>
  <c r="Q21" i="52" a="1"/>
  <c r="Q21" i="52" s="1"/>
  <c r="R21" i="52" a="1"/>
  <c r="R21" i="52" s="1"/>
  <c r="S21" i="52" a="1"/>
  <c r="S21" i="52" s="1"/>
  <c r="Q22" i="52" a="1"/>
  <c r="Q22" i="52" s="1"/>
  <c r="R22" i="52" a="1"/>
  <c r="R22" i="52" s="1"/>
  <c r="S22" i="52" a="1"/>
  <c r="S22" i="52" s="1"/>
  <c r="Q23" i="52" a="1"/>
  <c r="Q23" i="52" s="1"/>
  <c r="R23" i="52" a="1"/>
  <c r="R23" i="52" s="1"/>
  <c r="S23" i="52" a="1"/>
  <c r="S23" i="52" s="1"/>
  <c r="Q25" i="52" a="1"/>
  <c r="Q25" i="52" s="1"/>
  <c r="R25" i="52" a="1"/>
  <c r="R25" i="52" s="1"/>
  <c r="S25" i="52" a="1"/>
  <c r="S25" i="52" s="1"/>
  <c r="Q26" i="52" a="1"/>
  <c r="Q26" i="52" s="1"/>
  <c r="R26" i="52" a="1"/>
  <c r="R26" i="52" s="1"/>
  <c r="S26" i="52" a="1"/>
  <c r="S26" i="52" s="1"/>
  <c r="Q27" i="52" a="1"/>
  <c r="Q27" i="52" s="1"/>
  <c r="R27" i="52" a="1"/>
  <c r="R27" i="52" s="1"/>
  <c r="S27" i="52" a="1"/>
  <c r="S27" i="52" s="1"/>
  <c r="Q28" i="52" a="1"/>
  <c r="Q28" i="52" s="1"/>
  <c r="R28" i="52" a="1"/>
  <c r="R28" i="52" s="1"/>
  <c r="S28" i="52" a="1"/>
  <c r="S28" i="52" s="1"/>
  <c r="Q29" i="52" a="1"/>
  <c r="Q29" i="52" s="1"/>
  <c r="R29" i="52" a="1"/>
  <c r="R29" i="52" s="1"/>
  <c r="S29" i="52" a="1"/>
  <c r="S29" i="52" s="1"/>
  <c r="Q30" i="52" a="1"/>
  <c r="Q30" i="52" s="1"/>
  <c r="R30" i="52" a="1"/>
  <c r="R30" i="52" s="1"/>
  <c r="S30" i="52" a="1"/>
  <c r="S30" i="52" s="1"/>
  <c r="Q31" i="52" a="1"/>
  <c r="Q31" i="52" s="1"/>
  <c r="R31" i="52" a="1"/>
  <c r="R31" i="52" s="1"/>
  <c r="S31" i="52" a="1"/>
  <c r="S31" i="52" s="1"/>
  <c r="Q32" i="52" a="1"/>
  <c r="Q32" i="52" s="1"/>
  <c r="R32" i="52" a="1"/>
  <c r="R32" i="52" s="1"/>
  <c r="S32" i="52" a="1"/>
  <c r="S32" i="52" s="1"/>
  <c r="Q33" i="52" a="1"/>
  <c r="Q33" i="52" s="1"/>
  <c r="R33" i="52" a="1"/>
  <c r="R33" i="52" s="1"/>
  <c r="S33" i="52" a="1"/>
  <c r="S33" i="52" s="1"/>
  <c r="Q34" i="52" a="1"/>
  <c r="Q34" i="52" s="1"/>
  <c r="R34" i="52" a="1"/>
  <c r="R34" i="52" s="1"/>
  <c r="S34" i="52" a="1"/>
  <c r="S34" i="52" s="1"/>
  <c r="Q35" i="52" a="1"/>
  <c r="Q35" i="52" s="1"/>
  <c r="R35" i="52" a="1"/>
  <c r="R35" i="52" s="1"/>
  <c r="S35" i="52" a="1"/>
  <c r="S35" i="52" s="1"/>
  <c r="Q36" i="52" a="1"/>
  <c r="Q36" i="52" s="1"/>
  <c r="R36" i="52" a="1"/>
  <c r="R36" i="52" s="1"/>
  <c r="S36" i="52" a="1"/>
  <c r="S36" i="52" s="1"/>
  <c r="Q37" i="52" a="1"/>
  <c r="Q37" i="52" s="1"/>
  <c r="R37" i="52" a="1"/>
  <c r="R37" i="52" s="1"/>
  <c r="S37" i="52" a="1"/>
  <c r="S37" i="52" s="1"/>
  <c r="Q38" i="52" a="1"/>
  <c r="Q38" i="52" s="1"/>
  <c r="R38" i="52" a="1"/>
  <c r="R38" i="52" s="1"/>
  <c r="S38" i="52" a="1"/>
  <c r="S38" i="52" s="1"/>
  <c r="Q39" i="52" a="1"/>
  <c r="Q39" i="52" s="1"/>
  <c r="R39" i="52" a="1"/>
  <c r="R39" i="52" s="1"/>
  <c r="S39" i="52" a="1"/>
  <c r="S39" i="52" s="1"/>
  <c r="Q40" i="52" a="1"/>
  <c r="Q40" i="52" s="1"/>
  <c r="R40" i="52" a="1"/>
  <c r="R40" i="52" s="1"/>
  <c r="S40" i="52" a="1"/>
  <c r="S40" i="52" s="1"/>
  <c r="Q41" i="52" a="1"/>
  <c r="Q41" i="52" s="1"/>
  <c r="R41" i="52" a="1"/>
  <c r="R41" i="52" s="1"/>
  <c r="S41" i="52" a="1"/>
  <c r="S41" i="52" s="1"/>
  <c r="Q42" i="52" a="1"/>
  <c r="Q42" i="52" s="1"/>
  <c r="R42" i="52" a="1"/>
  <c r="R42" i="52" s="1"/>
  <c r="S42" i="52" a="1"/>
  <c r="S42" i="52" s="1"/>
  <c r="Q43" i="52" a="1"/>
  <c r="Q43" i="52" s="1"/>
  <c r="R43" i="52" a="1"/>
  <c r="R43" i="52" s="1"/>
  <c r="S43" i="52" a="1"/>
  <c r="S43" i="52" s="1"/>
  <c r="Q44" i="52" a="1"/>
  <c r="Q44" i="52" s="1"/>
  <c r="R44" i="52" a="1"/>
  <c r="R44" i="52" s="1"/>
  <c r="S44" i="52" a="1"/>
  <c r="S44" i="52" s="1"/>
  <c r="Q45" i="52" a="1"/>
  <c r="Q45" i="52" s="1"/>
  <c r="R45" i="52" a="1"/>
  <c r="R45" i="52" s="1"/>
  <c r="S45" i="52" a="1"/>
  <c r="S45" i="52" s="1"/>
  <c r="Q46" i="52" a="1"/>
  <c r="Q46" i="52" s="1"/>
  <c r="R46" i="52" a="1"/>
  <c r="R46" i="52" s="1"/>
  <c r="S46" i="52" a="1"/>
  <c r="S46" i="52" s="1"/>
  <c r="Q47" i="52" a="1"/>
  <c r="Q47" i="52" s="1"/>
  <c r="R47" i="52" a="1"/>
  <c r="R47" i="52" s="1"/>
  <c r="S47" i="52" a="1"/>
  <c r="S47" i="52" s="1"/>
  <c r="Q48" i="52" a="1"/>
  <c r="Q48" i="52" s="1"/>
  <c r="R48" i="52" a="1"/>
  <c r="R48" i="52" s="1"/>
  <c r="S48" i="52" a="1"/>
  <c r="S48" i="52" s="1"/>
  <c r="Q49" i="52" a="1"/>
  <c r="Q49" i="52" s="1"/>
  <c r="R49" i="52" a="1"/>
  <c r="R49" i="52" s="1"/>
  <c r="S49" i="52" a="1"/>
  <c r="S49" i="52" s="1"/>
  <c r="Q50" i="52" a="1"/>
  <c r="Q50" i="52" s="1"/>
  <c r="R50" i="52" a="1"/>
  <c r="R50" i="52" s="1"/>
  <c r="S50" i="52" a="1"/>
  <c r="S50" i="52" s="1"/>
  <c r="Q51" i="52" a="1"/>
  <c r="Q51" i="52" s="1"/>
  <c r="R51" i="52" a="1"/>
  <c r="R51" i="52" s="1"/>
  <c r="S51" i="52" a="1"/>
  <c r="S51" i="52" s="1"/>
  <c r="Q52" i="52" a="1"/>
  <c r="Q52" i="52" s="1"/>
  <c r="R52" i="52" a="1"/>
  <c r="R52" i="52" s="1"/>
  <c r="S52" i="52" a="1"/>
  <c r="S52" i="52" s="1"/>
  <c r="Q53" i="52" a="1"/>
  <c r="Q53" i="52" s="1"/>
  <c r="R53" i="52" a="1"/>
  <c r="R53" i="52" s="1"/>
  <c r="S53" i="52" a="1"/>
  <c r="S53" i="52" s="1"/>
  <c r="Q54" i="52" a="1"/>
  <c r="Q54" i="52" s="1"/>
  <c r="R54" i="52" a="1"/>
  <c r="R54" i="52" s="1"/>
  <c r="S54" i="52" a="1"/>
  <c r="S54" i="52" s="1"/>
  <c r="Q55" i="52" a="1"/>
  <c r="Q55" i="52" s="1"/>
  <c r="R55" i="52" a="1"/>
  <c r="R55" i="52" s="1"/>
  <c r="S55" i="52" a="1"/>
  <c r="S55" i="52" s="1"/>
  <c r="Q56" i="52" a="1"/>
  <c r="Q56" i="52" s="1"/>
  <c r="R56" i="52" a="1"/>
  <c r="R56" i="52" s="1"/>
  <c r="S56" i="52" a="1"/>
  <c r="S56" i="52" s="1"/>
  <c r="Q57" i="52" a="1"/>
  <c r="Q57" i="52" s="1"/>
  <c r="R57" i="52" a="1"/>
  <c r="R57" i="52" s="1"/>
  <c r="S57" i="52" a="1"/>
  <c r="S57" i="52" s="1"/>
  <c r="Q58" i="52" a="1"/>
  <c r="Q58" i="52" s="1"/>
  <c r="R58" i="52" a="1"/>
  <c r="R58" i="52" s="1"/>
  <c r="S58" i="52" a="1"/>
  <c r="S58" i="52" s="1"/>
  <c r="Q59" i="52" a="1"/>
  <c r="Q59" i="52" s="1"/>
  <c r="R59" i="52" a="1"/>
  <c r="R59" i="52" s="1"/>
  <c r="S59" i="52" a="1"/>
  <c r="S59" i="52" s="1"/>
  <c r="Q60" i="52" a="1"/>
  <c r="Q60" i="52" s="1"/>
  <c r="R60" i="52" a="1"/>
  <c r="R60" i="52" s="1"/>
  <c r="S60" i="52" a="1"/>
  <c r="S60" i="52" s="1"/>
  <c r="Q61" i="52" a="1"/>
  <c r="Q61" i="52" s="1"/>
  <c r="R61" i="52" a="1"/>
  <c r="R61" i="52" s="1"/>
  <c r="S61" i="52" a="1"/>
  <c r="S61" i="52" s="1"/>
  <c r="Q62" i="52" a="1"/>
  <c r="Q62" i="52" s="1"/>
  <c r="R62" i="52" a="1"/>
  <c r="R62" i="52" s="1"/>
  <c r="S62" i="52" a="1"/>
  <c r="S62" i="52" s="1"/>
  <c r="Q63" i="52" a="1"/>
  <c r="Q63" i="52" s="1"/>
  <c r="R63" i="52" a="1"/>
  <c r="R63" i="52" s="1"/>
  <c r="S63" i="52" a="1"/>
  <c r="S63" i="52" s="1"/>
  <c r="Q64" i="52" a="1"/>
  <c r="Q64" i="52" s="1"/>
  <c r="R64" i="52" a="1"/>
  <c r="R64" i="52" s="1"/>
  <c r="S64" i="52" a="1"/>
  <c r="S64" i="52" s="1"/>
  <c r="Q65" i="52" a="1"/>
  <c r="Q65" i="52" s="1"/>
  <c r="R65" i="52" a="1"/>
  <c r="R65" i="52" s="1"/>
  <c r="S65" i="52" a="1"/>
  <c r="S65" i="52" s="1"/>
  <c r="Q66" i="52" a="1"/>
  <c r="Q66" i="52" s="1"/>
  <c r="R66" i="52" a="1"/>
  <c r="R66" i="52" s="1"/>
  <c r="S66" i="52" a="1"/>
  <c r="S66" i="52" s="1"/>
  <c r="Q67" i="52" a="1"/>
  <c r="Q67" i="52" s="1"/>
  <c r="R67" i="52" a="1"/>
  <c r="R67" i="52" s="1"/>
  <c r="S67" i="52" a="1"/>
  <c r="S67" i="52" s="1"/>
  <c r="Q68" i="52" a="1"/>
  <c r="Q68" i="52" s="1"/>
  <c r="R68" i="52" a="1"/>
  <c r="R68" i="52" s="1"/>
  <c r="S68" i="52" a="1"/>
  <c r="S68" i="52" s="1"/>
  <c r="Q69" i="52" a="1"/>
  <c r="Q69" i="52" s="1"/>
  <c r="R69" i="52" a="1"/>
  <c r="R69" i="52" s="1"/>
  <c r="S69" i="52" a="1"/>
  <c r="S69" i="52" s="1"/>
  <c r="Q70" i="52" a="1"/>
  <c r="Q70" i="52" s="1"/>
  <c r="R70" i="52" a="1"/>
  <c r="R70" i="52" s="1"/>
  <c r="S70" i="52" a="1"/>
  <c r="S70" i="52" s="1"/>
  <c r="Q71" i="52" a="1"/>
  <c r="Q71" i="52" s="1"/>
  <c r="R71" i="52" a="1"/>
  <c r="R71" i="52" s="1"/>
  <c r="S71" i="52" a="1"/>
  <c r="S71" i="52" s="1"/>
  <c r="Q72" i="52" a="1"/>
  <c r="Q72" i="52" s="1"/>
  <c r="R72" i="52" a="1"/>
  <c r="R72" i="52" s="1"/>
  <c r="S72" i="52" a="1"/>
  <c r="S72" i="52" s="1"/>
  <c r="Q73" i="52" a="1"/>
  <c r="Q73" i="52" s="1"/>
  <c r="R73" i="52" a="1"/>
  <c r="R73" i="52" s="1"/>
  <c r="S73" i="52" a="1"/>
  <c r="S73" i="52" s="1"/>
  <c r="Q74" i="52" a="1"/>
  <c r="Q74" i="52" s="1"/>
  <c r="R74" i="52" a="1"/>
  <c r="R74" i="52" s="1"/>
  <c r="S74" i="52" a="1"/>
  <c r="S74" i="52" s="1"/>
  <c r="Q75" i="52" a="1"/>
  <c r="Q75" i="52" s="1"/>
  <c r="R75" i="52" a="1"/>
  <c r="R75" i="52" s="1"/>
  <c r="S75" i="52" a="1"/>
  <c r="S75" i="52" s="1"/>
  <c r="Q76" i="52" a="1"/>
  <c r="Q76" i="52" s="1"/>
  <c r="R76" i="52" a="1"/>
  <c r="R76" i="52" s="1"/>
  <c r="S76" i="52" a="1"/>
  <c r="S76" i="52" s="1"/>
  <c r="Q77" i="52" a="1"/>
  <c r="Q77" i="52" s="1"/>
  <c r="R77" i="52" a="1"/>
  <c r="R77" i="52" s="1"/>
  <c r="S77" i="52" a="1"/>
  <c r="S77" i="52" s="1"/>
  <c r="Q78" i="52" a="1"/>
  <c r="Q78" i="52" s="1"/>
  <c r="R78" i="52" a="1"/>
  <c r="R78" i="52" s="1"/>
  <c r="S78" i="52" a="1"/>
  <c r="S78" i="52" s="1"/>
  <c r="Q79" i="52" a="1"/>
  <c r="Q79" i="52" s="1"/>
  <c r="R79" i="52" a="1"/>
  <c r="R79" i="52" s="1"/>
  <c r="S79" i="52" a="1"/>
  <c r="S79" i="52" s="1"/>
  <c r="Q80" i="52" a="1"/>
  <c r="Q80" i="52" s="1"/>
  <c r="R80" i="52" a="1"/>
  <c r="R80" i="52" s="1"/>
  <c r="S80" i="52" a="1"/>
  <c r="S80" i="52" s="1"/>
  <c r="Q81" i="52" a="1"/>
  <c r="Q81" i="52" s="1"/>
  <c r="R81" i="52" a="1"/>
  <c r="R81" i="52" s="1"/>
  <c r="S81" i="52" a="1"/>
  <c r="S81" i="52" s="1"/>
  <c r="Q82" i="52" a="1"/>
  <c r="Q82" i="52" s="1"/>
  <c r="R82" i="52" a="1"/>
  <c r="R82" i="52" s="1"/>
  <c r="S82" i="52" a="1"/>
  <c r="S82" i="52" s="1"/>
  <c r="Q83" i="52" a="1"/>
  <c r="Q83" i="52" s="1"/>
  <c r="R83" i="52" a="1"/>
  <c r="R83" i="52" s="1"/>
  <c r="S83" i="52" a="1"/>
  <c r="S83" i="52" s="1"/>
  <c r="Q84" i="52" a="1"/>
  <c r="Q84" i="52" s="1"/>
  <c r="R84" i="52" a="1"/>
  <c r="R84" i="52" s="1"/>
  <c r="S84" i="52" a="1"/>
  <c r="S84" i="52" s="1"/>
  <c r="Q85" i="52" a="1"/>
  <c r="Q85" i="52" s="1"/>
  <c r="R85" i="52" a="1"/>
  <c r="R85" i="52" s="1"/>
  <c r="S85" i="52" a="1"/>
  <c r="S85" i="52" s="1"/>
  <c r="Q86" i="52" a="1"/>
  <c r="Q86" i="52" s="1"/>
  <c r="R86" i="52" a="1"/>
  <c r="R86" i="52" s="1"/>
  <c r="S86" i="52" a="1"/>
  <c r="S86" i="52" s="1"/>
  <c r="Q87" i="52" a="1"/>
  <c r="Q87" i="52" s="1"/>
  <c r="R87" i="52" a="1"/>
  <c r="R87" i="52" s="1"/>
  <c r="S87" i="52" a="1"/>
  <c r="S87" i="52" s="1"/>
  <c r="Q88" i="52" a="1"/>
  <c r="Q88" i="52" s="1"/>
  <c r="R88" i="52" a="1"/>
  <c r="R88" i="52" s="1"/>
  <c r="S88" i="52" a="1"/>
  <c r="S88" i="52" s="1"/>
  <c r="Q89" i="52" a="1"/>
  <c r="Q89" i="52" s="1"/>
  <c r="R89" i="52" a="1"/>
  <c r="R89" i="52" s="1"/>
  <c r="S89" i="52" a="1"/>
  <c r="S89" i="52" s="1"/>
  <c r="Q90" i="52" a="1"/>
  <c r="Q90" i="52" s="1"/>
  <c r="R90" i="52" a="1"/>
  <c r="R90" i="52" s="1"/>
  <c r="S90" i="52" a="1"/>
  <c r="S90" i="52" s="1"/>
  <c r="Q91" i="52" a="1"/>
  <c r="Q91" i="52" s="1"/>
  <c r="R91" i="52" a="1"/>
  <c r="R91" i="52" s="1"/>
  <c r="S91" i="52" a="1"/>
  <c r="S91" i="52" s="1"/>
  <c r="Q92" i="52" a="1"/>
  <c r="Q92" i="52" s="1"/>
  <c r="R92" i="52" a="1"/>
  <c r="R92" i="52" s="1"/>
  <c r="S92" i="52" a="1"/>
  <c r="S92" i="52" s="1"/>
  <c r="Q93" i="52" a="1"/>
  <c r="Q93" i="52" s="1"/>
  <c r="R93" i="52" a="1"/>
  <c r="R93" i="52" s="1"/>
  <c r="S93" i="52" a="1"/>
  <c r="S93" i="52" s="1"/>
  <c r="Q94" i="52" a="1"/>
  <c r="Q94" i="52" s="1"/>
  <c r="R94" i="52" a="1"/>
  <c r="R94" i="52" s="1"/>
  <c r="S94" i="52" a="1"/>
  <c r="S94" i="52" s="1"/>
  <c r="Q95" i="52" a="1"/>
  <c r="Q95" i="52" s="1"/>
  <c r="R95" i="52" a="1"/>
  <c r="R95" i="52" s="1"/>
  <c r="S95" i="52" a="1"/>
  <c r="S95" i="52" s="1"/>
  <c r="Q96" i="52" a="1"/>
  <c r="Q96" i="52" s="1"/>
  <c r="Q97" i="52" s="1"/>
  <c r="R96" i="52" a="1"/>
  <c r="R96" i="52" s="1"/>
  <c r="R97" i="52" s="1"/>
  <c r="S96" i="52" a="1"/>
  <c r="S96" i="52" s="1"/>
  <c r="S97" i="52" s="1"/>
  <c r="Q98" i="52" a="1"/>
  <c r="Q98" i="52" s="1"/>
  <c r="R98" i="52" a="1"/>
  <c r="R98" i="52" s="1"/>
  <c r="Q99" i="52" a="1"/>
  <c r="Q99" i="52" s="1"/>
  <c r="R99" i="52" a="1"/>
  <c r="R99" i="52" s="1"/>
  <c r="S99" i="52" a="1"/>
  <c r="S99" i="52" s="1"/>
  <c r="S100" i="52" a="1"/>
  <c r="S100" i="52" s="1"/>
  <c r="Q101" i="52" a="1"/>
  <c r="Q101" i="52" s="1"/>
  <c r="R101" i="52" a="1"/>
  <c r="R101" i="52" s="1"/>
  <c r="S101" i="52" a="1"/>
  <c r="S101" i="52" s="1"/>
  <c r="Q102" i="52" a="1"/>
  <c r="Q102" i="52" s="1"/>
  <c r="R102" i="52" a="1"/>
  <c r="R102" i="52" s="1"/>
  <c r="S102" i="52" a="1"/>
  <c r="S102" i="52" s="1"/>
  <c r="Q103" i="52" a="1"/>
  <c r="Q103" i="52" s="1"/>
  <c r="R103" i="52" a="1"/>
  <c r="R103" i="52" s="1"/>
  <c r="S103" i="52" a="1"/>
  <c r="S103" i="52" s="1"/>
  <c r="Q104" i="52" a="1"/>
  <c r="Q104" i="52" s="1"/>
  <c r="R104" i="52" a="1"/>
  <c r="R104" i="52" s="1"/>
  <c r="S104" i="52" a="1"/>
  <c r="S104" i="52" s="1"/>
  <c r="Q105" i="52" a="1"/>
  <c r="Q105" i="52" s="1"/>
  <c r="R105" i="52" a="1"/>
  <c r="R105" i="52" s="1"/>
  <c r="S105" i="52" a="1"/>
  <c r="S105" i="52" s="1"/>
  <c r="Q106" i="52" a="1"/>
  <c r="Q106" i="52" s="1"/>
  <c r="R106" i="52" a="1"/>
  <c r="R106" i="52" s="1"/>
  <c r="S106" i="52" a="1"/>
  <c r="S106" i="52" s="1"/>
  <c r="Q24" i="52" a="1"/>
  <c r="Q24" i="52" s="1"/>
  <c r="R24" i="52" a="1"/>
  <c r="R24" i="52" s="1"/>
  <c r="S24" i="52" a="1"/>
  <c r="S24" i="52" s="1"/>
  <c r="AX87" i="52"/>
  <c r="AZ87" i="52" s="1"/>
  <c r="AY87" i="52"/>
  <c r="O5" i="52" a="1"/>
  <c r="O5" i="52" s="1"/>
  <c r="O6" i="52" a="1"/>
  <c r="O6" i="52" s="1"/>
  <c r="O7" i="52" a="1"/>
  <c r="O7" i="52" s="1"/>
  <c r="O8" i="52" a="1"/>
  <c r="O8" i="52" s="1"/>
  <c r="O9" i="52" a="1"/>
  <c r="O9" i="52" s="1"/>
  <c r="O10" i="52" a="1"/>
  <c r="O10" i="52" s="1"/>
  <c r="O11" i="52" a="1"/>
  <c r="O11" i="52" s="1"/>
  <c r="O12" i="52" a="1"/>
  <c r="O12" i="52" s="1"/>
  <c r="O13" i="52" a="1"/>
  <c r="O13" i="52" s="1"/>
  <c r="O14" i="52" a="1"/>
  <c r="O14" i="52" s="1"/>
  <c r="O15" i="52" a="1"/>
  <c r="O15" i="52" s="1"/>
  <c r="O16" i="52" a="1"/>
  <c r="O16" i="52" s="1"/>
  <c r="O17" i="52" a="1"/>
  <c r="O17" i="52" s="1"/>
  <c r="O18" i="52" a="1"/>
  <c r="O18" i="52" s="1"/>
  <c r="O19" i="52" a="1"/>
  <c r="O19" i="52" s="1"/>
  <c r="O20" i="52" a="1"/>
  <c r="O20" i="52" s="1"/>
  <c r="O21" i="52" a="1"/>
  <c r="O21" i="52" s="1"/>
  <c r="O22" i="52" a="1"/>
  <c r="O22" i="52" s="1"/>
  <c r="O23" i="52" a="1"/>
  <c r="O23" i="52" s="1"/>
  <c r="O24" i="52" a="1"/>
  <c r="O24" i="52" s="1"/>
  <c r="O25" i="52" a="1"/>
  <c r="O25" i="52" s="1"/>
  <c r="O26" i="52" a="1"/>
  <c r="O26" i="52" s="1"/>
  <c r="O27" i="52" a="1"/>
  <c r="O27" i="52" s="1"/>
  <c r="O28" i="52" a="1"/>
  <c r="O28" i="52" s="1"/>
  <c r="O29" i="52" a="1"/>
  <c r="O29" i="52" s="1"/>
  <c r="O30" i="52" a="1"/>
  <c r="O30" i="52" s="1"/>
  <c r="O31" i="52" a="1"/>
  <c r="O31" i="52" s="1"/>
  <c r="O32" i="52" a="1"/>
  <c r="O32" i="52" s="1"/>
  <c r="O33" i="52" a="1"/>
  <c r="O33" i="52" s="1"/>
  <c r="O34" i="52" a="1"/>
  <c r="O34" i="52" s="1"/>
  <c r="O35" i="52" a="1"/>
  <c r="O35" i="52" s="1"/>
  <c r="O36" i="52" a="1"/>
  <c r="O36" i="52" s="1"/>
  <c r="O37" i="52" a="1"/>
  <c r="O37" i="52" s="1"/>
  <c r="O38" i="52" a="1"/>
  <c r="O38" i="52" s="1"/>
  <c r="O39" i="52" a="1"/>
  <c r="O39" i="52" s="1"/>
  <c r="O40" i="52" a="1"/>
  <c r="O40" i="52" s="1"/>
  <c r="O41" i="52" a="1"/>
  <c r="O41" i="52" s="1"/>
  <c r="O42" i="52" a="1"/>
  <c r="O42" i="52" s="1"/>
  <c r="O43" i="52" a="1"/>
  <c r="O43" i="52" s="1"/>
  <c r="O44" i="52" a="1"/>
  <c r="O44" i="52" s="1"/>
  <c r="O45" i="52" a="1"/>
  <c r="O45" i="52" s="1"/>
  <c r="O46" i="52" a="1"/>
  <c r="O46" i="52" s="1"/>
  <c r="O47" i="52" a="1"/>
  <c r="O47" i="52" s="1"/>
  <c r="O48" i="52" a="1"/>
  <c r="O48" i="52" s="1"/>
  <c r="O49" i="52" a="1"/>
  <c r="O49" i="52" s="1"/>
  <c r="O50" i="52" a="1"/>
  <c r="O50" i="52" s="1"/>
  <c r="O51" i="52" a="1"/>
  <c r="O51" i="52" s="1"/>
  <c r="O52" i="52" a="1"/>
  <c r="O52" i="52" s="1"/>
  <c r="O53" i="52" a="1"/>
  <c r="O53" i="52" s="1"/>
  <c r="O54" i="52" a="1"/>
  <c r="O54" i="52" s="1"/>
  <c r="O55" i="52" a="1"/>
  <c r="O55" i="52" s="1"/>
  <c r="O56" i="52" a="1"/>
  <c r="O56" i="52" s="1"/>
  <c r="O57" i="52" a="1"/>
  <c r="O57" i="52" s="1"/>
  <c r="O58" i="52" a="1"/>
  <c r="O58" i="52" s="1"/>
  <c r="O59" i="52" a="1"/>
  <c r="O59" i="52" s="1"/>
  <c r="O60" i="52" a="1"/>
  <c r="O60" i="52" s="1"/>
  <c r="O61" i="52" a="1"/>
  <c r="O61" i="52" s="1"/>
  <c r="O62" i="52" a="1"/>
  <c r="O62" i="52" s="1"/>
  <c r="O63" i="52" a="1"/>
  <c r="O63" i="52" s="1"/>
  <c r="O64" i="52" a="1"/>
  <c r="O64" i="52" s="1"/>
  <c r="O65" i="52" a="1"/>
  <c r="O65" i="52" s="1"/>
  <c r="O66" i="52" a="1"/>
  <c r="O66" i="52" s="1"/>
  <c r="O67" i="52" a="1"/>
  <c r="O67" i="52" s="1"/>
  <c r="O68" i="52" a="1"/>
  <c r="O68" i="52" s="1"/>
  <c r="O69" i="52" a="1"/>
  <c r="O69" i="52" s="1"/>
  <c r="O70" i="52" a="1"/>
  <c r="O70" i="52" s="1"/>
  <c r="O71" i="52" a="1"/>
  <c r="O71" i="52" s="1"/>
  <c r="O72" i="52" a="1"/>
  <c r="O72" i="52" s="1"/>
  <c r="O73" i="52" a="1"/>
  <c r="O73" i="52" s="1"/>
  <c r="O74" i="52" a="1"/>
  <c r="O74" i="52" s="1"/>
  <c r="O75" i="52" a="1"/>
  <c r="O75" i="52" s="1"/>
  <c r="O76" i="52" a="1"/>
  <c r="O76" i="52" s="1"/>
  <c r="O77" i="52" a="1"/>
  <c r="O77" i="52" s="1"/>
  <c r="O78" i="52" a="1"/>
  <c r="O78" i="52" s="1"/>
  <c r="O79" i="52" a="1"/>
  <c r="O79" i="52" s="1"/>
  <c r="O80" i="52" a="1"/>
  <c r="O80" i="52" s="1"/>
  <c r="O81" i="52" a="1"/>
  <c r="O81" i="52" s="1"/>
  <c r="O82" i="52" a="1"/>
  <c r="O82" i="52" s="1"/>
  <c r="O83" i="52" a="1"/>
  <c r="O83" i="52" s="1"/>
  <c r="O84" i="52" a="1"/>
  <c r="O84" i="52" s="1"/>
  <c r="O85" i="52" a="1"/>
  <c r="O85" i="52" s="1"/>
  <c r="O86" i="52" a="1"/>
  <c r="O86" i="52" s="1"/>
  <c r="O88" i="52" a="1"/>
  <c r="O88" i="52" s="1"/>
  <c r="O89" i="52" a="1"/>
  <c r="O89" i="52" s="1"/>
  <c r="O90" i="52" a="1"/>
  <c r="O90" i="52" s="1"/>
  <c r="O91" i="52" a="1"/>
  <c r="O91" i="52" s="1"/>
  <c r="O92" i="52" a="1"/>
  <c r="O92" i="52" s="1"/>
  <c r="O93" i="52" a="1"/>
  <c r="O93" i="52" s="1"/>
  <c r="O94" i="52" a="1"/>
  <c r="O94" i="52" s="1"/>
  <c r="O95" i="52" a="1"/>
  <c r="O95" i="52" s="1"/>
  <c r="O96" i="52" a="1"/>
  <c r="O96" i="52" s="1"/>
  <c r="O4" i="52" a="1"/>
  <c r="O4" i="52" s="1"/>
  <c r="N100" i="52" a="1"/>
  <c r="N100" i="52" s="1"/>
  <c r="O100" i="52" a="1"/>
  <c r="O100" i="52" s="1"/>
  <c r="N101" i="52" a="1"/>
  <c r="N101" i="52" s="1"/>
  <c r="O101" i="52" a="1"/>
  <c r="O101" i="52" s="1"/>
  <c r="N102" i="52" a="1"/>
  <c r="N102" i="52" s="1"/>
  <c r="O102" i="52" a="1"/>
  <c r="O102" i="52" s="1"/>
  <c r="N103" i="52" a="1"/>
  <c r="N103" i="52" s="1"/>
  <c r="O103" i="52" a="1"/>
  <c r="O103" i="52" s="1"/>
  <c r="N104" i="52" a="1"/>
  <c r="N104" i="52" s="1"/>
  <c r="O104" i="52" a="1"/>
  <c r="O104" i="52" s="1"/>
  <c r="N105" i="52" a="1"/>
  <c r="N105" i="52" s="1"/>
  <c r="O105" i="52" a="1"/>
  <c r="O105" i="52" s="1"/>
  <c r="N106" i="52" a="1"/>
  <c r="N106" i="52" s="1"/>
  <c r="O106" i="52" a="1"/>
  <c r="O106" i="52" s="1"/>
  <c r="O99" i="52" a="1"/>
  <c r="O99" i="52" s="1"/>
  <c r="N98" i="52" a="1"/>
  <c r="N98" i="52" s="1"/>
  <c r="N99" i="52" a="1"/>
  <c r="N99" i="52" s="1"/>
  <c r="N5" i="52" a="1"/>
  <c r="N5" i="52" s="1"/>
  <c r="N6" i="52" a="1"/>
  <c r="N6" i="52" s="1"/>
  <c r="N7" i="52" a="1"/>
  <c r="N7" i="52" s="1"/>
  <c r="N8" i="52" a="1"/>
  <c r="N8" i="52" s="1"/>
  <c r="N9" i="52" a="1"/>
  <c r="N9" i="52" s="1"/>
  <c r="N10" i="52" a="1"/>
  <c r="N10" i="52" s="1"/>
  <c r="N11" i="52" a="1"/>
  <c r="N11" i="52" s="1"/>
  <c r="N12" i="52" a="1"/>
  <c r="N12" i="52" s="1"/>
  <c r="N13" i="52" a="1"/>
  <c r="N13" i="52" s="1"/>
  <c r="N14" i="52" a="1"/>
  <c r="N14" i="52" s="1"/>
  <c r="N15" i="52" a="1"/>
  <c r="N15" i="52" s="1"/>
  <c r="N16" i="52" a="1"/>
  <c r="N16" i="52" s="1"/>
  <c r="N17" i="52" a="1"/>
  <c r="N17" i="52" s="1"/>
  <c r="N18" i="52" a="1"/>
  <c r="N18" i="52" s="1"/>
  <c r="N19" i="52" a="1"/>
  <c r="N19" i="52" s="1"/>
  <c r="N20" i="52" a="1"/>
  <c r="N20" i="52" s="1"/>
  <c r="N21" i="52" a="1"/>
  <c r="N21" i="52" s="1"/>
  <c r="N22" i="52" a="1"/>
  <c r="N22" i="52" s="1"/>
  <c r="N23" i="52" a="1"/>
  <c r="N23" i="52" s="1"/>
  <c r="N24" i="52" a="1"/>
  <c r="N24" i="52" s="1"/>
  <c r="N25" i="52" a="1"/>
  <c r="N25" i="52" s="1"/>
  <c r="N26" i="52" a="1"/>
  <c r="N26" i="52" s="1"/>
  <c r="N27" i="52" a="1"/>
  <c r="N27" i="52" s="1"/>
  <c r="N28" i="52" a="1"/>
  <c r="N28" i="52" s="1"/>
  <c r="N29" i="52" a="1"/>
  <c r="N29" i="52" s="1"/>
  <c r="N30" i="52" a="1"/>
  <c r="N30" i="52" s="1"/>
  <c r="N31" i="52" a="1"/>
  <c r="N31" i="52" s="1"/>
  <c r="N32" i="52" a="1"/>
  <c r="N32" i="52" s="1"/>
  <c r="N33" i="52" a="1"/>
  <c r="N33" i="52" s="1"/>
  <c r="N34" i="52" a="1"/>
  <c r="N34" i="52" s="1"/>
  <c r="N35" i="52" a="1"/>
  <c r="N35" i="52" s="1"/>
  <c r="N36" i="52" a="1"/>
  <c r="N36" i="52" s="1"/>
  <c r="N37" i="52" a="1"/>
  <c r="N37" i="52" s="1"/>
  <c r="N38" i="52" a="1"/>
  <c r="N38" i="52" s="1"/>
  <c r="N39" i="52" a="1"/>
  <c r="N39" i="52" s="1"/>
  <c r="N40" i="52" a="1"/>
  <c r="N40" i="52" s="1"/>
  <c r="N41" i="52" a="1"/>
  <c r="N41" i="52" s="1"/>
  <c r="N42" i="52" a="1"/>
  <c r="N42" i="52" s="1"/>
  <c r="N43" i="52" a="1"/>
  <c r="N43" i="52" s="1"/>
  <c r="N44" i="52" a="1"/>
  <c r="N44" i="52" s="1"/>
  <c r="N45" i="52" a="1"/>
  <c r="N45" i="52" s="1"/>
  <c r="N46" i="52" a="1"/>
  <c r="N46" i="52" s="1"/>
  <c r="N47" i="52" a="1"/>
  <c r="N47" i="52" s="1"/>
  <c r="N48" i="52" a="1"/>
  <c r="N48" i="52" s="1"/>
  <c r="N49" i="52" a="1"/>
  <c r="N49" i="52" s="1"/>
  <c r="N50" i="52" a="1"/>
  <c r="N50" i="52" s="1"/>
  <c r="N51" i="52" a="1"/>
  <c r="N51" i="52" s="1"/>
  <c r="N52" i="52" a="1"/>
  <c r="N52" i="52" s="1"/>
  <c r="N53" i="52" a="1"/>
  <c r="N53" i="52" s="1"/>
  <c r="N54" i="52" a="1"/>
  <c r="N54" i="52" s="1"/>
  <c r="N55" i="52" a="1"/>
  <c r="N55" i="52" s="1"/>
  <c r="N56" i="52" a="1"/>
  <c r="N56" i="52" s="1"/>
  <c r="N57" i="52" a="1"/>
  <c r="N57" i="52" s="1"/>
  <c r="N58" i="52" a="1"/>
  <c r="N58" i="52" s="1"/>
  <c r="N59" i="52" a="1"/>
  <c r="N59" i="52" s="1"/>
  <c r="N60" i="52" a="1"/>
  <c r="N60" i="52" s="1"/>
  <c r="N61" i="52" a="1"/>
  <c r="N61" i="52" s="1"/>
  <c r="N62" i="52" a="1"/>
  <c r="N62" i="52" s="1"/>
  <c r="N63" i="52" a="1"/>
  <c r="N63" i="52" s="1"/>
  <c r="N64" i="52" a="1"/>
  <c r="N64" i="52" s="1"/>
  <c r="N65" i="52" a="1"/>
  <c r="N65" i="52" s="1"/>
  <c r="N66" i="52" a="1"/>
  <c r="N66" i="52" s="1"/>
  <c r="N67" i="52" a="1"/>
  <c r="N67" i="52" s="1"/>
  <c r="N68" i="52" a="1"/>
  <c r="N68" i="52" s="1"/>
  <c r="N69" i="52" a="1"/>
  <c r="N69" i="52" s="1"/>
  <c r="N70" i="52" a="1"/>
  <c r="N70" i="52" s="1"/>
  <c r="N71" i="52" a="1"/>
  <c r="N71" i="52" s="1"/>
  <c r="N72" i="52" a="1"/>
  <c r="N72" i="52" s="1"/>
  <c r="N73" i="52" a="1"/>
  <c r="N73" i="52" s="1"/>
  <c r="N74" i="52" a="1"/>
  <c r="N74" i="52" s="1"/>
  <c r="N75" i="52" a="1"/>
  <c r="N75" i="52" s="1"/>
  <c r="N76" i="52" a="1"/>
  <c r="N76" i="52" s="1"/>
  <c r="N77" i="52" a="1"/>
  <c r="N77" i="52" s="1"/>
  <c r="N78" i="52" a="1"/>
  <c r="N78" i="52" s="1"/>
  <c r="N79" i="52" a="1"/>
  <c r="N79" i="52" s="1"/>
  <c r="N80" i="52" a="1"/>
  <c r="N80" i="52" s="1"/>
  <c r="N81" i="52" a="1"/>
  <c r="N81" i="52" s="1"/>
  <c r="N82" i="52" a="1"/>
  <c r="N82" i="52" s="1"/>
  <c r="N83" i="52" a="1"/>
  <c r="N83" i="52" s="1"/>
  <c r="N84" i="52" a="1"/>
  <c r="N84" i="52" s="1"/>
  <c r="N85" i="52" a="1"/>
  <c r="N85" i="52" s="1"/>
  <c r="N86" i="52" a="1"/>
  <c r="N86" i="52" s="1"/>
  <c r="N88" i="52" a="1"/>
  <c r="N88" i="52" s="1"/>
  <c r="N89" i="52" a="1"/>
  <c r="N89" i="52" s="1"/>
  <c r="N90" i="52" a="1"/>
  <c r="N90" i="52" s="1"/>
  <c r="N91" i="52" a="1"/>
  <c r="N91" i="52" s="1"/>
  <c r="N92" i="52" a="1"/>
  <c r="N92" i="52" s="1"/>
  <c r="N93" i="52" a="1"/>
  <c r="N93" i="52" s="1"/>
  <c r="N94" i="52" a="1"/>
  <c r="N94" i="52" s="1"/>
  <c r="N95" i="52" a="1"/>
  <c r="N95" i="52" s="1"/>
  <c r="N96" i="52" a="1"/>
  <c r="N96" i="52" s="1"/>
  <c r="N97" i="52" s="1"/>
  <c r="N4" i="52" a="1"/>
  <c r="N4" i="52" s="1"/>
  <c r="G49" i="50"/>
  <c r="AN73" i="50"/>
  <c r="AO73" i="50" s="1"/>
  <c r="AN87" i="52" l="1"/>
  <c r="M98" i="52" a="1"/>
  <c r="M98" i="52" s="1"/>
  <c r="M99" i="52" a="1"/>
  <c r="M99" i="52" s="1"/>
  <c r="M100" i="52" a="1"/>
  <c r="M100" i="52" s="1"/>
  <c r="M101" i="52" a="1"/>
  <c r="M101" i="52" s="1"/>
  <c r="M102" i="52" a="1"/>
  <c r="M102" i="52" s="1"/>
  <c r="M103" i="52" a="1"/>
  <c r="M103" i="52" s="1"/>
  <c r="M104" i="52" a="1"/>
  <c r="M104" i="52" s="1"/>
  <c r="M105" i="52" a="1"/>
  <c r="M105" i="52" s="1"/>
  <c r="M106" i="52" a="1"/>
  <c r="M106" i="52" s="1"/>
  <c r="M5" i="52" a="1"/>
  <c r="M5" i="52" s="1"/>
  <c r="M6" i="52" a="1"/>
  <c r="M6" i="52" s="1"/>
  <c r="M7" i="52" a="1"/>
  <c r="M7" i="52" s="1"/>
  <c r="M8" i="52" a="1"/>
  <c r="M8" i="52" s="1"/>
  <c r="M9" i="52" a="1"/>
  <c r="M9" i="52" s="1"/>
  <c r="M10" i="52" a="1"/>
  <c r="M10" i="52" s="1"/>
  <c r="M11" i="52" a="1"/>
  <c r="M11" i="52" s="1"/>
  <c r="M12" i="52" a="1"/>
  <c r="M12" i="52" s="1"/>
  <c r="M13" i="52" a="1"/>
  <c r="M13" i="52" s="1"/>
  <c r="M14" i="52" a="1"/>
  <c r="M14" i="52" s="1"/>
  <c r="M15" i="52" a="1"/>
  <c r="M15" i="52" s="1"/>
  <c r="M16" i="52" a="1"/>
  <c r="M16" i="52" s="1"/>
  <c r="M17" i="52" a="1"/>
  <c r="M17" i="52" s="1"/>
  <c r="M18" i="52" a="1"/>
  <c r="M18" i="52" s="1"/>
  <c r="M19" i="52" a="1"/>
  <c r="M19" i="52" s="1"/>
  <c r="M20" i="52" a="1"/>
  <c r="M20" i="52" s="1"/>
  <c r="M21" i="52" a="1"/>
  <c r="M21" i="52" s="1"/>
  <c r="M22" i="52" a="1"/>
  <c r="M22" i="52" s="1"/>
  <c r="M23" i="52" a="1"/>
  <c r="M23" i="52" s="1"/>
  <c r="M24" i="52" a="1"/>
  <c r="M24" i="52" s="1"/>
  <c r="M25" i="52" a="1"/>
  <c r="M25" i="52" s="1"/>
  <c r="M26" i="52" a="1"/>
  <c r="M26" i="52" s="1"/>
  <c r="M27" i="52" a="1"/>
  <c r="M27" i="52" s="1"/>
  <c r="M28" i="52" a="1"/>
  <c r="M28" i="52" s="1"/>
  <c r="M29" i="52" a="1"/>
  <c r="M29" i="52" s="1"/>
  <c r="M30" i="52" a="1"/>
  <c r="M30" i="52" s="1"/>
  <c r="M31" i="52" a="1"/>
  <c r="M31" i="52" s="1"/>
  <c r="M32" i="52" a="1"/>
  <c r="M32" i="52" s="1"/>
  <c r="M33" i="52" a="1"/>
  <c r="M33" i="52" s="1"/>
  <c r="M34" i="52" a="1"/>
  <c r="M34" i="52" s="1"/>
  <c r="M35" i="52" a="1"/>
  <c r="M35" i="52" s="1"/>
  <c r="M36" i="52" a="1"/>
  <c r="M36" i="52" s="1"/>
  <c r="M37" i="52" a="1"/>
  <c r="M37" i="52" s="1"/>
  <c r="M38" i="52" a="1"/>
  <c r="M38" i="52" s="1"/>
  <c r="M39" i="52" a="1"/>
  <c r="M39" i="52" s="1"/>
  <c r="M40" i="52" a="1"/>
  <c r="M40" i="52" s="1"/>
  <c r="M41" i="52" a="1"/>
  <c r="M41" i="52" s="1"/>
  <c r="M42" i="52" a="1"/>
  <c r="M42" i="52" s="1"/>
  <c r="M43" i="52" a="1"/>
  <c r="M43" i="52" s="1"/>
  <c r="M44" i="52" a="1"/>
  <c r="M44" i="52" s="1"/>
  <c r="M45" i="52" a="1"/>
  <c r="M45" i="52" s="1"/>
  <c r="M46" i="52" a="1"/>
  <c r="M46" i="52" s="1"/>
  <c r="M47" i="52" a="1"/>
  <c r="M47" i="52" s="1"/>
  <c r="M48" i="52" a="1"/>
  <c r="M48" i="52" s="1"/>
  <c r="M49" i="52" a="1"/>
  <c r="M49" i="52" s="1"/>
  <c r="M50" i="52" a="1"/>
  <c r="M50" i="52" s="1"/>
  <c r="M51" i="52" a="1"/>
  <c r="M51" i="52" s="1"/>
  <c r="M52" i="52" a="1"/>
  <c r="M52" i="52" s="1"/>
  <c r="M53" i="52" a="1"/>
  <c r="M53" i="52" s="1"/>
  <c r="M54" i="52" a="1"/>
  <c r="M54" i="52" s="1"/>
  <c r="M55" i="52" a="1"/>
  <c r="M55" i="52" s="1"/>
  <c r="M56" i="52" a="1"/>
  <c r="M56" i="52" s="1"/>
  <c r="M57" i="52" a="1"/>
  <c r="M57" i="52" s="1"/>
  <c r="M58" i="52" a="1"/>
  <c r="M58" i="52" s="1"/>
  <c r="M59" i="52" a="1"/>
  <c r="M59" i="52" s="1"/>
  <c r="M60" i="52" a="1"/>
  <c r="M60" i="52" s="1"/>
  <c r="M61" i="52" a="1"/>
  <c r="M61" i="52" s="1"/>
  <c r="M62" i="52" a="1"/>
  <c r="M62" i="52" s="1"/>
  <c r="M63" i="52" a="1"/>
  <c r="M63" i="52" s="1"/>
  <c r="M64" i="52" a="1"/>
  <c r="M64" i="52" s="1"/>
  <c r="M65" i="52" a="1"/>
  <c r="M65" i="52" s="1"/>
  <c r="M66" i="52" a="1"/>
  <c r="M66" i="52" s="1"/>
  <c r="M67" i="52" a="1"/>
  <c r="M67" i="52" s="1"/>
  <c r="M68" i="52" a="1"/>
  <c r="M68" i="52" s="1"/>
  <c r="M69" i="52" a="1"/>
  <c r="M69" i="52" s="1"/>
  <c r="M70" i="52" a="1"/>
  <c r="M70" i="52" s="1"/>
  <c r="M71" i="52" a="1"/>
  <c r="M71" i="52" s="1"/>
  <c r="M72" i="52" a="1"/>
  <c r="M72" i="52" s="1"/>
  <c r="M73" i="52" a="1"/>
  <c r="M73" i="52" s="1"/>
  <c r="M74" i="52" a="1"/>
  <c r="M74" i="52" s="1"/>
  <c r="M75" i="52" a="1"/>
  <c r="M75" i="52" s="1"/>
  <c r="M76" i="52" a="1"/>
  <c r="M76" i="52" s="1"/>
  <c r="M77" i="52" a="1"/>
  <c r="M77" i="52" s="1"/>
  <c r="M78" i="52" a="1"/>
  <c r="M78" i="52" s="1"/>
  <c r="M79" i="52" a="1"/>
  <c r="M79" i="52" s="1"/>
  <c r="M80" i="52" a="1"/>
  <c r="M80" i="52" s="1"/>
  <c r="M81" i="52" a="1"/>
  <c r="M81" i="52" s="1"/>
  <c r="M82" i="52" a="1"/>
  <c r="M82" i="52" s="1"/>
  <c r="M83" i="52" a="1"/>
  <c r="M83" i="52" s="1"/>
  <c r="M84" i="52" a="1"/>
  <c r="M84" i="52" s="1"/>
  <c r="M85" i="52" a="1"/>
  <c r="M85" i="52" s="1"/>
  <c r="M86" i="52" a="1"/>
  <c r="M86" i="52" s="1"/>
  <c r="M88" i="52" a="1"/>
  <c r="M88" i="52" s="1"/>
  <c r="M89" i="52" a="1"/>
  <c r="M89" i="52" s="1"/>
  <c r="M90" i="52" a="1"/>
  <c r="M90" i="52" s="1"/>
  <c r="M91" i="52" a="1"/>
  <c r="M91" i="52" s="1"/>
  <c r="M92" i="52" a="1"/>
  <c r="M92" i="52" s="1"/>
  <c r="M93" i="52" a="1"/>
  <c r="M93" i="52" s="1"/>
  <c r="M94" i="52" a="1"/>
  <c r="M94" i="52" s="1"/>
  <c r="M95" i="52" a="1"/>
  <c r="M95" i="52" s="1"/>
  <c r="M96" i="52" a="1"/>
  <c r="M96" i="52" s="1"/>
  <c r="M97" i="52" s="1"/>
  <c r="M4" i="52" a="1"/>
  <c r="M4" i="52" s="1"/>
  <c r="K102" i="52" a="1"/>
  <c r="K102" i="52" s="1"/>
  <c r="L102" i="52" a="1"/>
  <c r="L102" i="52" s="1"/>
  <c r="K103" i="52" a="1"/>
  <c r="K103" i="52" s="1"/>
  <c r="L103" i="52" a="1"/>
  <c r="L103" i="52" s="1"/>
  <c r="K104" i="52" a="1"/>
  <c r="K104" i="52" s="1"/>
  <c r="L104" i="52" a="1"/>
  <c r="L104" i="52" s="1"/>
  <c r="K105" i="52" a="1"/>
  <c r="K105" i="52" s="1"/>
  <c r="L105" i="52" a="1"/>
  <c r="L105" i="52" s="1"/>
  <c r="K106" i="52" a="1"/>
  <c r="K106" i="52" s="1"/>
  <c r="L106" i="52" a="1"/>
  <c r="L106" i="52" s="1"/>
  <c r="K98" i="52" a="1"/>
  <c r="K98" i="52" s="1"/>
  <c r="K99" i="52" a="1"/>
  <c r="K99" i="52" s="1"/>
  <c r="L99" i="52" a="1"/>
  <c r="L99" i="52" s="1"/>
  <c r="K100" i="52" a="1"/>
  <c r="K100" i="52" s="1"/>
  <c r="L100" i="52" a="1"/>
  <c r="L100" i="52" s="1"/>
  <c r="K101" i="52" a="1"/>
  <c r="K101" i="52" s="1"/>
  <c r="J5" i="52" a="1"/>
  <c r="J5" i="52" s="1"/>
  <c r="K5" i="52" a="1"/>
  <c r="K5" i="52" s="1"/>
  <c r="L5" i="52" a="1"/>
  <c r="L5" i="52" s="1"/>
  <c r="J6" i="52" a="1"/>
  <c r="J6" i="52" s="1"/>
  <c r="K6" i="52" a="1"/>
  <c r="K6" i="52" s="1"/>
  <c r="L6" i="52" a="1"/>
  <c r="L6" i="52" s="1"/>
  <c r="J7" i="52" a="1"/>
  <c r="J7" i="52" s="1"/>
  <c r="K7" i="52" a="1"/>
  <c r="K7" i="52" s="1"/>
  <c r="L7" i="52" a="1"/>
  <c r="L7" i="52" s="1"/>
  <c r="J8" i="52" a="1"/>
  <c r="J8" i="52" s="1"/>
  <c r="K8" i="52" a="1"/>
  <c r="K8" i="52" s="1"/>
  <c r="L8" i="52" a="1"/>
  <c r="L8" i="52" s="1"/>
  <c r="J9" i="52" a="1"/>
  <c r="J9" i="52" s="1"/>
  <c r="K9" i="52" a="1"/>
  <c r="K9" i="52" s="1"/>
  <c r="L9" i="52" a="1"/>
  <c r="L9" i="52" s="1"/>
  <c r="J10" i="52" a="1"/>
  <c r="J10" i="52" s="1"/>
  <c r="K10" i="52" a="1"/>
  <c r="K10" i="52" s="1"/>
  <c r="L10" i="52" a="1"/>
  <c r="L10" i="52" s="1"/>
  <c r="J11" i="52" a="1"/>
  <c r="J11" i="52" s="1"/>
  <c r="K11" i="52" a="1"/>
  <c r="K11" i="52" s="1"/>
  <c r="L11" i="52" a="1"/>
  <c r="L11" i="52" s="1"/>
  <c r="J12" i="52" a="1"/>
  <c r="J12" i="52" s="1"/>
  <c r="K12" i="52" a="1"/>
  <c r="K12" i="52" s="1"/>
  <c r="J13" i="52" a="1"/>
  <c r="J13" i="52" s="1"/>
  <c r="K13" i="52" a="1"/>
  <c r="K13" i="52" s="1"/>
  <c r="L13" i="52" a="1"/>
  <c r="L13" i="52" s="1"/>
  <c r="J14" i="52" a="1"/>
  <c r="J14" i="52" s="1"/>
  <c r="K14" i="52" a="1"/>
  <c r="K14" i="52" s="1"/>
  <c r="L14" i="52" a="1"/>
  <c r="L14" i="52" s="1"/>
  <c r="J15" i="52" a="1"/>
  <c r="J15" i="52" s="1"/>
  <c r="K15" i="52" a="1"/>
  <c r="K15" i="52" s="1"/>
  <c r="L15" i="52" a="1"/>
  <c r="L15" i="52" s="1"/>
  <c r="J16" i="52" a="1"/>
  <c r="J16" i="52" s="1"/>
  <c r="K16" i="52" a="1"/>
  <c r="K16" i="52" s="1"/>
  <c r="L16" i="52" a="1"/>
  <c r="L16" i="52" s="1"/>
  <c r="J17" i="52" a="1"/>
  <c r="J17" i="52" s="1"/>
  <c r="K17" i="52" a="1"/>
  <c r="K17" i="52" s="1"/>
  <c r="L17" i="52" a="1"/>
  <c r="L17" i="52" s="1"/>
  <c r="J18" i="52" a="1"/>
  <c r="J18" i="52" s="1"/>
  <c r="K18" i="52" a="1"/>
  <c r="K18" i="52" s="1"/>
  <c r="L18" i="52" a="1"/>
  <c r="L18" i="52" s="1"/>
  <c r="J19" i="52" a="1"/>
  <c r="J19" i="52" s="1"/>
  <c r="K19" i="52" a="1"/>
  <c r="K19" i="52" s="1"/>
  <c r="L19" i="52" a="1"/>
  <c r="L19" i="52" s="1"/>
  <c r="J20" i="52" a="1"/>
  <c r="J20" i="52" s="1"/>
  <c r="K20" i="52" a="1"/>
  <c r="K20" i="52" s="1"/>
  <c r="L20" i="52" a="1"/>
  <c r="L20" i="52" s="1"/>
  <c r="J21" i="52" a="1"/>
  <c r="J21" i="52" s="1"/>
  <c r="K21" i="52" a="1"/>
  <c r="K21" i="52" s="1"/>
  <c r="L21" i="52" a="1"/>
  <c r="L21" i="52" s="1"/>
  <c r="J22" i="52" a="1"/>
  <c r="J22" i="52" s="1"/>
  <c r="K22" i="52" a="1"/>
  <c r="K22" i="52" s="1"/>
  <c r="L22" i="52" a="1"/>
  <c r="L22" i="52" s="1"/>
  <c r="J23" i="52" a="1"/>
  <c r="J23" i="52" s="1"/>
  <c r="K23" i="52" a="1"/>
  <c r="K23" i="52" s="1"/>
  <c r="L23" i="52" a="1"/>
  <c r="L23" i="52" s="1"/>
  <c r="J24" i="52" a="1"/>
  <c r="J24" i="52" s="1"/>
  <c r="K24" i="52" a="1"/>
  <c r="K24" i="52" s="1"/>
  <c r="L24" i="52" a="1"/>
  <c r="L24" i="52" s="1"/>
  <c r="J25" i="52" a="1"/>
  <c r="J25" i="52" s="1"/>
  <c r="K25" i="52" a="1"/>
  <c r="K25" i="52" s="1"/>
  <c r="L25" i="52" a="1"/>
  <c r="L25" i="52" s="1"/>
  <c r="J26" i="52" a="1"/>
  <c r="J26" i="52" s="1"/>
  <c r="K26" i="52" a="1"/>
  <c r="K26" i="52" s="1"/>
  <c r="L26" i="52" a="1"/>
  <c r="L26" i="52" s="1"/>
  <c r="J27" i="52" a="1"/>
  <c r="J27" i="52" s="1"/>
  <c r="K27" i="52" a="1"/>
  <c r="K27" i="52" s="1"/>
  <c r="L27" i="52" a="1"/>
  <c r="L27" i="52" s="1"/>
  <c r="J28" i="52" a="1"/>
  <c r="J28" i="52" s="1"/>
  <c r="K28" i="52" a="1"/>
  <c r="K28" i="52" s="1"/>
  <c r="L28" i="52" a="1"/>
  <c r="L28" i="52" s="1"/>
  <c r="J29" i="52" a="1"/>
  <c r="J29" i="52" s="1"/>
  <c r="K29" i="52" a="1"/>
  <c r="K29" i="52" s="1"/>
  <c r="L29" i="52" a="1"/>
  <c r="L29" i="52" s="1"/>
  <c r="J30" i="52" a="1"/>
  <c r="J30" i="52" s="1"/>
  <c r="K30" i="52" a="1"/>
  <c r="K30" i="52" s="1"/>
  <c r="L30" i="52" a="1"/>
  <c r="L30" i="52" s="1"/>
  <c r="J31" i="52" a="1"/>
  <c r="J31" i="52" s="1"/>
  <c r="K31" i="52" a="1"/>
  <c r="K31" i="52" s="1"/>
  <c r="L31" i="52" a="1"/>
  <c r="L31" i="52" s="1"/>
  <c r="J32" i="52" a="1"/>
  <c r="J32" i="52" s="1"/>
  <c r="K32" i="52" a="1"/>
  <c r="K32" i="52" s="1"/>
  <c r="L32" i="52" a="1"/>
  <c r="L32" i="52" s="1"/>
  <c r="J33" i="52" a="1"/>
  <c r="J33" i="52" s="1"/>
  <c r="K33" i="52" a="1"/>
  <c r="K33" i="52" s="1"/>
  <c r="L33" i="52" a="1"/>
  <c r="L33" i="52" s="1"/>
  <c r="J34" i="52" a="1"/>
  <c r="J34" i="52" s="1"/>
  <c r="K34" i="52" a="1"/>
  <c r="K34" i="52" s="1"/>
  <c r="L34" i="52" a="1"/>
  <c r="L34" i="52" s="1"/>
  <c r="J35" i="52" a="1"/>
  <c r="J35" i="52" s="1"/>
  <c r="K35" i="52" a="1"/>
  <c r="K35" i="52" s="1"/>
  <c r="L35" i="52" a="1"/>
  <c r="L35" i="52" s="1"/>
  <c r="J36" i="52" a="1"/>
  <c r="J36" i="52" s="1"/>
  <c r="K36" i="52" a="1"/>
  <c r="K36" i="52" s="1"/>
  <c r="L36" i="52" a="1"/>
  <c r="L36" i="52" s="1"/>
  <c r="J37" i="52" a="1"/>
  <c r="J37" i="52" s="1"/>
  <c r="K37" i="52" a="1"/>
  <c r="K37" i="52" s="1"/>
  <c r="L37" i="52" a="1"/>
  <c r="L37" i="52" s="1"/>
  <c r="J38" i="52" a="1"/>
  <c r="J38" i="52" s="1"/>
  <c r="K38" i="52" a="1"/>
  <c r="K38" i="52" s="1"/>
  <c r="L38" i="52" a="1"/>
  <c r="L38" i="52" s="1"/>
  <c r="J39" i="52" a="1"/>
  <c r="J39" i="52" s="1"/>
  <c r="K39" i="52" a="1"/>
  <c r="K39" i="52" s="1"/>
  <c r="L39" i="52" a="1"/>
  <c r="L39" i="52" s="1"/>
  <c r="J40" i="52" a="1"/>
  <c r="J40" i="52" s="1"/>
  <c r="K40" i="52" a="1"/>
  <c r="K40" i="52" s="1"/>
  <c r="L40" i="52" a="1"/>
  <c r="L40" i="52" s="1"/>
  <c r="J41" i="52" a="1"/>
  <c r="J41" i="52" s="1"/>
  <c r="K41" i="52" a="1"/>
  <c r="K41" i="52" s="1"/>
  <c r="L41" i="52" a="1"/>
  <c r="L41" i="52" s="1"/>
  <c r="J42" i="52" a="1"/>
  <c r="J42" i="52" s="1"/>
  <c r="K42" i="52" a="1"/>
  <c r="K42" i="52" s="1"/>
  <c r="L42" i="52" a="1"/>
  <c r="L42" i="52" s="1"/>
  <c r="J43" i="52" a="1"/>
  <c r="J43" i="52" s="1"/>
  <c r="K43" i="52" a="1"/>
  <c r="K43" i="52" s="1"/>
  <c r="L43" i="52" a="1"/>
  <c r="L43" i="52" s="1"/>
  <c r="J44" i="52" a="1"/>
  <c r="J44" i="52" s="1"/>
  <c r="K44" i="52" a="1"/>
  <c r="K44" i="52" s="1"/>
  <c r="L44" i="52" a="1"/>
  <c r="L44" i="52" s="1"/>
  <c r="J45" i="52" a="1"/>
  <c r="J45" i="52" s="1"/>
  <c r="K45" i="52" a="1"/>
  <c r="K45" i="52" s="1"/>
  <c r="L45" i="52" a="1"/>
  <c r="L45" i="52" s="1"/>
  <c r="J46" i="52" a="1"/>
  <c r="J46" i="52" s="1"/>
  <c r="K46" i="52" a="1"/>
  <c r="K46" i="52" s="1"/>
  <c r="L46" i="52" a="1"/>
  <c r="L46" i="52" s="1"/>
  <c r="J47" i="52" a="1"/>
  <c r="J47" i="52" s="1"/>
  <c r="K47" i="52" a="1"/>
  <c r="K47" i="52" s="1"/>
  <c r="L47" i="52" a="1"/>
  <c r="L47" i="52" s="1"/>
  <c r="J48" i="52" a="1"/>
  <c r="J48" i="52" s="1"/>
  <c r="K48" i="52" a="1"/>
  <c r="K48" i="52" s="1"/>
  <c r="L48" i="52" a="1"/>
  <c r="L48" i="52" s="1"/>
  <c r="J49" i="52" a="1"/>
  <c r="J49" i="52" s="1"/>
  <c r="K49" i="52" a="1"/>
  <c r="K49" i="52" s="1"/>
  <c r="L49" i="52" a="1"/>
  <c r="L49" i="52" s="1"/>
  <c r="J50" i="52" a="1"/>
  <c r="J50" i="52" s="1"/>
  <c r="K50" i="52" a="1"/>
  <c r="K50" i="52" s="1"/>
  <c r="L50" i="52" a="1"/>
  <c r="L50" i="52" s="1"/>
  <c r="J51" i="52" a="1"/>
  <c r="J51" i="52" s="1"/>
  <c r="K51" i="52" a="1"/>
  <c r="K51" i="52" s="1"/>
  <c r="L51" i="52" a="1"/>
  <c r="L51" i="52" s="1"/>
  <c r="J52" i="52" a="1"/>
  <c r="J52" i="52" s="1"/>
  <c r="K52" i="52" a="1"/>
  <c r="K52" i="52" s="1"/>
  <c r="L52" i="52" a="1"/>
  <c r="L52" i="52" s="1"/>
  <c r="J53" i="52" a="1"/>
  <c r="J53" i="52" s="1"/>
  <c r="K53" i="52" a="1"/>
  <c r="K53" i="52" s="1"/>
  <c r="L53" i="52" a="1"/>
  <c r="L53" i="52" s="1"/>
  <c r="J54" i="52" a="1"/>
  <c r="J54" i="52" s="1"/>
  <c r="K54" i="52" a="1"/>
  <c r="K54" i="52" s="1"/>
  <c r="L54" i="52" a="1"/>
  <c r="L54" i="52" s="1"/>
  <c r="J55" i="52" a="1"/>
  <c r="J55" i="52" s="1"/>
  <c r="K55" i="52" a="1"/>
  <c r="K55" i="52" s="1"/>
  <c r="L55" i="52" a="1"/>
  <c r="L55" i="52" s="1"/>
  <c r="J56" i="52" a="1"/>
  <c r="J56" i="52" s="1"/>
  <c r="K56" i="52" a="1"/>
  <c r="K56" i="52" s="1"/>
  <c r="L56" i="52" a="1"/>
  <c r="L56" i="52" s="1"/>
  <c r="J57" i="52" a="1"/>
  <c r="J57" i="52" s="1"/>
  <c r="K57" i="52" a="1"/>
  <c r="K57" i="52" s="1"/>
  <c r="L57" i="52" a="1"/>
  <c r="L57" i="52" s="1"/>
  <c r="J58" i="52" a="1"/>
  <c r="J58" i="52" s="1"/>
  <c r="K58" i="52" a="1"/>
  <c r="K58" i="52" s="1"/>
  <c r="L58" i="52" a="1"/>
  <c r="L58" i="52" s="1"/>
  <c r="J59" i="52" a="1"/>
  <c r="J59" i="52" s="1"/>
  <c r="K59" i="52" a="1"/>
  <c r="K59" i="52" s="1"/>
  <c r="L59" i="52" a="1"/>
  <c r="L59" i="52" s="1"/>
  <c r="J60" i="52" a="1"/>
  <c r="J60" i="52" s="1"/>
  <c r="K60" i="52" a="1"/>
  <c r="K60" i="52" s="1"/>
  <c r="L60" i="52" a="1"/>
  <c r="L60" i="52" s="1"/>
  <c r="J61" i="52" a="1"/>
  <c r="J61" i="52" s="1"/>
  <c r="K61" i="52" a="1"/>
  <c r="K61" i="52" s="1"/>
  <c r="L61" i="52" a="1"/>
  <c r="L61" i="52" s="1"/>
  <c r="J62" i="52" a="1"/>
  <c r="J62" i="52" s="1"/>
  <c r="K62" i="52" a="1"/>
  <c r="K62" i="52" s="1"/>
  <c r="L62" i="52" a="1"/>
  <c r="L62" i="52" s="1"/>
  <c r="J63" i="52" a="1"/>
  <c r="J63" i="52" s="1"/>
  <c r="K63" i="52" a="1"/>
  <c r="K63" i="52" s="1"/>
  <c r="L63" i="52" a="1"/>
  <c r="L63" i="52" s="1"/>
  <c r="J64" i="52" a="1"/>
  <c r="J64" i="52" s="1"/>
  <c r="K64" i="52" a="1"/>
  <c r="K64" i="52" s="1"/>
  <c r="L64" i="52" a="1"/>
  <c r="L64" i="52" s="1"/>
  <c r="J65" i="52" a="1"/>
  <c r="J65" i="52" s="1"/>
  <c r="K65" i="52" a="1"/>
  <c r="K65" i="52" s="1"/>
  <c r="L65" i="52" a="1"/>
  <c r="L65" i="52" s="1"/>
  <c r="J66" i="52" a="1"/>
  <c r="J66" i="52" s="1"/>
  <c r="K66" i="52" a="1"/>
  <c r="K66" i="52" s="1"/>
  <c r="L66" i="52" a="1"/>
  <c r="L66" i="52" s="1"/>
  <c r="J67" i="52" a="1"/>
  <c r="J67" i="52" s="1"/>
  <c r="K67" i="52" a="1"/>
  <c r="K67" i="52" s="1"/>
  <c r="L67" i="52" a="1"/>
  <c r="L67" i="52" s="1"/>
  <c r="J68" i="52" a="1"/>
  <c r="J68" i="52" s="1"/>
  <c r="K68" i="52" a="1"/>
  <c r="K68" i="52" s="1"/>
  <c r="L68" i="52" a="1"/>
  <c r="L68" i="52" s="1"/>
  <c r="J69" i="52" a="1"/>
  <c r="J69" i="52" s="1"/>
  <c r="K69" i="52" a="1"/>
  <c r="K69" i="52" s="1"/>
  <c r="L69" i="52" a="1"/>
  <c r="L69" i="52" s="1"/>
  <c r="J70" i="52" a="1"/>
  <c r="J70" i="52" s="1"/>
  <c r="K70" i="52" a="1"/>
  <c r="K70" i="52" s="1"/>
  <c r="L70" i="52" a="1"/>
  <c r="L70" i="52" s="1"/>
  <c r="J71" i="52" a="1"/>
  <c r="J71" i="52" s="1"/>
  <c r="K71" i="52" a="1"/>
  <c r="K71" i="52" s="1"/>
  <c r="L71" i="52" a="1"/>
  <c r="L71" i="52" s="1"/>
  <c r="J72" i="52" a="1"/>
  <c r="J72" i="52" s="1"/>
  <c r="K72" i="52" a="1"/>
  <c r="K72" i="52" s="1"/>
  <c r="L72" i="52" a="1"/>
  <c r="L72" i="52" s="1"/>
  <c r="J73" i="52" a="1"/>
  <c r="J73" i="52" s="1"/>
  <c r="K73" i="52" a="1"/>
  <c r="K73" i="52" s="1"/>
  <c r="L73" i="52" a="1"/>
  <c r="L73" i="52" s="1"/>
  <c r="J74" i="52" a="1"/>
  <c r="J74" i="52" s="1"/>
  <c r="K74" i="52" a="1"/>
  <c r="K74" i="52" s="1"/>
  <c r="L74" i="52" a="1"/>
  <c r="L74" i="52" s="1"/>
  <c r="J75" i="52" a="1"/>
  <c r="J75" i="52" s="1"/>
  <c r="K75" i="52" a="1"/>
  <c r="K75" i="52" s="1"/>
  <c r="L75" i="52" a="1"/>
  <c r="L75" i="52" s="1"/>
  <c r="J76" i="52" a="1"/>
  <c r="J76" i="52" s="1"/>
  <c r="K76" i="52" a="1"/>
  <c r="K76" i="52" s="1"/>
  <c r="L76" i="52" a="1"/>
  <c r="L76" i="52" s="1"/>
  <c r="J77" i="52" a="1"/>
  <c r="J77" i="52" s="1"/>
  <c r="K77" i="52" a="1"/>
  <c r="K77" i="52" s="1"/>
  <c r="L77" i="52" a="1"/>
  <c r="L77" i="52" s="1"/>
  <c r="J78" i="52" a="1"/>
  <c r="J78" i="52" s="1"/>
  <c r="K78" i="52" a="1"/>
  <c r="K78" i="52" s="1"/>
  <c r="L78" i="52" a="1"/>
  <c r="L78" i="52" s="1"/>
  <c r="J79" i="52" a="1"/>
  <c r="J79" i="52" s="1"/>
  <c r="K79" i="52" a="1"/>
  <c r="K79" i="52" s="1"/>
  <c r="L79" i="52" a="1"/>
  <c r="L79" i="52" s="1"/>
  <c r="J80" i="52" a="1"/>
  <c r="J80" i="52" s="1"/>
  <c r="K80" i="52" a="1"/>
  <c r="K80" i="52" s="1"/>
  <c r="L80" i="52" a="1"/>
  <c r="L80" i="52" s="1"/>
  <c r="J81" i="52" a="1"/>
  <c r="J81" i="52" s="1"/>
  <c r="K81" i="52" a="1"/>
  <c r="K81" i="52" s="1"/>
  <c r="L81" i="52" a="1"/>
  <c r="L81" i="52" s="1"/>
  <c r="J82" i="52" a="1"/>
  <c r="J82" i="52" s="1"/>
  <c r="K82" i="52" a="1"/>
  <c r="K82" i="52" s="1"/>
  <c r="L82" i="52" a="1"/>
  <c r="L82" i="52" s="1"/>
  <c r="J83" i="52" a="1"/>
  <c r="J83" i="52" s="1"/>
  <c r="K83" i="52" a="1"/>
  <c r="K83" i="52" s="1"/>
  <c r="L83" i="52" a="1"/>
  <c r="L83" i="52" s="1"/>
  <c r="J84" i="52" a="1"/>
  <c r="J84" i="52" s="1"/>
  <c r="K84" i="52" a="1"/>
  <c r="K84" i="52" s="1"/>
  <c r="L84" i="52" a="1"/>
  <c r="L84" i="52" s="1"/>
  <c r="J85" i="52" a="1"/>
  <c r="J85" i="52" s="1"/>
  <c r="K85" i="52" a="1"/>
  <c r="K85" i="52" s="1"/>
  <c r="L85" i="52" a="1"/>
  <c r="L85" i="52" s="1"/>
  <c r="J86" i="52" a="1"/>
  <c r="J86" i="52" s="1"/>
  <c r="K86" i="52" a="1"/>
  <c r="K86" i="52" s="1"/>
  <c r="L86" i="52" a="1"/>
  <c r="L86" i="52" s="1"/>
  <c r="J88" i="52" a="1"/>
  <c r="J88" i="52" s="1"/>
  <c r="K88" i="52" a="1"/>
  <c r="K88" i="52" s="1"/>
  <c r="L88" i="52" a="1"/>
  <c r="L88" i="52" s="1"/>
  <c r="J89" i="52" a="1"/>
  <c r="J89" i="52" s="1"/>
  <c r="K89" i="52" a="1"/>
  <c r="K89" i="52" s="1"/>
  <c r="L89" i="52" a="1"/>
  <c r="L89" i="52" s="1"/>
  <c r="J90" i="52" a="1"/>
  <c r="J90" i="52" s="1"/>
  <c r="K90" i="52" a="1"/>
  <c r="K90" i="52" s="1"/>
  <c r="L90" i="52" a="1"/>
  <c r="L90" i="52" s="1"/>
  <c r="J91" i="52" a="1"/>
  <c r="J91" i="52" s="1"/>
  <c r="K91" i="52" a="1"/>
  <c r="K91" i="52" s="1"/>
  <c r="L91" i="52" a="1"/>
  <c r="L91" i="52" s="1"/>
  <c r="J92" i="52" a="1"/>
  <c r="J92" i="52" s="1"/>
  <c r="K92" i="52" a="1"/>
  <c r="K92" i="52" s="1"/>
  <c r="L92" i="52" a="1"/>
  <c r="L92" i="52" s="1"/>
  <c r="J93" i="52" a="1"/>
  <c r="J93" i="52" s="1"/>
  <c r="K93" i="52" a="1"/>
  <c r="K93" i="52" s="1"/>
  <c r="L93" i="52" a="1"/>
  <c r="L93" i="52" s="1"/>
  <c r="J94" i="52" a="1"/>
  <c r="J94" i="52" s="1"/>
  <c r="K94" i="52" a="1"/>
  <c r="K94" i="52" s="1"/>
  <c r="L94" i="52" a="1"/>
  <c r="L94" i="52" s="1"/>
  <c r="J95" i="52" a="1"/>
  <c r="J95" i="52" s="1"/>
  <c r="K95" i="52" a="1"/>
  <c r="K95" i="52" s="1"/>
  <c r="L95" i="52" a="1"/>
  <c r="L95" i="52" s="1"/>
  <c r="J96" i="52" a="1"/>
  <c r="J96" i="52" s="1"/>
  <c r="K96" i="52" a="1"/>
  <c r="K96" i="52" s="1"/>
  <c r="K97" i="52" s="1"/>
  <c r="L96" i="52" a="1"/>
  <c r="L96" i="52" s="1"/>
  <c r="K4" i="52" a="1"/>
  <c r="K4" i="52" s="1"/>
  <c r="L4" i="52" a="1"/>
  <c r="L4" i="52" s="1"/>
  <c r="AX79" i="52"/>
  <c r="AY79" i="52"/>
  <c r="H79" i="52" a="1"/>
  <c r="H79" i="52" s="1"/>
  <c r="H78" i="52" a="1"/>
  <c r="H78" i="52" s="1"/>
  <c r="AX78" i="52"/>
  <c r="AY78" i="52"/>
  <c r="AX42" i="52"/>
  <c r="AY42" i="52"/>
  <c r="H42" i="52" a="1"/>
  <c r="H42" i="52" s="1"/>
  <c r="AX81" i="52"/>
  <c r="AY81" i="52"/>
  <c r="H81" i="52" a="1"/>
  <c r="H81" i="52" s="1"/>
  <c r="AO87" i="52" l="1"/>
  <c r="A87" i="52" s="1"/>
  <c r="BA87" i="52"/>
  <c r="AZ78" i="52"/>
  <c r="AZ79" i="52"/>
  <c r="AN79" i="52"/>
  <c r="BA79" i="52" s="1"/>
  <c r="AN42" i="52"/>
  <c r="BA42" i="52" s="1"/>
  <c r="AN78" i="52"/>
  <c r="AZ42" i="52"/>
  <c r="AZ81" i="52"/>
  <c r="AN81" i="52"/>
  <c r="AO81" i="52" l="1"/>
  <c r="A81" i="52" s="1"/>
  <c r="BA81" i="52"/>
  <c r="AO79" i="52"/>
  <c r="A79" i="52" s="1"/>
  <c r="AO42" i="52"/>
  <c r="A42" i="52" s="1"/>
  <c r="AX103" i="52" l="1"/>
  <c r="AY103" i="52"/>
  <c r="AX102" i="52"/>
  <c r="AY102" i="52"/>
  <c r="H103" i="52" a="1"/>
  <c r="H103" i="52" s="1"/>
  <c r="J103" i="52" a="1"/>
  <c r="J103" i="52" s="1"/>
  <c r="H102" i="52" a="1"/>
  <c r="H102" i="52" s="1"/>
  <c r="J102" i="52" a="1"/>
  <c r="J102" i="52" s="1"/>
  <c r="AN102" i="52" l="1"/>
  <c r="AN103" i="52"/>
  <c r="BA103" i="52" s="1"/>
  <c r="AZ102" i="52"/>
  <c r="AZ103" i="52"/>
  <c r="J98" i="52" a="1"/>
  <c r="J98" i="52" s="1"/>
  <c r="J99" i="52" a="1"/>
  <c r="J99" i="52" s="1"/>
  <c r="J100" i="52" a="1"/>
  <c r="J100" i="52" s="1"/>
  <c r="J101" i="52" a="1"/>
  <c r="J101" i="52" s="1"/>
  <c r="J104" i="52" a="1"/>
  <c r="J104" i="52" s="1"/>
  <c r="J105" i="52" a="1"/>
  <c r="J105" i="52" s="1"/>
  <c r="J106" i="52" a="1"/>
  <c r="J106" i="52" s="1"/>
  <c r="H7" i="52" a="1"/>
  <c r="H7" i="52" s="1"/>
  <c r="H8" i="52" a="1"/>
  <c r="H8" i="52" s="1"/>
  <c r="H9" i="52" a="1"/>
  <c r="H9" i="52" s="1"/>
  <c r="H10" i="52" a="1"/>
  <c r="H10" i="52" s="1"/>
  <c r="H11" i="52" a="1"/>
  <c r="H11" i="52" s="1"/>
  <c r="H12" i="52" a="1"/>
  <c r="H12" i="52" s="1"/>
  <c r="H13" i="52" a="1"/>
  <c r="H13" i="52" s="1"/>
  <c r="H14" i="52" a="1"/>
  <c r="H14" i="52" s="1"/>
  <c r="H77" i="52" a="1"/>
  <c r="H77" i="52" s="1"/>
  <c r="H15" i="52" a="1"/>
  <c r="H15" i="52" s="1"/>
  <c r="H16" i="52" a="1"/>
  <c r="H16" i="52" s="1"/>
  <c r="H17" i="52" a="1"/>
  <c r="H17" i="52" s="1"/>
  <c r="H18" i="52" a="1"/>
  <c r="H18" i="52" s="1"/>
  <c r="H19" i="52" a="1"/>
  <c r="H19" i="52" s="1"/>
  <c r="H20" i="52" a="1"/>
  <c r="H20" i="52" s="1"/>
  <c r="H21" i="52" a="1"/>
  <c r="H21" i="52" s="1"/>
  <c r="H22" i="52" a="1"/>
  <c r="H22" i="52" s="1"/>
  <c r="H23" i="52" a="1"/>
  <c r="H23" i="52" s="1"/>
  <c r="H24" i="52" a="1"/>
  <c r="H24" i="52" s="1"/>
  <c r="H25" i="52" a="1"/>
  <c r="H25" i="52" s="1"/>
  <c r="H26" i="52" a="1"/>
  <c r="H26" i="52" s="1"/>
  <c r="H27" i="52" a="1"/>
  <c r="H27" i="52" s="1"/>
  <c r="H28" i="52" a="1"/>
  <c r="H28" i="52" s="1"/>
  <c r="H29" i="52" a="1"/>
  <c r="H29" i="52" s="1"/>
  <c r="H30" i="52" a="1"/>
  <c r="H30" i="52" s="1"/>
  <c r="H31" i="52" a="1"/>
  <c r="H31" i="52" s="1"/>
  <c r="H32" i="52" a="1"/>
  <c r="H32" i="52" s="1"/>
  <c r="H33" i="52" a="1"/>
  <c r="H33" i="52" s="1"/>
  <c r="H34" i="52" a="1"/>
  <c r="H34" i="52" s="1"/>
  <c r="H35" i="52" a="1"/>
  <c r="H35" i="52" s="1"/>
  <c r="AN35" i="52" s="1"/>
  <c r="H36" i="52" a="1"/>
  <c r="H36" i="52" s="1"/>
  <c r="H37" i="52" a="1"/>
  <c r="H37" i="52" s="1"/>
  <c r="H38" i="52" a="1"/>
  <c r="H38" i="52" s="1"/>
  <c r="H39" i="52" a="1"/>
  <c r="H39" i="52" s="1"/>
  <c r="H40" i="52" a="1"/>
  <c r="H40" i="52" s="1"/>
  <c r="H41" i="52" a="1"/>
  <c r="H41" i="52" s="1"/>
  <c r="H43" i="52" a="1"/>
  <c r="H43" i="52" s="1"/>
  <c r="H44" i="52" a="1"/>
  <c r="H44" i="52" s="1"/>
  <c r="H45" i="52" a="1"/>
  <c r="H45" i="52" s="1"/>
  <c r="H46" i="52" a="1"/>
  <c r="H46" i="52" s="1"/>
  <c r="H47" i="52" a="1"/>
  <c r="H47" i="52" s="1"/>
  <c r="H48" i="52" a="1"/>
  <c r="H48" i="52" s="1"/>
  <c r="H49" i="52" a="1"/>
  <c r="H49" i="52" s="1"/>
  <c r="H50" i="52" a="1"/>
  <c r="H50" i="52" s="1"/>
  <c r="H51" i="52" a="1"/>
  <c r="H51" i="52" s="1"/>
  <c r="H52" i="52" a="1"/>
  <c r="H52" i="52" s="1"/>
  <c r="H53" i="52" a="1"/>
  <c r="H53" i="52" s="1"/>
  <c r="H54" i="52" a="1"/>
  <c r="H54" i="52" s="1"/>
  <c r="H55" i="52" a="1"/>
  <c r="H55" i="52" s="1"/>
  <c r="H56" i="52" a="1"/>
  <c r="H56" i="52" s="1"/>
  <c r="H57" i="52" a="1"/>
  <c r="H57" i="52" s="1"/>
  <c r="H58" i="52" a="1"/>
  <c r="H58" i="52" s="1"/>
  <c r="H59" i="52" a="1"/>
  <c r="H59" i="52" s="1"/>
  <c r="H60" i="52" a="1"/>
  <c r="H60" i="52" s="1"/>
  <c r="H61" i="52" a="1"/>
  <c r="H61" i="52" s="1"/>
  <c r="H62" i="52" a="1"/>
  <c r="H62" i="52" s="1"/>
  <c r="H63" i="52" a="1"/>
  <c r="H63" i="52" s="1"/>
  <c r="H64" i="52" a="1"/>
  <c r="H64" i="52" s="1"/>
  <c r="H65" i="52" a="1"/>
  <c r="H65" i="52" s="1"/>
  <c r="H66" i="52" a="1"/>
  <c r="H66" i="52" s="1"/>
  <c r="H67" i="52" a="1"/>
  <c r="H67" i="52" s="1"/>
  <c r="H68" i="52" a="1"/>
  <c r="H68" i="52" s="1"/>
  <c r="H69" i="52" a="1"/>
  <c r="H69" i="52" s="1"/>
  <c r="H70" i="52" a="1"/>
  <c r="H70" i="52" s="1"/>
  <c r="H71" i="52" a="1"/>
  <c r="H71" i="52" s="1"/>
  <c r="H72" i="52" a="1"/>
  <c r="H72" i="52" s="1"/>
  <c r="H73" i="52" a="1"/>
  <c r="H73" i="52" s="1"/>
  <c r="H74" i="52" a="1"/>
  <c r="H74" i="52" s="1"/>
  <c r="H75" i="52" a="1"/>
  <c r="H75" i="52" s="1"/>
  <c r="H76" i="52" a="1"/>
  <c r="H76" i="52" s="1"/>
  <c r="H80" i="52" a="1"/>
  <c r="H80" i="52" s="1"/>
  <c r="H82" i="52" a="1"/>
  <c r="H82" i="52" s="1"/>
  <c r="H83" i="52" a="1"/>
  <c r="H83" i="52" s="1"/>
  <c r="H84" i="52" a="1"/>
  <c r="H84" i="52" s="1"/>
  <c r="H85" i="52" a="1"/>
  <c r="H85" i="52" s="1"/>
  <c r="H86" i="52" a="1"/>
  <c r="H86" i="52" s="1"/>
  <c r="H88" i="52" a="1"/>
  <c r="H88" i="52" s="1"/>
  <c r="H89" i="52" a="1"/>
  <c r="H89" i="52" s="1"/>
  <c r="H90" i="52" a="1"/>
  <c r="H90" i="52" s="1"/>
  <c r="H91" i="52" a="1"/>
  <c r="H91" i="52" s="1"/>
  <c r="H92" i="52" a="1"/>
  <c r="H92" i="52" s="1"/>
  <c r="H93" i="52" a="1"/>
  <c r="H93" i="52" s="1"/>
  <c r="H94" i="52" a="1"/>
  <c r="H94" i="52" s="1"/>
  <c r="H95" i="52" a="1"/>
  <c r="H95" i="52" s="1"/>
  <c r="H96" i="52" a="1"/>
  <c r="H96" i="52" s="1"/>
  <c r="H99" i="52" a="1"/>
  <c r="H99" i="52" s="1"/>
  <c r="H100" i="52" a="1"/>
  <c r="H100" i="52" s="1"/>
  <c r="H101" i="52" a="1"/>
  <c r="H101" i="52" s="1"/>
  <c r="H104" i="52" a="1"/>
  <c r="H104" i="52" s="1"/>
  <c r="H105" i="52" a="1"/>
  <c r="H105" i="52" s="1"/>
  <c r="H106" i="52" a="1"/>
  <c r="H106" i="52" s="1"/>
  <c r="H4" i="52" a="1"/>
  <c r="H4" i="52" s="1"/>
  <c r="H5" i="52" a="1"/>
  <c r="H5" i="52" s="1"/>
  <c r="J97" i="52"/>
  <c r="J4" i="52" a="1"/>
  <c r="J4" i="52" s="1"/>
  <c r="H6" i="52" a="1"/>
  <c r="H6" i="52" s="1"/>
  <c r="AJ4" i="50" a="1"/>
  <c r="AJ4" i="50" s="1"/>
  <c r="AK4" i="50" a="1"/>
  <c r="AK4" i="50" s="1"/>
  <c r="AL4" i="50" a="1"/>
  <c r="AL4" i="50" s="1"/>
  <c r="AJ5" i="50" a="1"/>
  <c r="AJ5" i="50" s="1"/>
  <c r="AK5" i="50" a="1"/>
  <c r="AK5" i="50" s="1"/>
  <c r="AL5" i="50" a="1"/>
  <c r="AL5" i="50" s="1"/>
  <c r="AJ6" i="50" a="1"/>
  <c r="AJ6" i="50" s="1"/>
  <c r="AK6" i="50" a="1"/>
  <c r="AK6" i="50" s="1"/>
  <c r="AL6" i="50" a="1"/>
  <c r="AL6" i="50" s="1"/>
  <c r="AJ7" i="50" a="1"/>
  <c r="AJ7" i="50" s="1"/>
  <c r="AK7" i="50" a="1"/>
  <c r="AK7" i="50" s="1"/>
  <c r="AL7" i="50" a="1"/>
  <c r="AL7" i="50" s="1"/>
  <c r="AJ8" i="50" a="1"/>
  <c r="AJ8" i="50" s="1"/>
  <c r="AK8" i="50" a="1"/>
  <c r="AK8" i="50" s="1"/>
  <c r="AL8" i="50" a="1"/>
  <c r="AL8" i="50" s="1"/>
  <c r="AK94" i="50" a="1"/>
  <c r="AK94" i="50" s="1"/>
  <c r="AL94" i="50" a="1"/>
  <c r="AL94" i="50"/>
  <c r="AJ95" i="50" a="1"/>
  <c r="AJ95" i="50" s="1"/>
  <c r="AK95" i="50" a="1"/>
  <c r="AK95" i="50" s="1"/>
  <c r="AL95" i="50" a="1"/>
  <c r="AL95" i="50" s="1"/>
  <c r="AJ96" i="50" a="1"/>
  <c r="AJ96" i="50" s="1"/>
  <c r="AK96" i="50" a="1"/>
  <c r="AK96" i="50"/>
  <c r="AL96" i="50" a="1"/>
  <c r="AL96" i="50" s="1"/>
  <c r="AJ97" i="50" a="1"/>
  <c r="AJ97" i="50" s="1"/>
  <c r="AK97" i="50" a="1"/>
  <c r="AK97" i="50" s="1"/>
  <c r="AL97" i="50" a="1"/>
  <c r="AL97" i="50" s="1"/>
  <c r="AJ98" i="50" a="1"/>
  <c r="AJ98" i="50" s="1"/>
  <c r="AK98" i="50" a="1"/>
  <c r="AK98" i="50"/>
  <c r="AL98" i="50" a="1"/>
  <c r="AL98" i="50" s="1"/>
  <c r="AJ99" i="50" a="1"/>
  <c r="AJ99" i="50" s="1"/>
  <c r="AK99" i="50" a="1"/>
  <c r="AK99" i="50" s="1"/>
  <c r="AL99" i="50" a="1"/>
  <c r="AL99" i="50" s="1"/>
  <c r="AJ100" i="50" a="1"/>
  <c r="AJ100" i="50" s="1"/>
  <c r="AK100" i="50" a="1"/>
  <c r="AK100" i="50" s="1"/>
  <c r="AL100" i="50" a="1"/>
  <c r="AL100" i="50" s="1"/>
  <c r="AJ10" i="50" a="1"/>
  <c r="AJ10" i="50" s="1"/>
  <c r="AK10" i="50" a="1"/>
  <c r="AK10" i="50" s="1"/>
  <c r="AL10" i="50" a="1"/>
  <c r="AL10" i="50" s="1"/>
  <c r="AJ11" i="50" a="1"/>
  <c r="AJ11" i="50"/>
  <c r="AK11" i="50" a="1"/>
  <c r="AK11" i="50" s="1"/>
  <c r="AL11" i="50" a="1"/>
  <c r="AL11" i="50" s="1"/>
  <c r="AJ12" i="50" a="1"/>
  <c r="AJ12" i="50" s="1"/>
  <c r="AK12" i="50" a="1"/>
  <c r="AK12" i="50" s="1"/>
  <c r="AL12" i="50" a="1"/>
  <c r="AL12" i="50" s="1"/>
  <c r="AJ13" i="50" a="1"/>
  <c r="AJ13" i="50"/>
  <c r="AK13" i="50" a="1"/>
  <c r="AK13" i="50" s="1"/>
  <c r="AL13" i="50" a="1"/>
  <c r="AL13" i="50" s="1"/>
  <c r="AJ14" i="50" a="1"/>
  <c r="AJ14" i="50" s="1"/>
  <c r="AK14" i="50" a="1"/>
  <c r="AK14" i="50" s="1"/>
  <c r="AL14" i="50" a="1"/>
  <c r="AL14" i="50" s="1"/>
  <c r="AJ15" i="50" a="1"/>
  <c r="AJ15" i="50" s="1"/>
  <c r="AK15" i="50" a="1"/>
  <c r="AK15" i="50" s="1"/>
  <c r="AL15" i="50" a="1"/>
  <c r="AL15" i="50"/>
  <c r="AJ16" i="50" a="1"/>
  <c r="AJ16" i="50" s="1"/>
  <c r="AK16" i="50" a="1"/>
  <c r="AK16" i="50" s="1"/>
  <c r="AL16" i="50" a="1"/>
  <c r="AL16" i="50" s="1"/>
  <c r="AJ17" i="50" a="1"/>
  <c r="AJ17" i="50"/>
  <c r="AK17" i="50" a="1"/>
  <c r="AK17" i="50"/>
  <c r="AL17" i="50" a="1"/>
  <c r="AL17" i="50" s="1"/>
  <c r="AJ18" i="50" a="1"/>
  <c r="AJ18" i="50" s="1"/>
  <c r="AK18" i="50" a="1"/>
  <c r="AK18" i="50"/>
  <c r="AL18" i="50" a="1"/>
  <c r="AL18" i="50" s="1"/>
  <c r="AJ19" i="50" a="1"/>
  <c r="AJ19" i="50" s="1"/>
  <c r="AK19" i="50" a="1"/>
  <c r="AK19" i="50" s="1"/>
  <c r="AL19" i="50" a="1"/>
  <c r="AL19" i="50" s="1"/>
  <c r="AJ20" i="50" a="1"/>
  <c r="AJ20" i="50"/>
  <c r="AK20" i="50" a="1"/>
  <c r="AK20" i="50" s="1"/>
  <c r="AL20" i="50" a="1"/>
  <c r="AL20" i="50" s="1"/>
  <c r="AJ21" i="50" a="1"/>
  <c r="AJ21" i="50" s="1"/>
  <c r="AK21" i="50" a="1"/>
  <c r="AK21" i="50" s="1"/>
  <c r="AL21" i="50" a="1"/>
  <c r="AL21" i="50" s="1"/>
  <c r="AJ22" i="50" a="1"/>
  <c r="AJ22" i="50" s="1"/>
  <c r="AK22" i="50" a="1"/>
  <c r="AK22" i="50" s="1"/>
  <c r="AL22" i="50" a="1"/>
  <c r="AL22" i="50" s="1"/>
  <c r="AJ23" i="50" a="1"/>
  <c r="AJ23" i="50" s="1"/>
  <c r="AK23" i="50" a="1"/>
  <c r="AK23" i="50" s="1"/>
  <c r="AL23" i="50" a="1"/>
  <c r="AL23" i="50" s="1"/>
  <c r="AJ24" i="50" a="1"/>
  <c r="AJ24" i="50" s="1"/>
  <c r="AK24" i="50" a="1"/>
  <c r="AK24" i="50" s="1"/>
  <c r="AL24" i="50" a="1"/>
  <c r="AL24" i="50" s="1"/>
  <c r="AJ25" i="50" a="1"/>
  <c r="AJ25" i="50"/>
  <c r="AK25" i="50" a="1"/>
  <c r="AK25" i="50" s="1"/>
  <c r="AL25" i="50" a="1"/>
  <c r="AL25" i="50" s="1"/>
  <c r="AJ26" i="50" a="1"/>
  <c r="AJ26" i="50" s="1"/>
  <c r="AK26" i="50" a="1"/>
  <c r="AK26" i="50" s="1"/>
  <c r="AL26" i="50" a="1"/>
  <c r="AL26" i="50" s="1"/>
  <c r="AJ27" i="50" a="1"/>
  <c r="AJ27" i="50" s="1"/>
  <c r="AK27" i="50" a="1"/>
  <c r="AK27" i="50" s="1"/>
  <c r="AL27" i="50" a="1"/>
  <c r="AL27" i="50" s="1"/>
  <c r="AJ28" i="50" a="1"/>
  <c r="AJ28" i="50" s="1"/>
  <c r="AK28" i="50" a="1"/>
  <c r="AK28" i="50" s="1"/>
  <c r="AL28" i="50" a="1"/>
  <c r="AL28" i="50" s="1"/>
  <c r="AJ29" i="50" a="1"/>
  <c r="AJ29" i="50" s="1"/>
  <c r="AK29" i="50" a="1"/>
  <c r="AK29" i="50" s="1"/>
  <c r="AL29" i="50" a="1"/>
  <c r="AL29" i="50" s="1"/>
  <c r="AJ30" i="50" a="1"/>
  <c r="AJ30" i="50" s="1"/>
  <c r="AK30" i="50" a="1"/>
  <c r="AK30" i="50" s="1"/>
  <c r="AL30" i="50" a="1"/>
  <c r="AL30" i="50" s="1"/>
  <c r="AJ31" i="50" a="1"/>
  <c r="AJ31" i="50" s="1"/>
  <c r="AK31" i="50" a="1"/>
  <c r="AK31" i="50"/>
  <c r="AL31" i="50" a="1"/>
  <c r="AL31" i="50" s="1"/>
  <c r="AJ32" i="50" a="1"/>
  <c r="AJ32" i="50" s="1"/>
  <c r="AK32" i="50" a="1"/>
  <c r="AK32" i="50" s="1"/>
  <c r="AL32" i="50" a="1"/>
  <c r="AL32" i="50" s="1"/>
  <c r="AJ33" i="50" a="1"/>
  <c r="AJ33" i="50" s="1"/>
  <c r="AK33" i="50" a="1"/>
  <c r="AK33" i="50" s="1"/>
  <c r="AL33" i="50" a="1"/>
  <c r="AL33" i="50" s="1"/>
  <c r="AJ34" i="50" a="1"/>
  <c r="AJ34" i="50" s="1"/>
  <c r="AK34" i="50" a="1"/>
  <c r="AK34" i="50" s="1"/>
  <c r="AL34" i="50" a="1"/>
  <c r="AL34" i="50" s="1"/>
  <c r="AJ35" i="50" a="1"/>
  <c r="AJ35" i="50" s="1"/>
  <c r="AK35" i="50" a="1"/>
  <c r="AK35" i="50" s="1"/>
  <c r="AL35" i="50" a="1"/>
  <c r="AL35" i="50" s="1"/>
  <c r="AJ36" i="50" a="1"/>
  <c r="AJ36" i="50" s="1"/>
  <c r="AK36" i="50" a="1"/>
  <c r="AK36" i="50" s="1"/>
  <c r="AL36" i="50" a="1"/>
  <c r="AL36" i="50" s="1"/>
  <c r="AJ37" i="50" a="1"/>
  <c r="AJ37" i="50" s="1"/>
  <c r="AK37" i="50" a="1"/>
  <c r="AK37" i="50" s="1"/>
  <c r="AL37" i="50" a="1"/>
  <c r="AL37" i="50" s="1"/>
  <c r="AJ38" i="50" a="1"/>
  <c r="AJ38" i="50" s="1"/>
  <c r="AK38" i="50" a="1"/>
  <c r="AK38" i="50" s="1"/>
  <c r="AL38" i="50" a="1"/>
  <c r="AL38" i="50" s="1"/>
  <c r="AJ39" i="50" a="1"/>
  <c r="AJ39" i="50" s="1"/>
  <c r="AK39" i="50" a="1"/>
  <c r="AK39" i="50"/>
  <c r="AL39" i="50" a="1"/>
  <c r="AL39" i="50" s="1"/>
  <c r="AJ40" i="50" a="1"/>
  <c r="AJ40" i="50" s="1"/>
  <c r="AK40" i="50" a="1"/>
  <c r="AK40" i="50" s="1"/>
  <c r="AL40" i="50" a="1"/>
  <c r="AL40" i="50" s="1"/>
  <c r="AJ41" i="50" a="1"/>
  <c r="AJ41" i="50" s="1"/>
  <c r="AK41" i="50" a="1"/>
  <c r="AK41" i="50"/>
  <c r="AL41" i="50" a="1"/>
  <c r="AL41" i="50" s="1"/>
  <c r="AJ42" i="50" a="1"/>
  <c r="AJ42" i="50" s="1"/>
  <c r="AK42" i="50" a="1"/>
  <c r="AK42" i="50"/>
  <c r="AL42" i="50" a="1"/>
  <c r="AL42" i="50" s="1"/>
  <c r="AJ43" i="50" a="1"/>
  <c r="AJ43" i="50" s="1"/>
  <c r="AK43" i="50" a="1"/>
  <c r="AK43" i="50" s="1"/>
  <c r="AL43" i="50" a="1"/>
  <c r="AL43" i="50" s="1"/>
  <c r="AJ44" i="50" a="1"/>
  <c r="AJ44" i="50" s="1"/>
  <c r="AK44" i="50" a="1"/>
  <c r="AK44" i="50" s="1"/>
  <c r="AL44" i="50" a="1"/>
  <c r="AL44" i="50" s="1"/>
  <c r="AJ45" i="50" a="1"/>
  <c r="AJ45" i="50" s="1"/>
  <c r="AK45" i="50" a="1"/>
  <c r="AK45" i="50" s="1"/>
  <c r="AL45" i="50" a="1"/>
  <c r="AL45" i="50" s="1"/>
  <c r="AJ46" i="50" a="1"/>
  <c r="AJ46" i="50" s="1"/>
  <c r="AK46" i="50" a="1"/>
  <c r="AK46" i="50" s="1"/>
  <c r="AL46" i="50" a="1"/>
  <c r="AL46" i="50" s="1"/>
  <c r="AJ47" i="50" a="1"/>
  <c r="AJ47" i="50" s="1"/>
  <c r="AK47" i="50" a="1"/>
  <c r="AK47" i="50" s="1"/>
  <c r="AL47" i="50" a="1"/>
  <c r="AL47" i="50" s="1"/>
  <c r="AJ48" i="50" a="1"/>
  <c r="AJ48" i="50" s="1"/>
  <c r="AK48" i="50" a="1"/>
  <c r="AK48" i="50" s="1"/>
  <c r="AL48" i="50" a="1"/>
  <c r="AL48" i="50" s="1"/>
  <c r="AJ49" i="50" a="1"/>
  <c r="AJ49" i="50" s="1"/>
  <c r="AK49" i="50" a="1"/>
  <c r="AK49" i="50" s="1"/>
  <c r="AL49" i="50" a="1"/>
  <c r="AL49" i="50" s="1"/>
  <c r="AJ50" i="50" a="1"/>
  <c r="AJ50" i="50" s="1"/>
  <c r="AK50" i="50" a="1"/>
  <c r="AK50" i="50"/>
  <c r="AL50" i="50" a="1"/>
  <c r="AL50" i="50" s="1"/>
  <c r="AJ51" i="50" a="1"/>
  <c r="AJ51" i="50" s="1"/>
  <c r="AK51" i="50" a="1"/>
  <c r="AK51" i="50" s="1"/>
  <c r="AL51" i="50" a="1"/>
  <c r="AL51" i="50" s="1"/>
  <c r="AJ52" i="50" a="1"/>
  <c r="AJ52" i="50" s="1"/>
  <c r="AK52" i="50" a="1"/>
  <c r="AK52" i="50" s="1"/>
  <c r="AL52" i="50" a="1"/>
  <c r="AL52" i="50" s="1"/>
  <c r="AJ53" i="50" a="1"/>
  <c r="AJ53" i="50" s="1"/>
  <c r="AK53" i="50" a="1"/>
  <c r="AK53" i="50" s="1"/>
  <c r="AL53" i="50" a="1"/>
  <c r="AL53" i="50" s="1"/>
  <c r="AJ54" i="50" a="1"/>
  <c r="AJ54" i="50" s="1"/>
  <c r="AK54" i="50" a="1"/>
  <c r="AK54" i="50" s="1"/>
  <c r="AL54" i="50" a="1"/>
  <c r="AL54" i="50" s="1"/>
  <c r="AJ55" i="50" a="1"/>
  <c r="AJ55" i="50" s="1"/>
  <c r="AK55" i="50" a="1"/>
  <c r="AK55" i="50" s="1"/>
  <c r="AL55" i="50" a="1"/>
  <c r="AL55" i="50" s="1"/>
  <c r="AJ56" i="50" a="1"/>
  <c r="AJ56" i="50" s="1"/>
  <c r="AK56" i="50" a="1"/>
  <c r="AK56" i="50" s="1"/>
  <c r="AL56" i="50" a="1"/>
  <c r="AL56" i="50" s="1"/>
  <c r="AJ57" i="50" a="1"/>
  <c r="AJ57" i="50" s="1"/>
  <c r="AK57" i="50" a="1"/>
  <c r="AK57" i="50" s="1"/>
  <c r="AL57" i="50" a="1"/>
  <c r="AL57" i="50" s="1"/>
  <c r="AJ58" i="50" a="1"/>
  <c r="AJ58" i="50" s="1"/>
  <c r="AK58" i="50" a="1"/>
  <c r="AK58" i="50" s="1"/>
  <c r="AL58" i="50" a="1"/>
  <c r="AL58" i="50" s="1"/>
  <c r="AJ59" i="50" a="1"/>
  <c r="AJ59" i="50" s="1"/>
  <c r="AK59" i="50" a="1"/>
  <c r="AK59" i="50" s="1"/>
  <c r="AL59" i="50" a="1"/>
  <c r="AL59" i="50" s="1"/>
  <c r="AJ60" i="50" a="1"/>
  <c r="AJ60" i="50" s="1"/>
  <c r="AK60" i="50" a="1"/>
  <c r="AK60" i="50" s="1"/>
  <c r="AL60" i="50" a="1"/>
  <c r="AL60" i="50" s="1"/>
  <c r="AJ61" i="50" a="1"/>
  <c r="AJ61" i="50" s="1"/>
  <c r="AK61" i="50" a="1"/>
  <c r="AK61" i="50" s="1"/>
  <c r="AL61" i="50" a="1"/>
  <c r="AL61" i="50" s="1"/>
  <c r="AJ62" i="50" a="1"/>
  <c r="AJ62" i="50" s="1"/>
  <c r="AK62" i="50" a="1"/>
  <c r="AK62" i="50" s="1"/>
  <c r="AL62" i="50" a="1"/>
  <c r="AL62" i="50" s="1"/>
  <c r="AJ63" i="50" a="1"/>
  <c r="AJ63" i="50" s="1"/>
  <c r="AK63" i="50" a="1"/>
  <c r="AK63" i="50" s="1"/>
  <c r="AL63" i="50" a="1"/>
  <c r="AL63" i="50" s="1"/>
  <c r="AJ64" i="50" a="1"/>
  <c r="AJ64" i="50" s="1"/>
  <c r="AK64" i="50" a="1"/>
  <c r="AK64" i="50" s="1"/>
  <c r="AL64" i="50" a="1"/>
  <c r="AL64" i="50" s="1"/>
  <c r="AJ65" i="50" a="1"/>
  <c r="AJ65" i="50" s="1"/>
  <c r="AK65" i="50" a="1"/>
  <c r="AK65" i="50" s="1"/>
  <c r="AL65" i="50" a="1"/>
  <c r="AL65" i="50" s="1"/>
  <c r="AJ66" i="50" a="1"/>
  <c r="AJ66" i="50" s="1"/>
  <c r="AK66" i="50" a="1"/>
  <c r="AK66" i="50"/>
  <c r="AL66" i="50" a="1"/>
  <c r="AL66" i="50" s="1"/>
  <c r="AJ67" i="50" a="1"/>
  <c r="AJ67" i="50" s="1"/>
  <c r="AK67" i="50" a="1"/>
  <c r="AK67" i="50" s="1"/>
  <c r="AL67" i="50" a="1"/>
  <c r="AL67" i="50" s="1"/>
  <c r="AJ68" i="50" a="1"/>
  <c r="AJ68" i="50" s="1"/>
  <c r="AK68" i="50" a="1"/>
  <c r="AK68" i="50" s="1"/>
  <c r="AL68" i="50" a="1"/>
  <c r="AL68" i="50" s="1"/>
  <c r="AJ69" i="50" a="1"/>
  <c r="AJ69" i="50" s="1"/>
  <c r="AK69" i="50" a="1"/>
  <c r="AK69" i="50" s="1"/>
  <c r="AL69" i="50" a="1"/>
  <c r="AL69" i="50" s="1"/>
  <c r="AJ70" i="50" a="1"/>
  <c r="AJ70" i="50" s="1"/>
  <c r="AK70" i="50" a="1"/>
  <c r="AK70" i="50" s="1"/>
  <c r="AL70" i="50" a="1"/>
  <c r="AL70" i="50" s="1"/>
  <c r="AJ71" i="50" a="1"/>
  <c r="AJ71" i="50" s="1"/>
  <c r="AK71" i="50" a="1"/>
  <c r="AK71" i="50" s="1"/>
  <c r="AL71" i="50" a="1"/>
  <c r="AL71" i="50" s="1"/>
  <c r="AJ72" i="50" a="1"/>
  <c r="AJ72" i="50" s="1"/>
  <c r="AK72" i="50" a="1"/>
  <c r="AK72" i="50" s="1"/>
  <c r="AL72" i="50" a="1"/>
  <c r="AL72" i="50" s="1"/>
  <c r="AJ73" i="50" a="1"/>
  <c r="AJ73" i="50" s="1"/>
  <c r="AK73" i="50" a="1"/>
  <c r="AK73" i="50" s="1"/>
  <c r="AL73" i="50" a="1"/>
  <c r="AL73" i="50" s="1"/>
  <c r="AJ74" i="50" a="1"/>
  <c r="AJ74" i="50" s="1"/>
  <c r="AK74" i="50" a="1"/>
  <c r="AK74" i="50" s="1"/>
  <c r="AL74" i="50" a="1"/>
  <c r="AL74" i="50" s="1"/>
  <c r="AJ75" i="50" a="1"/>
  <c r="AJ75" i="50" s="1"/>
  <c r="AK75" i="50" a="1"/>
  <c r="AK75" i="50" s="1"/>
  <c r="AL75" i="50" a="1"/>
  <c r="AL75" i="50" s="1"/>
  <c r="AJ76" i="50" a="1"/>
  <c r="AJ76" i="50" s="1"/>
  <c r="AK76" i="50" a="1"/>
  <c r="AK76" i="50" s="1"/>
  <c r="AL76" i="50" a="1"/>
  <c r="AL76" i="50" s="1"/>
  <c r="AJ77" i="50" a="1"/>
  <c r="AJ77" i="50" s="1"/>
  <c r="AK77" i="50" a="1"/>
  <c r="AK77" i="50" s="1"/>
  <c r="AL77" i="50" a="1"/>
  <c r="AL77" i="50" s="1"/>
  <c r="AJ78" i="50" a="1"/>
  <c r="AJ78" i="50" s="1"/>
  <c r="AK78" i="50" a="1"/>
  <c r="AK78" i="50" s="1"/>
  <c r="AL78" i="50" a="1"/>
  <c r="AL78" i="50" s="1"/>
  <c r="AJ79" i="50" a="1"/>
  <c r="AJ79" i="50" s="1"/>
  <c r="AK79" i="50" a="1"/>
  <c r="AK79" i="50" s="1"/>
  <c r="AL79" i="50" a="1"/>
  <c r="AL79" i="50" s="1"/>
  <c r="AJ80" i="50" a="1"/>
  <c r="AJ80" i="50" s="1"/>
  <c r="AK80" i="50" a="1"/>
  <c r="AK80" i="50" s="1"/>
  <c r="AL80" i="50" a="1"/>
  <c r="AL80" i="50" s="1"/>
  <c r="AJ81" i="50" a="1"/>
  <c r="AJ81" i="50" s="1"/>
  <c r="AK81" i="50" a="1"/>
  <c r="AK81" i="50" s="1"/>
  <c r="AJ82" i="50" a="1"/>
  <c r="AJ82" i="50" s="1"/>
  <c r="AK82" i="50" a="1"/>
  <c r="AK82" i="50" s="1"/>
  <c r="AJ83" i="50" a="1"/>
  <c r="AJ83" i="50" s="1"/>
  <c r="AK83" i="50" a="1"/>
  <c r="AK83" i="50" s="1"/>
  <c r="AL83" i="50" a="1"/>
  <c r="AL83" i="50" s="1"/>
  <c r="AJ84" i="50" a="1"/>
  <c r="AJ84" i="50" s="1"/>
  <c r="AK84" i="50" a="1"/>
  <c r="AK84" i="50" s="1"/>
  <c r="AL84" i="50" a="1"/>
  <c r="AL84" i="50" s="1"/>
  <c r="AJ85" i="50" a="1"/>
  <c r="AJ85" i="50" s="1"/>
  <c r="AK85" i="50" a="1"/>
  <c r="AK85" i="50" s="1"/>
  <c r="AL85" i="50" a="1"/>
  <c r="AL85" i="50" s="1"/>
  <c r="AJ86" i="50" a="1"/>
  <c r="AJ86" i="50" s="1"/>
  <c r="AK86" i="50" a="1"/>
  <c r="AK86" i="50" s="1"/>
  <c r="AL86" i="50" a="1"/>
  <c r="AL86" i="50" s="1"/>
  <c r="AJ87" i="50" a="1"/>
  <c r="AJ87" i="50" s="1"/>
  <c r="AK87" i="50" a="1"/>
  <c r="AK87" i="50" s="1"/>
  <c r="AL87" i="50" a="1"/>
  <c r="AL87" i="50" s="1"/>
  <c r="AJ88" i="50" a="1"/>
  <c r="AJ88" i="50" s="1"/>
  <c r="AK88" i="50" a="1"/>
  <c r="AK88" i="50" s="1"/>
  <c r="AL88" i="50" a="1"/>
  <c r="AL88" i="50" s="1"/>
  <c r="AJ89" i="50" a="1"/>
  <c r="AJ89" i="50" s="1"/>
  <c r="AK89" i="50" a="1"/>
  <c r="AK89" i="50" s="1"/>
  <c r="AL89" i="50" a="1"/>
  <c r="AL89" i="50" s="1"/>
  <c r="AJ90" i="50" a="1"/>
  <c r="AJ90" i="50" s="1"/>
  <c r="AK90" i="50" a="1"/>
  <c r="AK90" i="50"/>
  <c r="AL90" i="50" a="1"/>
  <c r="AL90" i="50" s="1"/>
  <c r="AJ91" i="50" a="1"/>
  <c r="AJ91" i="50" s="1"/>
  <c r="AK91" i="50" a="1"/>
  <c r="AK91" i="50" s="1"/>
  <c r="AL91" i="50" a="1"/>
  <c r="AL91" i="50" s="1"/>
  <c r="AJ92" i="50" a="1"/>
  <c r="AJ92" i="50" s="1"/>
  <c r="AK92" i="50" a="1"/>
  <c r="AK92" i="50" s="1"/>
  <c r="AK93" i="50" s="1"/>
  <c r="AL92" i="50" a="1"/>
  <c r="AL92" i="50" s="1"/>
  <c r="AL93" i="50" s="1"/>
  <c r="AJ9" i="50" a="1"/>
  <c r="AJ9" i="50" s="1"/>
  <c r="AK9" i="50" a="1"/>
  <c r="AK9" i="50" s="1"/>
  <c r="AL9" i="50" a="1"/>
  <c r="AL9" i="50" s="1"/>
  <c r="AI94" i="50" a="1"/>
  <c r="AI94" i="50" s="1"/>
  <c r="AI95" i="50" a="1"/>
  <c r="AI95" i="50" s="1"/>
  <c r="AI98" i="50" a="1"/>
  <c r="AI98" i="50" s="1"/>
  <c r="AI99" i="50" a="1"/>
  <c r="AI99" i="50" s="1"/>
  <c r="AI100" i="50" a="1"/>
  <c r="AI100" i="50" s="1"/>
  <c r="AI6" i="50" a="1"/>
  <c r="AI6" i="50" s="1"/>
  <c r="AI7" i="50" a="1"/>
  <c r="AI7" i="50" s="1"/>
  <c r="AI8" i="50" a="1"/>
  <c r="AI8" i="50" s="1"/>
  <c r="AI9" i="50" a="1"/>
  <c r="AI9" i="50" s="1"/>
  <c r="AI13" i="50" a="1"/>
  <c r="AI13" i="50" s="1"/>
  <c r="AI14" i="50" a="1"/>
  <c r="AI14" i="50" s="1"/>
  <c r="AI15" i="50" a="1"/>
  <c r="AI15" i="50" s="1"/>
  <c r="AI16" i="50" a="1"/>
  <c r="AI16" i="50" s="1"/>
  <c r="AI17" i="50" a="1"/>
  <c r="AI17" i="50" s="1"/>
  <c r="AI18" i="50" a="1"/>
  <c r="AI18" i="50" s="1"/>
  <c r="AI19" i="50" a="1"/>
  <c r="AI19" i="50" s="1"/>
  <c r="AI20" i="50" a="1"/>
  <c r="AI20" i="50" s="1"/>
  <c r="AI21" i="50" a="1"/>
  <c r="AI21" i="50" s="1"/>
  <c r="AI22" i="50" a="1"/>
  <c r="AI22" i="50" s="1"/>
  <c r="AI23" i="50" a="1"/>
  <c r="AI23" i="50" s="1"/>
  <c r="AI24" i="50" a="1"/>
  <c r="AI24" i="50" s="1"/>
  <c r="AI25" i="50" a="1"/>
  <c r="AI25" i="50" s="1"/>
  <c r="AI26" i="50" a="1"/>
  <c r="AI26" i="50" s="1"/>
  <c r="AI27" i="50" a="1"/>
  <c r="AI27" i="50" s="1"/>
  <c r="AI28" i="50" a="1"/>
  <c r="AI28" i="50" s="1"/>
  <c r="AI29" i="50" a="1"/>
  <c r="AI29" i="50" s="1"/>
  <c r="AI30" i="50" a="1"/>
  <c r="AI30" i="50" s="1"/>
  <c r="AI31" i="50" a="1"/>
  <c r="AI31" i="50" s="1"/>
  <c r="AI32" i="50" a="1"/>
  <c r="AI32" i="50" s="1"/>
  <c r="AI33" i="50" a="1"/>
  <c r="AI33" i="50" s="1"/>
  <c r="AI34" i="50" a="1"/>
  <c r="AI34" i="50" s="1"/>
  <c r="AI35" i="50" a="1"/>
  <c r="AI35" i="50" s="1"/>
  <c r="AI36" i="50" a="1"/>
  <c r="AI36" i="50" s="1"/>
  <c r="AI37" i="50" a="1"/>
  <c r="AI37" i="50" s="1"/>
  <c r="AI38" i="50" a="1"/>
  <c r="AI38" i="50" s="1"/>
  <c r="AI39" i="50" a="1"/>
  <c r="AI39" i="50" s="1"/>
  <c r="AI40" i="50" a="1"/>
  <c r="AI40" i="50" s="1"/>
  <c r="AI41" i="50" a="1"/>
  <c r="AI41" i="50" s="1"/>
  <c r="AI42" i="50" a="1"/>
  <c r="AI42" i="50" s="1"/>
  <c r="AI43" i="50" a="1"/>
  <c r="AI43" i="50" s="1"/>
  <c r="AI44" i="50" a="1"/>
  <c r="AI44" i="50" s="1"/>
  <c r="AI45" i="50" a="1"/>
  <c r="AI45" i="50" s="1"/>
  <c r="AI46" i="50" a="1"/>
  <c r="AI46" i="50" s="1"/>
  <c r="AI47" i="50" a="1"/>
  <c r="AI47" i="50" s="1"/>
  <c r="AI48" i="50" a="1"/>
  <c r="AI48" i="50" s="1"/>
  <c r="AI49" i="50" a="1"/>
  <c r="AI49" i="50" s="1"/>
  <c r="AI50" i="50" a="1"/>
  <c r="AI50" i="50" s="1"/>
  <c r="AI51" i="50" a="1"/>
  <c r="AI51" i="50" s="1"/>
  <c r="AI52" i="50" a="1"/>
  <c r="AI52" i="50" s="1"/>
  <c r="AI53" i="50" a="1"/>
  <c r="AI53" i="50" s="1"/>
  <c r="AI54" i="50" a="1"/>
  <c r="AI54" i="50" s="1"/>
  <c r="AI55" i="50" a="1"/>
  <c r="AI55" i="50" s="1"/>
  <c r="AI56" i="50" a="1"/>
  <c r="AI56" i="50" s="1"/>
  <c r="AI57" i="50" a="1"/>
  <c r="AI57" i="50" s="1"/>
  <c r="AI58" i="50" a="1"/>
  <c r="AI58" i="50" s="1"/>
  <c r="AI59" i="50" a="1"/>
  <c r="AI59" i="50" s="1"/>
  <c r="AI60" i="50" a="1"/>
  <c r="AI60" i="50" s="1"/>
  <c r="AI61" i="50" a="1"/>
  <c r="AI61" i="50" s="1"/>
  <c r="AI62" i="50" a="1"/>
  <c r="AI62" i="50" s="1"/>
  <c r="AI63" i="50" a="1"/>
  <c r="AI63" i="50" s="1"/>
  <c r="AI64" i="50" a="1"/>
  <c r="AI64" i="50" s="1"/>
  <c r="AI65" i="50" a="1"/>
  <c r="AI65" i="50" s="1"/>
  <c r="AI66" i="50" a="1"/>
  <c r="AI66" i="50" s="1"/>
  <c r="AI67" i="50" a="1"/>
  <c r="AI67" i="50" s="1"/>
  <c r="AI68" i="50" a="1"/>
  <c r="AI68" i="50" s="1"/>
  <c r="AI69" i="50" a="1"/>
  <c r="AI69" i="50" s="1"/>
  <c r="AI70" i="50" a="1"/>
  <c r="AI70" i="50" s="1"/>
  <c r="AI71" i="50" a="1"/>
  <c r="AI71" i="50" s="1"/>
  <c r="AI72" i="50" a="1"/>
  <c r="AI72" i="50" s="1"/>
  <c r="AI73" i="50" a="1"/>
  <c r="AI73" i="50" s="1"/>
  <c r="AI74" i="50" a="1"/>
  <c r="AI74" i="50" s="1"/>
  <c r="AI75" i="50" a="1"/>
  <c r="AI75" i="50" s="1"/>
  <c r="AI76" i="50" a="1"/>
  <c r="AI76" i="50" s="1"/>
  <c r="AI77" i="50" a="1"/>
  <c r="AI77" i="50" s="1"/>
  <c r="AI78" i="50" a="1"/>
  <c r="AI78" i="50" s="1"/>
  <c r="AI80" i="50" a="1"/>
  <c r="AI80" i="50" s="1"/>
  <c r="AI81" i="50" a="1"/>
  <c r="AI81" i="50" s="1"/>
  <c r="AI82" i="50" a="1"/>
  <c r="AI82" i="50" s="1"/>
  <c r="AI84" i="50" a="1"/>
  <c r="AI84" i="50" s="1"/>
  <c r="AI85" i="50" a="1"/>
  <c r="AI85" i="50" s="1"/>
  <c r="AI86" i="50" a="1"/>
  <c r="AI86" i="50" s="1"/>
  <c r="AI87" i="50" a="1"/>
  <c r="AI87" i="50" s="1"/>
  <c r="AI88" i="50" a="1"/>
  <c r="AI88" i="50" s="1"/>
  <c r="AI89" i="50" a="1"/>
  <c r="AI89" i="50" s="1"/>
  <c r="AI90" i="50" a="1"/>
  <c r="AI90" i="50" s="1"/>
  <c r="AI91" i="50" a="1"/>
  <c r="AI91" i="50" s="1"/>
  <c r="AI92" i="50" a="1"/>
  <c r="AI92" i="50" s="1"/>
  <c r="AI93" i="50" s="1"/>
  <c r="AH5" i="50" a="1"/>
  <c r="AH5" i="50" s="1"/>
  <c r="AI5" i="50" a="1"/>
  <c r="AI5" i="50" s="1"/>
  <c r="AI4" i="50" a="1"/>
  <c r="AI4" i="50" s="1"/>
  <c r="AL97" i="52"/>
  <c r="AK97" i="52"/>
  <c r="AJ97" i="52"/>
  <c r="AI97" i="52"/>
  <c r="AH97" i="52"/>
  <c r="AG97" i="52"/>
  <c r="AE97" i="52"/>
  <c r="AC97" i="52"/>
  <c r="AB97" i="52"/>
  <c r="AY106" i="52"/>
  <c r="AX106" i="52"/>
  <c r="AY105" i="52"/>
  <c r="AX105" i="52"/>
  <c r="AY104" i="52"/>
  <c r="AX104" i="52"/>
  <c r="AY101" i="52"/>
  <c r="AX101" i="52"/>
  <c r="AY100" i="52"/>
  <c r="AX100" i="52"/>
  <c r="AY99" i="52"/>
  <c r="AX99" i="52"/>
  <c r="AY98" i="52"/>
  <c r="AX98" i="52"/>
  <c r="AY97" i="52"/>
  <c r="AX97" i="52"/>
  <c r="F97" i="52"/>
  <c r="E97" i="52"/>
  <c r="AY96" i="52"/>
  <c r="AX96" i="52"/>
  <c r="AY95" i="52"/>
  <c r="AX95" i="52"/>
  <c r="AY94" i="52"/>
  <c r="AX94" i="52"/>
  <c r="AY93" i="52"/>
  <c r="AX93" i="52"/>
  <c r="AY92" i="52"/>
  <c r="AX92" i="52"/>
  <c r="AY91" i="52"/>
  <c r="AX91" i="52"/>
  <c r="AY90" i="52"/>
  <c r="AX90" i="52"/>
  <c r="AY89" i="52"/>
  <c r="AX89" i="52"/>
  <c r="AY88" i="52"/>
  <c r="AX88" i="52"/>
  <c r="AY86" i="52"/>
  <c r="AX86" i="52"/>
  <c r="AY85" i="52"/>
  <c r="AX85" i="52"/>
  <c r="AY84" i="52"/>
  <c r="AX84" i="52"/>
  <c r="AY83" i="52"/>
  <c r="AX83" i="52"/>
  <c r="AY82" i="52"/>
  <c r="AX82" i="52"/>
  <c r="AY80" i="52"/>
  <c r="AX80" i="52"/>
  <c r="AY76" i="52"/>
  <c r="AX76" i="52"/>
  <c r="AY75" i="52"/>
  <c r="AX75" i="52"/>
  <c r="AY74" i="52"/>
  <c r="AX74" i="52"/>
  <c r="AY73" i="52"/>
  <c r="AX73" i="52"/>
  <c r="AY72" i="52"/>
  <c r="AX72" i="52"/>
  <c r="AY71" i="52"/>
  <c r="AX71" i="52"/>
  <c r="AY70" i="52"/>
  <c r="AX70" i="52"/>
  <c r="AY69" i="52"/>
  <c r="AX69" i="52"/>
  <c r="AY68" i="52"/>
  <c r="AX68" i="52"/>
  <c r="AY67" i="52"/>
  <c r="AX67" i="52"/>
  <c r="AY66" i="52"/>
  <c r="AX66" i="52"/>
  <c r="AY65" i="52"/>
  <c r="AX65" i="52"/>
  <c r="AY64" i="52"/>
  <c r="AX64" i="52"/>
  <c r="AY63" i="52"/>
  <c r="AX63" i="52"/>
  <c r="AY62" i="52"/>
  <c r="AX62" i="52"/>
  <c r="AY61" i="52"/>
  <c r="AX61" i="52"/>
  <c r="AY60" i="52"/>
  <c r="AX60" i="52"/>
  <c r="AY59" i="52"/>
  <c r="AX59" i="52"/>
  <c r="AY58" i="52"/>
  <c r="AX58" i="52"/>
  <c r="AY57" i="52"/>
  <c r="AX57" i="52"/>
  <c r="AY56" i="52"/>
  <c r="AX56" i="52"/>
  <c r="AY55" i="52"/>
  <c r="AX55" i="52"/>
  <c r="AY54" i="52"/>
  <c r="AX54" i="52"/>
  <c r="AY53" i="52"/>
  <c r="AX53" i="52"/>
  <c r="AY52" i="52"/>
  <c r="AX52" i="52"/>
  <c r="AY51" i="52"/>
  <c r="AX51" i="52"/>
  <c r="AY50" i="52"/>
  <c r="AX50" i="52"/>
  <c r="AY49" i="52"/>
  <c r="AX49" i="52"/>
  <c r="AY48" i="52"/>
  <c r="AX48" i="52"/>
  <c r="AY47" i="52"/>
  <c r="AX47" i="52"/>
  <c r="AY46" i="52"/>
  <c r="AX46" i="52"/>
  <c r="AY45" i="52"/>
  <c r="AX45" i="52"/>
  <c r="AY44" i="52"/>
  <c r="AX44" i="52"/>
  <c r="AY43" i="52"/>
  <c r="AX43" i="52"/>
  <c r="AY41" i="52"/>
  <c r="AX41" i="52"/>
  <c r="AY40" i="52"/>
  <c r="AX40" i="52"/>
  <c r="AY39" i="52"/>
  <c r="AX39" i="52"/>
  <c r="AY38" i="52"/>
  <c r="AX38" i="52"/>
  <c r="AY37" i="52"/>
  <c r="AX37" i="52"/>
  <c r="AY36" i="52"/>
  <c r="AX36" i="52"/>
  <c r="AY35" i="52"/>
  <c r="AX35" i="52"/>
  <c r="AY34" i="52"/>
  <c r="AX34" i="52"/>
  <c r="AY33" i="52"/>
  <c r="AX33" i="52"/>
  <c r="AY32" i="52"/>
  <c r="AX32" i="52"/>
  <c r="AY31" i="52"/>
  <c r="AX31" i="52"/>
  <c r="AY30" i="52"/>
  <c r="AX30" i="52"/>
  <c r="AY29" i="52"/>
  <c r="AX29" i="52"/>
  <c r="AY28" i="52"/>
  <c r="AX28" i="52"/>
  <c r="AY27" i="52"/>
  <c r="AX27" i="52"/>
  <c r="AY26" i="52"/>
  <c r="AX26" i="52"/>
  <c r="AY25" i="52"/>
  <c r="AX25" i="52"/>
  <c r="AY24" i="52"/>
  <c r="AX24" i="52"/>
  <c r="AY23" i="52"/>
  <c r="AX23" i="52"/>
  <c r="AY22" i="52"/>
  <c r="AX22" i="52"/>
  <c r="AY21" i="52"/>
  <c r="AX21" i="52"/>
  <c r="AY20" i="52"/>
  <c r="AX20" i="52"/>
  <c r="AY19" i="52"/>
  <c r="AX19" i="52"/>
  <c r="AY18" i="52"/>
  <c r="AX18" i="52"/>
  <c r="AY17" i="52"/>
  <c r="AX17" i="52"/>
  <c r="AY16" i="52"/>
  <c r="AX16" i="52"/>
  <c r="AY15" i="52"/>
  <c r="AX15" i="52"/>
  <c r="AY77" i="52"/>
  <c r="AX77" i="52"/>
  <c r="AY14" i="52"/>
  <c r="AX14" i="52"/>
  <c r="AY13" i="52"/>
  <c r="AX13" i="52"/>
  <c r="AY12" i="52"/>
  <c r="AX12" i="52"/>
  <c r="AY11" i="52"/>
  <c r="AX11" i="52"/>
  <c r="AY10" i="52"/>
  <c r="AX10" i="52"/>
  <c r="AY9" i="52"/>
  <c r="AX9" i="52"/>
  <c r="AY8" i="52"/>
  <c r="AX8" i="52"/>
  <c r="AY7" i="52"/>
  <c r="AX7" i="52"/>
  <c r="AY6" i="52"/>
  <c r="AX6" i="52"/>
  <c r="AY5" i="52"/>
  <c r="AX5" i="52"/>
  <c r="AY4" i="52"/>
  <c r="AX4" i="52"/>
  <c r="AD94" i="50" a="1"/>
  <c r="AD94" i="50" s="1"/>
  <c r="AE94" i="50" a="1"/>
  <c r="AE94" i="50" s="1"/>
  <c r="AH94" i="50" a="1"/>
  <c r="AH94" i="50" s="1"/>
  <c r="AD95" i="50" a="1"/>
  <c r="AD95" i="50" s="1"/>
  <c r="AE95" i="50" a="1"/>
  <c r="AE95" i="50" s="1"/>
  <c r="AF95" i="50" a="1"/>
  <c r="AF95" i="50" s="1"/>
  <c r="AH95" i="50" a="1"/>
  <c r="AH95" i="50" s="1"/>
  <c r="AD96" i="50" a="1"/>
  <c r="AD96" i="50" s="1"/>
  <c r="AE96" i="50" a="1"/>
  <c r="AE96" i="50" s="1"/>
  <c r="AF96" i="50" a="1"/>
  <c r="AF96" i="50" s="1"/>
  <c r="AH96" i="50" a="1"/>
  <c r="AH96" i="50" s="1"/>
  <c r="AD97" i="50" a="1"/>
  <c r="AD97" i="50" s="1"/>
  <c r="AE97" i="50" a="1"/>
  <c r="AE97" i="50" s="1"/>
  <c r="AF97" i="50" a="1"/>
  <c r="AF97" i="50" s="1"/>
  <c r="AH97" i="50" a="1"/>
  <c r="AH97" i="50" s="1"/>
  <c r="AD98" i="50" a="1"/>
  <c r="AD98" i="50" s="1"/>
  <c r="AE98" i="50" a="1"/>
  <c r="AE98" i="50" s="1"/>
  <c r="AF98" i="50" a="1"/>
  <c r="AF98" i="50" s="1"/>
  <c r="AH98" i="50" a="1"/>
  <c r="AH98" i="50" s="1"/>
  <c r="AD99" i="50" a="1"/>
  <c r="AD99" i="50" s="1"/>
  <c r="AE99" i="50" a="1"/>
  <c r="AE99" i="50" s="1"/>
  <c r="AF99" i="50" a="1"/>
  <c r="AF99" i="50" s="1"/>
  <c r="AH99" i="50" a="1"/>
  <c r="AH99" i="50" s="1"/>
  <c r="AD100" i="50" a="1"/>
  <c r="AD100" i="50" s="1"/>
  <c r="AE100" i="50" a="1"/>
  <c r="AE100" i="50" s="1"/>
  <c r="AF100" i="50" a="1"/>
  <c r="AF100" i="50" s="1"/>
  <c r="AH100" i="50" a="1"/>
  <c r="AH100" i="50" s="1"/>
  <c r="AD5" i="50" a="1"/>
  <c r="AD5" i="50" s="1"/>
  <c r="AE5" i="50" a="1"/>
  <c r="AE5" i="50" s="1"/>
  <c r="AF5" i="50" a="1"/>
  <c r="AF5" i="50" s="1"/>
  <c r="AD6" i="50" a="1"/>
  <c r="AD6" i="50" s="1"/>
  <c r="AE6" i="50" a="1"/>
  <c r="AE6" i="50" s="1"/>
  <c r="AF6" i="50" a="1"/>
  <c r="AF6" i="50" s="1"/>
  <c r="AH6" i="50" a="1"/>
  <c r="AH6" i="50" s="1"/>
  <c r="AD7" i="50" a="1"/>
  <c r="AD7" i="50" s="1"/>
  <c r="AE7" i="50" a="1"/>
  <c r="AE7" i="50" s="1"/>
  <c r="AF7" i="50" a="1"/>
  <c r="AF7" i="50" s="1"/>
  <c r="AH7" i="50" a="1"/>
  <c r="AH7" i="50" s="1"/>
  <c r="AD8" i="50" a="1"/>
  <c r="AD8" i="50" s="1"/>
  <c r="AE8" i="50" a="1"/>
  <c r="AE8" i="50" s="1"/>
  <c r="AF8" i="50" a="1"/>
  <c r="AF8" i="50" s="1"/>
  <c r="AH8" i="50" a="1"/>
  <c r="AH8" i="50" s="1"/>
  <c r="AD9" i="50" a="1"/>
  <c r="AD9" i="50" s="1"/>
  <c r="AE9" i="50" a="1"/>
  <c r="AE9" i="50" s="1"/>
  <c r="AF9" i="50" a="1"/>
  <c r="AF9" i="50" s="1"/>
  <c r="AH9" i="50" a="1"/>
  <c r="AH9" i="50" s="1"/>
  <c r="AD10" i="50" a="1"/>
  <c r="AD10" i="50" s="1"/>
  <c r="AE10" i="50" a="1"/>
  <c r="AE10" i="50" s="1"/>
  <c r="AF10" i="50" a="1"/>
  <c r="AF10" i="50" s="1"/>
  <c r="AH10" i="50" a="1"/>
  <c r="AH10" i="50" s="1"/>
  <c r="AD11" i="50" a="1"/>
  <c r="AD11" i="50" s="1"/>
  <c r="AE11" i="50" a="1"/>
  <c r="AE11" i="50" s="1"/>
  <c r="AF11" i="50" a="1"/>
  <c r="AF11" i="50" s="1"/>
  <c r="AH11" i="50" a="1"/>
  <c r="AH11" i="50" s="1"/>
  <c r="AD12" i="50" a="1"/>
  <c r="AD12" i="50" s="1"/>
  <c r="AE12" i="50" a="1"/>
  <c r="AE12" i="50" s="1"/>
  <c r="AF12" i="50" a="1"/>
  <c r="AF12" i="50" s="1"/>
  <c r="AH12" i="50" a="1"/>
  <c r="AH12" i="50" s="1"/>
  <c r="AD13" i="50" a="1"/>
  <c r="AD13" i="50" s="1"/>
  <c r="AE13" i="50" a="1"/>
  <c r="AE13" i="50" s="1"/>
  <c r="AF13" i="50" a="1"/>
  <c r="AF13" i="50" s="1"/>
  <c r="AH13" i="50" a="1"/>
  <c r="AH13" i="50" s="1"/>
  <c r="AD14" i="50" a="1"/>
  <c r="AD14" i="50" s="1"/>
  <c r="AE14" i="50" a="1"/>
  <c r="AE14" i="50" s="1"/>
  <c r="AF14" i="50" a="1"/>
  <c r="AF14" i="50" s="1"/>
  <c r="AH14" i="50" a="1"/>
  <c r="AH14" i="50" s="1"/>
  <c r="AD15" i="50" a="1"/>
  <c r="AD15" i="50" s="1"/>
  <c r="AE15" i="50" a="1"/>
  <c r="AE15" i="50" s="1"/>
  <c r="AF15" i="50" a="1"/>
  <c r="AF15" i="50" s="1"/>
  <c r="AH15" i="50" a="1"/>
  <c r="AH15" i="50" s="1"/>
  <c r="AD16" i="50" a="1"/>
  <c r="AD16" i="50" s="1"/>
  <c r="AE16" i="50" a="1"/>
  <c r="AE16" i="50" s="1"/>
  <c r="AF16" i="50" a="1"/>
  <c r="AF16" i="50" s="1"/>
  <c r="AH16" i="50" a="1"/>
  <c r="AH16" i="50" s="1"/>
  <c r="AD17" i="50" a="1"/>
  <c r="AD17" i="50" s="1"/>
  <c r="AE17" i="50" a="1"/>
  <c r="AE17" i="50" s="1"/>
  <c r="AF17" i="50" a="1"/>
  <c r="AF17" i="50" s="1"/>
  <c r="AH17" i="50" a="1"/>
  <c r="AH17" i="50" s="1"/>
  <c r="AD18" i="50" a="1"/>
  <c r="AD18" i="50" s="1"/>
  <c r="AE18" i="50" a="1"/>
  <c r="AE18" i="50" s="1"/>
  <c r="AF18" i="50" a="1"/>
  <c r="AF18" i="50" s="1"/>
  <c r="AH18" i="50" a="1"/>
  <c r="AH18" i="50" s="1"/>
  <c r="AD19" i="50" a="1"/>
  <c r="AD19" i="50" s="1"/>
  <c r="AE19" i="50" a="1"/>
  <c r="AE19" i="50" s="1"/>
  <c r="AF19" i="50" a="1"/>
  <c r="AF19" i="50" s="1"/>
  <c r="AH19" i="50" a="1"/>
  <c r="AH19" i="50" s="1"/>
  <c r="AD20" i="50" a="1"/>
  <c r="AD20" i="50" s="1"/>
  <c r="AE20" i="50" a="1"/>
  <c r="AE20" i="50" s="1"/>
  <c r="AF20" i="50" a="1"/>
  <c r="AF20" i="50" s="1"/>
  <c r="AH20" i="50" a="1"/>
  <c r="AH20" i="50" s="1"/>
  <c r="AD21" i="50" a="1"/>
  <c r="AD21" i="50" s="1"/>
  <c r="AE21" i="50" a="1"/>
  <c r="AE21" i="50" s="1"/>
  <c r="AF21" i="50" a="1"/>
  <c r="AF21" i="50" s="1"/>
  <c r="AH21" i="50" a="1"/>
  <c r="AH21" i="50" s="1"/>
  <c r="AD22" i="50" a="1"/>
  <c r="AD22" i="50" s="1"/>
  <c r="AE22" i="50" a="1"/>
  <c r="AE22" i="50" s="1"/>
  <c r="AF22" i="50" a="1"/>
  <c r="AF22" i="50" s="1"/>
  <c r="AH22" i="50" a="1"/>
  <c r="AH22" i="50" s="1"/>
  <c r="AD23" i="50" a="1"/>
  <c r="AD23" i="50" s="1"/>
  <c r="AE23" i="50" a="1"/>
  <c r="AE23" i="50" s="1"/>
  <c r="AF23" i="50" a="1"/>
  <c r="AF23" i="50" s="1"/>
  <c r="AH23" i="50" a="1"/>
  <c r="AH23" i="50" s="1"/>
  <c r="AD24" i="50" a="1"/>
  <c r="AD24" i="50" s="1"/>
  <c r="AE24" i="50" a="1"/>
  <c r="AE24" i="50" s="1"/>
  <c r="AF24" i="50" a="1"/>
  <c r="AF24" i="50" s="1"/>
  <c r="AH24" i="50" a="1"/>
  <c r="AH24" i="50" s="1"/>
  <c r="AD25" i="50" a="1"/>
  <c r="AD25" i="50" s="1"/>
  <c r="AE25" i="50" a="1"/>
  <c r="AE25" i="50" s="1"/>
  <c r="AF25" i="50" a="1"/>
  <c r="AF25" i="50" s="1"/>
  <c r="AH25" i="50" a="1"/>
  <c r="AH25" i="50" s="1"/>
  <c r="AD26" i="50" a="1"/>
  <c r="AD26" i="50" s="1"/>
  <c r="AE26" i="50" a="1"/>
  <c r="AE26" i="50" s="1"/>
  <c r="AF26" i="50" a="1"/>
  <c r="AF26" i="50" s="1"/>
  <c r="AH26" i="50" a="1"/>
  <c r="AH26" i="50" s="1"/>
  <c r="AD27" i="50" a="1"/>
  <c r="AD27" i="50" s="1"/>
  <c r="AE27" i="50" a="1"/>
  <c r="AE27" i="50" s="1"/>
  <c r="AF27" i="50" a="1"/>
  <c r="AF27" i="50" s="1"/>
  <c r="AH27" i="50" a="1"/>
  <c r="AH27" i="50" s="1"/>
  <c r="AD28" i="50" a="1"/>
  <c r="AD28" i="50" s="1"/>
  <c r="AE28" i="50" a="1"/>
  <c r="AE28" i="50" s="1"/>
  <c r="AF28" i="50" a="1"/>
  <c r="AF28" i="50" s="1"/>
  <c r="AH28" i="50" a="1"/>
  <c r="AH28" i="50" s="1"/>
  <c r="AD29" i="50" a="1"/>
  <c r="AD29" i="50" s="1"/>
  <c r="AE29" i="50" a="1"/>
  <c r="AE29" i="50" s="1"/>
  <c r="AF29" i="50" a="1"/>
  <c r="AF29" i="50" s="1"/>
  <c r="AH29" i="50" a="1"/>
  <c r="AH29" i="50" s="1"/>
  <c r="AD30" i="50" a="1"/>
  <c r="AD30" i="50" s="1"/>
  <c r="AE30" i="50" a="1"/>
  <c r="AE30" i="50" s="1"/>
  <c r="AF30" i="50" a="1"/>
  <c r="AF30" i="50" s="1"/>
  <c r="AH30" i="50" a="1"/>
  <c r="AH30" i="50" s="1"/>
  <c r="AD31" i="50" a="1"/>
  <c r="AD31" i="50" s="1"/>
  <c r="AE31" i="50" a="1"/>
  <c r="AE31" i="50" s="1"/>
  <c r="AF31" i="50" a="1"/>
  <c r="AF31" i="50" s="1"/>
  <c r="AH31" i="50" a="1"/>
  <c r="AH31" i="50" s="1"/>
  <c r="AD32" i="50" a="1"/>
  <c r="AD32" i="50" s="1"/>
  <c r="AE32" i="50" a="1"/>
  <c r="AE32" i="50" s="1"/>
  <c r="AF32" i="50" a="1"/>
  <c r="AF32" i="50" s="1"/>
  <c r="AH32" i="50" a="1"/>
  <c r="AH32" i="50" s="1"/>
  <c r="AD33" i="50" a="1"/>
  <c r="AD33" i="50" s="1"/>
  <c r="AE33" i="50" a="1"/>
  <c r="AE33" i="50" s="1"/>
  <c r="AF33" i="50" a="1"/>
  <c r="AF33" i="50" s="1"/>
  <c r="AH33" i="50" a="1"/>
  <c r="AH33" i="50" s="1"/>
  <c r="AD34" i="50" a="1"/>
  <c r="AD34" i="50" s="1"/>
  <c r="AE34" i="50" a="1"/>
  <c r="AE34" i="50" s="1"/>
  <c r="AF34" i="50" a="1"/>
  <c r="AF34" i="50" s="1"/>
  <c r="AH34" i="50" a="1"/>
  <c r="AH34" i="50" s="1"/>
  <c r="AD35" i="50" a="1"/>
  <c r="AD35" i="50" s="1"/>
  <c r="AE35" i="50" a="1"/>
  <c r="AE35" i="50" s="1"/>
  <c r="AF35" i="50" a="1"/>
  <c r="AF35" i="50" s="1"/>
  <c r="AH35" i="50" a="1"/>
  <c r="AH35" i="50" s="1"/>
  <c r="AD36" i="50" a="1"/>
  <c r="AD36" i="50" s="1"/>
  <c r="AE36" i="50" a="1"/>
  <c r="AE36" i="50" s="1"/>
  <c r="AF36" i="50" a="1"/>
  <c r="AF36" i="50" s="1"/>
  <c r="AH36" i="50" a="1"/>
  <c r="AH36" i="50" s="1"/>
  <c r="AD37" i="50" a="1"/>
  <c r="AD37" i="50" s="1"/>
  <c r="AE37" i="50" a="1"/>
  <c r="AE37" i="50" s="1"/>
  <c r="AF37" i="50" a="1"/>
  <c r="AF37" i="50" s="1"/>
  <c r="AH37" i="50" a="1"/>
  <c r="AH37" i="50" s="1"/>
  <c r="AD38" i="50" a="1"/>
  <c r="AD38" i="50" s="1"/>
  <c r="AE38" i="50" a="1"/>
  <c r="AE38" i="50" s="1"/>
  <c r="AF38" i="50" a="1"/>
  <c r="AF38" i="50" s="1"/>
  <c r="AH38" i="50" a="1"/>
  <c r="AH38" i="50" s="1"/>
  <c r="AD39" i="50" a="1"/>
  <c r="AD39" i="50" s="1"/>
  <c r="AE39" i="50" a="1"/>
  <c r="AE39" i="50" s="1"/>
  <c r="AF39" i="50" a="1"/>
  <c r="AF39" i="50" s="1"/>
  <c r="AH39" i="50" a="1"/>
  <c r="AH39" i="50" s="1"/>
  <c r="AD40" i="50" a="1"/>
  <c r="AD40" i="50" s="1"/>
  <c r="AE40" i="50" a="1"/>
  <c r="AE40" i="50" s="1"/>
  <c r="AF40" i="50" a="1"/>
  <c r="AF40" i="50" s="1"/>
  <c r="AH40" i="50" a="1"/>
  <c r="AH40" i="50" s="1"/>
  <c r="AD41" i="50" a="1"/>
  <c r="AD41" i="50" s="1"/>
  <c r="AE41" i="50" a="1"/>
  <c r="AE41" i="50" s="1"/>
  <c r="AF41" i="50" a="1"/>
  <c r="AF41" i="50" s="1"/>
  <c r="AH41" i="50" a="1"/>
  <c r="AH41" i="50" s="1"/>
  <c r="AD42" i="50" a="1"/>
  <c r="AD42" i="50" s="1"/>
  <c r="AE42" i="50" a="1"/>
  <c r="AE42" i="50" s="1"/>
  <c r="AF42" i="50" a="1"/>
  <c r="AF42" i="50" s="1"/>
  <c r="AH42" i="50" a="1"/>
  <c r="AH42" i="50" s="1"/>
  <c r="AD43" i="50" a="1"/>
  <c r="AD43" i="50" s="1"/>
  <c r="AE43" i="50" a="1"/>
  <c r="AE43" i="50" s="1"/>
  <c r="AF43" i="50" a="1"/>
  <c r="AF43" i="50" s="1"/>
  <c r="AH43" i="50" a="1"/>
  <c r="AH43" i="50" s="1"/>
  <c r="AD44" i="50" a="1"/>
  <c r="AD44" i="50" s="1"/>
  <c r="AE44" i="50" a="1"/>
  <c r="AE44" i="50" s="1"/>
  <c r="AF44" i="50" a="1"/>
  <c r="AF44" i="50" s="1"/>
  <c r="AH44" i="50" a="1"/>
  <c r="AH44" i="50" s="1"/>
  <c r="AD45" i="50" a="1"/>
  <c r="AD45" i="50" s="1"/>
  <c r="AE45" i="50" a="1"/>
  <c r="AE45" i="50" s="1"/>
  <c r="AF45" i="50" a="1"/>
  <c r="AF45" i="50" s="1"/>
  <c r="AH45" i="50" a="1"/>
  <c r="AH45" i="50" s="1"/>
  <c r="AD46" i="50" a="1"/>
  <c r="AD46" i="50" s="1"/>
  <c r="AE46" i="50" a="1"/>
  <c r="AE46" i="50" s="1"/>
  <c r="AF46" i="50" a="1"/>
  <c r="AF46" i="50" s="1"/>
  <c r="AH46" i="50" a="1"/>
  <c r="AH46" i="50" s="1"/>
  <c r="AD47" i="50" a="1"/>
  <c r="AD47" i="50" s="1"/>
  <c r="AE47" i="50" a="1"/>
  <c r="AE47" i="50" s="1"/>
  <c r="AF47" i="50" a="1"/>
  <c r="AF47" i="50" s="1"/>
  <c r="AH47" i="50" a="1"/>
  <c r="AH47" i="50" s="1"/>
  <c r="AD48" i="50" a="1"/>
  <c r="AD48" i="50" s="1"/>
  <c r="AE48" i="50" a="1"/>
  <c r="AE48" i="50" s="1"/>
  <c r="AF48" i="50" a="1"/>
  <c r="AF48" i="50" s="1"/>
  <c r="AH48" i="50" a="1"/>
  <c r="AH48" i="50" s="1"/>
  <c r="AH49" i="50" a="1"/>
  <c r="AH49" i="50" s="1"/>
  <c r="AH50" i="50" a="1"/>
  <c r="AH50" i="50" s="1"/>
  <c r="AH51" i="50" a="1"/>
  <c r="AH51" i="50" s="1"/>
  <c r="AH52" i="50" a="1"/>
  <c r="AH52" i="50" s="1"/>
  <c r="AH53" i="50" a="1"/>
  <c r="AH53" i="50" s="1"/>
  <c r="AH54" i="50" a="1"/>
  <c r="AH54" i="50" s="1"/>
  <c r="AH55" i="50" a="1"/>
  <c r="AH55" i="50" s="1"/>
  <c r="AH56" i="50" a="1"/>
  <c r="AH56" i="50" s="1"/>
  <c r="AH57" i="50" a="1"/>
  <c r="AH57" i="50" s="1"/>
  <c r="AH58" i="50" a="1"/>
  <c r="AH58" i="50" s="1"/>
  <c r="AH59" i="50" a="1"/>
  <c r="AH59" i="50" s="1"/>
  <c r="AH60" i="50" a="1"/>
  <c r="AH60" i="50" s="1"/>
  <c r="AH61" i="50" a="1"/>
  <c r="AH61" i="50" s="1"/>
  <c r="AH62" i="50" a="1"/>
  <c r="AH62" i="50" s="1"/>
  <c r="AH63" i="50" a="1"/>
  <c r="AH63" i="50" s="1"/>
  <c r="AH64" i="50" a="1"/>
  <c r="AH64" i="50" s="1"/>
  <c r="AH65" i="50" a="1"/>
  <c r="AH65" i="50" s="1"/>
  <c r="AH66" i="50" a="1"/>
  <c r="AH66" i="50" s="1"/>
  <c r="AH67" i="50" a="1"/>
  <c r="AH67" i="50" s="1"/>
  <c r="AH68" i="50" a="1"/>
  <c r="AH68" i="50" s="1"/>
  <c r="AH69" i="50" a="1"/>
  <c r="AH69" i="50" s="1"/>
  <c r="AH70" i="50" a="1"/>
  <c r="AH70" i="50" s="1"/>
  <c r="AH71" i="50" a="1"/>
  <c r="AH71" i="50" s="1"/>
  <c r="AH72" i="50" a="1"/>
  <c r="AH72" i="50" s="1"/>
  <c r="AH73" i="50" a="1"/>
  <c r="AH73" i="50" s="1"/>
  <c r="AD74" i="50" a="1"/>
  <c r="AD74" i="50" s="1"/>
  <c r="AE74" i="50" a="1"/>
  <c r="AE74" i="50" s="1"/>
  <c r="AF74" i="50" a="1"/>
  <c r="AF74" i="50" s="1"/>
  <c r="AH74" i="50" a="1"/>
  <c r="AH74" i="50" s="1"/>
  <c r="AD75" i="50" a="1"/>
  <c r="AD75" i="50" s="1"/>
  <c r="AE75" i="50" a="1"/>
  <c r="AE75" i="50" s="1"/>
  <c r="AF75" i="50" a="1"/>
  <c r="AF75" i="50" s="1"/>
  <c r="AH75" i="50" a="1"/>
  <c r="AH75" i="50" s="1"/>
  <c r="AD76" i="50" a="1"/>
  <c r="AD76" i="50" s="1"/>
  <c r="AE76" i="50" a="1"/>
  <c r="AE76" i="50" s="1"/>
  <c r="AF76" i="50" a="1"/>
  <c r="AF76" i="50" s="1"/>
  <c r="AH76" i="50" a="1"/>
  <c r="AH76" i="50" s="1"/>
  <c r="AD77" i="50" a="1"/>
  <c r="AD77" i="50" s="1"/>
  <c r="AE77" i="50" a="1"/>
  <c r="AE77" i="50" s="1"/>
  <c r="AF77" i="50" a="1"/>
  <c r="AF77" i="50" s="1"/>
  <c r="AH77" i="50" a="1"/>
  <c r="AH77" i="50" s="1"/>
  <c r="AD78" i="50" a="1"/>
  <c r="AD78" i="50" s="1"/>
  <c r="AE78" i="50" a="1"/>
  <c r="AE78" i="50" s="1"/>
  <c r="AF78" i="50" a="1"/>
  <c r="AF78" i="50" s="1"/>
  <c r="AH78" i="50" a="1"/>
  <c r="AH78" i="50" s="1"/>
  <c r="AD79" i="50" a="1"/>
  <c r="AD79" i="50" s="1"/>
  <c r="AE79" i="50" a="1"/>
  <c r="AE79" i="50" s="1"/>
  <c r="AF79" i="50" a="1"/>
  <c r="AF79" i="50" s="1"/>
  <c r="AH79" i="50" a="1"/>
  <c r="AH79" i="50" s="1"/>
  <c r="AD80" i="50" a="1"/>
  <c r="AD80" i="50" s="1"/>
  <c r="AE80" i="50" a="1"/>
  <c r="AE80" i="50" s="1"/>
  <c r="AF80" i="50" a="1"/>
  <c r="AF80" i="50" s="1"/>
  <c r="AH80" i="50" a="1"/>
  <c r="AH80" i="50" s="1"/>
  <c r="AD81" i="50" a="1"/>
  <c r="AD81" i="50" s="1"/>
  <c r="AE81" i="50" a="1"/>
  <c r="AE81" i="50" s="1"/>
  <c r="AF81" i="50" a="1"/>
  <c r="AF81" i="50" s="1"/>
  <c r="AH81" i="50" a="1"/>
  <c r="AH81" i="50" s="1"/>
  <c r="AD82" i="50" a="1"/>
  <c r="AD82" i="50" s="1"/>
  <c r="AE82" i="50" a="1"/>
  <c r="AE82" i="50" s="1"/>
  <c r="AF82" i="50" a="1"/>
  <c r="AF82" i="50" s="1"/>
  <c r="AH82" i="50" a="1"/>
  <c r="AH82" i="50" s="1"/>
  <c r="AD83" i="50" a="1"/>
  <c r="AD83" i="50" s="1"/>
  <c r="AE83" i="50" a="1"/>
  <c r="AE83" i="50" s="1"/>
  <c r="AF83" i="50" a="1"/>
  <c r="AF83" i="50" s="1"/>
  <c r="AH83" i="50" a="1"/>
  <c r="AH83" i="50" s="1"/>
  <c r="AD84" i="50" a="1"/>
  <c r="AD84" i="50" s="1"/>
  <c r="AE84" i="50" a="1"/>
  <c r="AE84" i="50" s="1"/>
  <c r="AF84" i="50" a="1"/>
  <c r="AF84" i="50" s="1"/>
  <c r="AH84" i="50" a="1"/>
  <c r="AH84" i="50" s="1"/>
  <c r="AD85" i="50" a="1"/>
  <c r="AD85" i="50" s="1"/>
  <c r="AE85" i="50" a="1"/>
  <c r="AE85" i="50" s="1"/>
  <c r="AF85" i="50" a="1"/>
  <c r="AF85" i="50" s="1"/>
  <c r="AH85" i="50" a="1"/>
  <c r="AH85" i="50" s="1"/>
  <c r="AD86" i="50" a="1"/>
  <c r="AD86" i="50" s="1"/>
  <c r="AE86" i="50" a="1"/>
  <c r="AE86" i="50" s="1"/>
  <c r="AF86" i="50" a="1"/>
  <c r="AF86" i="50" s="1"/>
  <c r="AH86" i="50" a="1"/>
  <c r="AH86" i="50" s="1"/>
  <c r="AD87" i="50" a="1"/>
  <c r="AD87" i="50" s="1"/>
  <c r="AE87" i="50" a="1"/>
  <c r="AE87" i="50" s="1"/>
  <c r="AF87" i="50" a="1"/>
  <c r="AF87" i="50" s="1"/>
  <c r="AH87" i="50" a="1"/>
  <c r="AH87" i="50" s="1"/>
  <c r="AD88" i="50" a="1"/>
  <c r="AD88" i="50" s="1"/>
  <c r="AE88" i="50" a="1"/>
  <c r="AE88" i="50" s="1"/>
  <c r="AF88" i="50" a="1"/>
  <c r="AF88" i="50" s="1"/>
  <c r="AH88" i="50" a="1"/>
  <c r="AH88" i="50" s="1"/>
  <c r="AD89" i="50" a="1"/>
  <c r="AD89" i="50" s="1"/>
  <c r="AE89" i="50" a="1"/>
  <c r="AE89" i="50" s="1"/>
  <c r="AF89" i="50" a="1"/>
  <c r="AF89" i="50" s="1"/>
  <c r="AH89" i="50" a="1"/>
  <c r="AH89" i="50" s="1"/>
  <c r="AD90" i="50" a="1"/>
  <c r="AD90" i="50" s="1"/>
  <c r="AE90" i="50" a="1"/>
  <c r="AE90" i="50" s="1"/>
  <c r="AF90" i="50" a="1"/>
  <c r="AF90" i="50" s="1"/>
  <c r="AH90" i="50" a="1"/>
  <c r="AH90" i="50" s="1"/>
  <c r="AD91" i="50" a="1"/>
  <c r="AD91" i="50" s="1"/>
  <c r="AE91" i="50" a="1"/>
  <c r="AE91" i="50" s="1"/>
  <c r="AF91" i="50" a="1"/>
  <c r="AF91" i="50" s="1"/>
  <c r="AH91" i="50" a="1"/>
  <c r="AH91" i="50" s="1"/>
  <c r="AD92" i="50" a="1"/>
  <c r="AD92" i="50" s="1"/>
  <c r="AD93" i="50" s="1"/>
  <c r="AE92" i="50" a="1"/>
  <c r="AE92" i="50" s="1"/>
  <c r="AE93" i="50" s="1"/>
  <c r="AF92" i="50" a="1"/>
  <c r="AF92" i="50" s="1"/>
  <c r="AH92" i="50" a="1"/>
  <c r="AH92" i="50" s="1"/>
  <c r="AH93" i="50" s="1"/>
  <c r="AD4" i="50" a="1"/>
  <c r="AD4" i="50" s="1"/>
  <c r="AE4" i="50" a="1"/>
  <c r="AE4" i="50" s="1"/>
  <c r="AF4" i="50" a="1"/>
  <c r="AF4" i="50" s="1"/>
  <c r="AH4" i="50" a="1"/>
  <c r="AH4" i="50" s="1"/>
  <c r="AC5" i="50" a="1"/>
  <c r="AC5" i="50" s="1"/>
  <c r="AC6" i="50" a="1"/>
  <c r="AC6" i="50" s="1"/>
  <c r="AC7" i="50" a="1"/>
  <c r="AC7" i="50" s="1"/>
  <c r="AC8" i="50" a="1"/>
  <c r="AC8" i="50" s="1"/>
  <c r="AC9" i="50" a="1"/>
  <c r="AC9" i="50" s="1"/>
  <c r="AC10" i="50" a="1"/>
  <c r="AC10" i="50" s="1"/>
  <c r="AC11" i="50" a="1"/>
  <c r="AC11" i="50" s="1"/>
  <c r="AC12" i="50" a="1"/>
  <c r="AC12" i="50" s="1"/>
  <c r="AC13" i="50" a="1"/>
  <c r="AC13" i="50" s="1"/>
  <c r="AC14" i="50" a="1"/>
  <c r="AC14" i="50" s="1"/>
  <c r="AC15" i="50" a="1"/>
  <c r="AC15" i="50" s="1"/>
  <c r="AC16" i="50" a="1"/>
  <c r="AC16" i="50" s="1"/>
  <c r="AC17" i="50" a="1"/>
  <c r="AC17" i="50" s="1"/>
  <c r="AC18" i="50" a="1"/>
  <c r="AC18" i="50" s="1"/>
  <c r="AC19" i="50" a="1"/>
  <c r="AC19" i="50" s="1"/>
  <c r="AC20" i="50" a="1"/>
  <c r="AC20" i="50" s="1"/>
  <c r="AC21" i="50" a="1"/>
  <c r="AC21" i="50" s="1"/>
  <c r="AC22" i="50" a="1"/>
  <c r="AC22" i="50" s="1"/>
  <c r="AC23" i="50" a="1"/>
  <c r="AC23" i="50" s="1"/>
  <c r="AC24" i="50" a="1"/>
  <c r="AC24" i="50" s="1"/>
  <c r="AC25" i="50" a="1"/>
  <c r="AC25" i="50" s="1"/>
  <c r="AC26" i="50" a="1"/>
  <c r="AC26" i="50" s="1"/>
  <c r="AC27" i="50" a="1"/>
  <c r="AC27" i="50" s="1"/>
  <c r="AC28" i="50" a="1"/>
  <c r="AC28" i="50" s="1"/>
  <c r="AC29" i="50" a="1"/>
  <c r="AC29" i="50" s="1"/>
  <c r="AC30" i="50" a="1"/>
  <c r="AC30" i="50" s="1"/>
  <c r="AC31" i="50" a="1"/>
  <c r="AC31" i="50" s="1"/>
  <c r="AC32" i="50" a="1"/>
  <c r="AC32" i="50" s="1"/>
  <c r="AC33" i="50" a="1"/>
  <c r="AC33" i="50" s="1"/>
  <c r="AC34" i="50" a="1"/>
  <c r="AC34" i="50" s="1"/>
  <c r="AC35" i="50" a="1"/>
  <c r="AC35" i="50" s="1"/>
  <c r="AC36" i="50" a="1"/>
  <c r="AC36" i="50" s="1"/>
  <c r="AC37" i="50" a="1"/>
  <c r="AC37" i="50" s="1"/>
  <c r="AC38" i="50" a="1"/>
  <c r="AC38" i="50" s="1"/>
  <c r="AC39" i="50" a="1"/>
  <c r="AC39" i="50" s="1"/>
  <c r="AC40" i="50" a="1"/>
  <c r="AC40" i="50" s="1"/>
  <c r="AC41" i="50" a="1"/>
  <c r="AC41" i="50" s="1"/>
  <c r="AC42" i="50" a="1"/>
  <c r="AC42" i="50" s="1"/>
  <c r="AC43" i="50" a="1"/>
  <c r="AC43" i="50" s="1"/>
  <c r="AC44" i="50" a="1"/>
  <c r="AC44" i="50" s="1"/>
  <c r="AC45" i="50" a="1"/>
  <c r="AC45" i="50" s="1"/>
  <c r="AC46" i="50" a="1"/>
  <c r="AC46" i="50" s="1"/>
  <c r="AC47" i="50" a="1"/>
  <c r="AC47" i="50" s="1"/>
  <c r="AC48" i="50" a="1"/>
  <c r="AC48" i="50" s="1"/>
  <c r="AC74" i="50" a="1"/>
  <c r="AC74" i="50" s="1"/>
  <c r="AC75" i="50" a="1"/>
  <c r="AC75" i="50" s="1"/>
  <c r="AC76" i="50" a="1"/>
  <c r="AC76" i="50" s="1"/>
  <c r="AC77" i="50" a="1"/>
  <c r="AC77" i="50" s="1"/>
  <c r="AC78" i="50" a="1"/>
  <c r="AC78" i="50" s="1"/>
  <c r="AC79" i="50" a="1"/>
  <c r="AC79" i="50" s="1"/>
  <c r="AC80" i="50" a="1"/>
  <c r="AC80" i="50" s="1"/>
  <c r="AC81" i="50" a="1"/>
  <c r="AC81" i="50" s="1"/>
  <c r="AC82" i="50" a="1"/>
  <c r="AC82" i="50" s="1"/>
  <c r="AC83" i="50" a="1"/>
  <c r="AC83" i="50" s="1"/>
  <c r="AC84" i="50" a="1"/>
  <c r="AC84" i="50" s="1"/>
  <c r="AC85" i="50" a="1"/>
  <c r="AC85" i="50" s="1"/>
  <c r="AC86" i="50" a="1"/>
  <c r="AC86" i="50" s="1"/>
  <c r="AC87" i="50" a="1"/>
  <c r="AC87" i="50" s="1"/>
  <c r="AC88" i="50" a="1"/>
  <c r="AC88" i="50" s="1"/>
  <c r="AC89" i="50" a="1"/>
  <c r="AC89" i="50" s="1"/>
  <c r="AC90" i="50" a="1"/>
  <c r="AC90" i="50" s="1"/>
  <c r="AC91" i="50" a="1"/>
  <c r="AC91" i="50" s="1"/>
  <c r="AC92" i="50" a="1"/>
  <c r="AC92" i="50" s="1"/>
  <c r="AC95" i="50" a="1"/>
  <c r="AC95" i="50" s="1"/>
  <c r="AC96" i="50" a="1"/>
  <c r="AC96" i="50" s="1"/>
  <c r="AC97" i="50" a="1"/>
  <c r="AC97" i="50" s="1"/>
  <c r="AC98" i="50" a="1"/>
  <c r="AC98" i="50" s="1"/>
  <c r="AC99" i="50" a="1"/>
  <c r="AC99" i="50" s="1"/>
  <c r="AC100" i="50" a="1"/>
  <c r="AC100" i="50" s="1"/>
  <c r="AC4" i="50" a="1"/>
  <c r="AC4" i="50" s="1"/>
  <c r="AA94" i="50" a="1"/>
  <c r="AA94" i="50" s="1"/>
  <c r="AB94" i="50" a="1"/>
  <c r="AB94" i="50" s="1"/>
  <c r="AA95" i="50" a="1"/>
  <c r="AA95" i="50" s="1"/>
  <c r="AB95" i="50" a="1"/>
  <c r="AB95" i="50" s="1"/>
  <c r="AA96" i="50" a="1"/>
  <c r="AA96" i="50" s="1"/>
  <c r="AB96" i="50" a="1"/>
  <c r="AB96" i="50" s="1"/>
  <c r="AA97" i="50" a="1"/>
  <c r="AA97" i="50" s="1"/>
  <c r="AB97" i="50" a="1"/>
  <c r="AB97" i="50" s="1"/>
  <c r="AA98" i="50" a="1"/>
  <c r="AA98" i="50" s="1"/>
  <c r="AB98" i="50" a="1"/>
  <c r="AB98" i="50" s="1"/>
  <c r="AA99" i="50" a="1"/>
  <c r="AA99" i="50" s="1"/>
  <c r="AB99" i="50" a="1"/>
  <c r="AB99" i="50" s="1"/>
  <c r="AA100" i="50" a="1"/>
  <c r="AA100" i="50" s="1"/>
  <c r="AB100" i="50" a="1"/>
  <c r="AB100" i="50" s="1"/>
  <c r="AA5" i="50" a="1"/>
  <c r="AA5" i="50" s="1"/>
  <c r="AB5" i="50" a="1"/>
  <c r="AB5" i="50" s="1"/>
  <c r="AA6" i="50" a="1"/>
  <c r="AA6" i="50" s="1"/>
  <c r="AB6" i="50" a="1"/>
  <c r="AB6" i="50" s="1"/>
  <c r="AA7" i="50" a="1"/>
  <c r="AA7" i="50" s="1"/>
  <c r="AB7" i="50" a="1"/>
  <c r="AB7" i="50" s="1"/>
  <c r="AA8" i="50" a="1"/>
  <c r="AA8" i="50" s="1"/>
  <c r="AB8" i="50" a="1"/>
  <c r="AB8" i="50" s="1"/>
  <c r="AA9" i="50" a="1"/>
  <c r="AA9" i="50" s="1"/>
  <c r="AB9" i="50" a="1"/>
  <c r="AB9" i="50" s="1"/>
  <c r="AA10" i="50" a="1"/>
  <c r="AA10" i="50" s="1"/>
  <c r="AB10" i="50" a="1"/>
  <c r="AB10" i="50" s="1"/>
  <c r="AA11" i="50" a="1"/>
  <c r="AA11" i="50" s="1"/>
  <c r="AB11" i="50" a="1"/>
  <c r="AB11" i="50" s="1"/>
  <c r="AA12" i="50" a="1"/>
  <c r="AA12" i="50" s="1"/>
  <c r="AB12" i="50" a="1"/>
  <c r="AB12" i="50" s="1"/>
  <c r="AA13" i="50" a="1"/>
  <c r="AA13" i="50" s="1"/>
  <c r="AB13" i="50" a="1"/>
  <c r="AB13" i="50" s="1"/>
  <c r="AA14" i="50" a="1"/>
  <c r="AA14" i="50" s="1"/>
  <c r="AB14" i="50" a="1"/>
  <c r="AB14" i="50" s="1"/>
  <c r="AA15" i="50" a="1"/>
  <c r="AA15" i="50" s="1"/>
  <c r="AB15" i="50" a="1"/>
  <c r="AB15" i="50" s="1"/>
  <c r="AA16" i="50" a="1"/>
  <c r="AA16" i="50" s="1"/>
  <c r="AB16" i="50" a="1"/>
  <c r="AB16" i="50" s="1"/>
  <c r="AA17" i="50" a="1"/>
  <c r="AA17" i="50" s="1"/>
  <c r="AB17" i="50" a="1"/>
  <c r="AB17" i="50" s="1"/>
  <c r="AA18" i="50" a="1"/>
  <c r="AA18" i="50" s="1"/>
  <c r="AB18" i="50" a="1"/>
  <c r="AB18" i="50" s="1"/>
  <c r="AA19" i="50" a="1"/>
  <c r="AA19" i="50" s="1"/>
  <c r="AB19" i="50" a="1"/>
  <c r="AB19" i="50" s="1"/>
  <c r="AA20" i="50" a="1"/>
  <c r="AA20" i="50" s="1"/>
  <c r="AB20" i="50" a="1"/>
  <c r="AB20" i="50" s="1"/>
  <c r="AA21" i="50" a="1"/>
  <c r="AA21" i="50" s="1"/>
  <c r="AB21" i="50" a="1"/>
  <c r="AB21" i="50" s="1"/>
  <c r="AA22" i="50" a="1"/>
  <c r="AA22" i="50" s="1"/>
  <c r="AB22" i="50" a="1"/>
  <c r="AB22" i="50" s="1"/>
  <c r="AA23" i="50" a="1"/>
  <c r="AA23" i="50" s="1"/>
  <c r="AB23" i="50" a="1"/>
  <c r="AB23" i="50" s="1"/>
  <c r="AA24" i="50" a="1"/>
  <c r="AA24" i="50" s="1"/>
  <c r="AB24" i="50" a="1"/>
  <c r="AB24" i="50" s="1"/>
  <c r="AA25" i="50" a="1"/>
  <c r="AA25" i="50" s="1"/>
  <c r="AB25" i="50" a="1"/>
  <c r="AB25" i="50" s="1"/>
  <c r="AA26" i="50" a="1"/>
  <c r="AA26" i="50" s="1"/>
  <c r="AB26" i="50" a="1"/>
  <c r="AB26" i="50" s="1"/>
  <c r="AA27" i="50" a="1"/>
  <c r="AA27" i="50" s="1"/>
  <c r="AB27" i="50" a="1"/>
  <c r="AB27" i="50" s="1"/>
  <c r="AA28" i="50" a="1"/>
  <c r="AA28" i="50" s="1"/>
  <c r="AB28" i="50" a="1"/>
  <c r="AB28" i="50" s="1"/>
  <c r="AA29" i="50" a="1"/>
  <c r="AA29" i="50" s="1"/>
  <c r="AB29" i="50" a="1"/>
  <c r="AB29" i="50" s="1"/>
  <c r="AA30" i="50" a="1"/>
  <c r="AA30" i="50" s="1"/>
  <c r="AB30" i="50" a="1"/>
  <c r="AB30" i="50" s="1"/>
  <c r="AA31" i="50" a="1"/>
  <c r="AA31" i="50" s="1"/>
  <c r="AB31" i="50" a="1"/>
  <c r="AB31" i="50" s="1"/>
  <c r="AA32" i="50" a="1"/>
  <c r="AA32" i="50" s="1"/>
  <c r="AB32" i="50" a="1"/>
  <c r="AB32" i="50" s="1"/>
  <c r="AA33" i="50" a="1"/>
  <c r="AA33" i="50" s="1"/>
  <c r="AB33" i="50" a="1"/>
  <c r="AB33" i="50" s="1"/>
  <c r="AA34" i="50" a="1"/>
  <c r="AA34" i="50" s="1"/>
  <c r="AB34" i="50" a="1"/>
  <c r="AB34" i="50" s="1"/>
  <c r="AA35" i="50" a="1"/>
  <c r="AA35" i="50" s="1"/>
  <c r="AB35" i="50" a="1"/>
  <c r="AB35" i="50" s="1"/>
  <c r="AA36" i="50" a="1"/>
  <c r="AA36" i="50" s="1"/>
  <c r="AB36" i="50" a="1"/>
  <c r="AB36" i="50" s="1"/>
  <c r="AA37" i="50" a="1"/>
  <c r="AA37" i="50" s="1"/>
  <c r="AB37" i="50" a="1"/>
  <c r="AB37" i="50" s="1"/>
  <c r="AA38" i="50" a="1"/>
  <c r="AA38" i="50" s="1"/>
  <c r="AB38" i="50" a="1"/>
  <c r="AB38" i="50" s="1"/>
  <c r="AA39" i="50" a="1"/>
  <c r="AA39" i="50" s="1"/>
  <c r="AB39" i="50" a="1"/>
  <c r="AB39" i="50" s="1"/>
  <c r="AA40" i="50" a="1"/>
  <c r="AA40" i="50" s="1"/>
  <c r="AB40" i="50" a="1"/>
  <c r="AB40" i="50" s="1"/>
  <c r="AA41" i="50" a="1"/>
  <c r="AA41" i="50" s="1"/>
  <c r="AB41" i="50" a="1"/>
  <c r="AB41" i="50" s="1"/>
  <c r="AA42" i="50" a="1"/>
  <c r="AA42" i="50" s="1"/>
  <c r="AB42" i="50" a="1"/>
  <c r="AB42" i="50" s="1"/>
  <c r="AA43" i="50" a="1"/>
  <c r="AA43" i="50" s="1"/>
  <c r="AB43" i="50" a="1"/>
  <c r="AB43" i="50" s="1"/>
  <c r="AA44" i="50" a="1"/>
  <c r="AA44" i="50" s="1"/>
  <c r="AB44" i="50" a="1"/>
  <c r="AB44" i="50" s="1"/>
  <c r="AA45" i="50" a="1"/>
  <c r="AA45" i="50" s="1"/>
  <c r="AB45" i="50" a="1"/>
  <c r="AB45" i="50" s="1"/>
  <c r="AA46" i="50" a="1"/>
  <c r="AA46" i="50" s="1"/>
  <c r="AB46" i="50" a="1"/>
  <c r="AB46" i="50" s="1"/>
  <c r="AA47" i="50" a="1"/>
  <c r="AA47" i="50" s="1"/>
  <c r="AB47" i="50" a="1"/>
  <c r="AB47" i="50" s="1"/>
  <c r="AA48" i="50" a="1"/>
  <c r="AA48" i="50" s="1"/>
  <c r="AB48" i="50" a="1"/>
  <c r="AB48" i="50" s="1"/>
  <c r="AA74" i="50" a="1"/>
  <c r="AA74" i="50" s="1"/>
  <c r="AB74" i="50" a="1"/>
  <c r="AB74" i="50" s="1"/>
  <c r="AA75" i="50" a="1"/>
  <c r="AA75" i="50" s="1"/>
  <c r="AB75" i="50" a="1"/>
  <c r="AB75" i="50" s="1"/>
  <c r="AA76" i="50" a="1"/>
  <c r="AA76" i="50" s="1"/>
  <c r="AB76" i="50" a="1"/>
  <c r="AB76" i="50" s="1"/>
  <c r="AA77" i="50" a="1"/>
  <c r="AA77" i="50" s="1"/>
  <c r="AB77" i="50" a="1"/>
  <c r="AB77" i="50" s="1"/>
  <c r="AA78" i="50" a="1"/>
  <c r="AA78" i="50" s="1"/>
  <c r="AB78" i="50" a="1"/>
  <c r="AB78" i="50" s="1"/>
  <c r="AA79" i="50" a="1"/>
  <c r="AA79" i="50" s="1"/>
  <c r="AB79" i="50" a="1"/>
  <c r="AB79" i="50" s="1"/>
  <c r="AA80" i="50" a="1"/>
  <c r="AA80" i="50" s="1"/>
  <c r="AB80" i="50" a="1"/>
  <c r="AB80" i="50" s="1"/>
  <c r="AA81" i="50" a="1"/>
  <c r="AA81" i="50" s="1"/>
  <c r="AB81" i="50" a="1"/>
  <c r="AB81" i="50" s="1"/>
  <c r="AA82" i="50" a="1"/>
  <c r="AA82" i="50" s="1"/>
  <c r="AB82" i="50" a="1"/>
  <c r="AB82" i="50" s="1"/>
  <c r="AA83" i="50" a="1"/>
  <c r="AA83" i="50" s="1"/>
  <c r="AB83" i="50" a="1"/>
  <c r="AB83" i="50" s="1"/>
  <c r="AA84" i="50" a="1"/>
  <c r="AA84" i="50" s="1"/>
  <c r="AB84" i="50" a="1"/>
  <c r="AB84" i="50" s="1"/>
  <c r="AA85" i="50" a="1"/>
  <c r="AA85" i="50" s="1"/>
  <c r="AB85" i="50" a="1"/>
  <c r="AB85" i="50" s="1"/>
  <c r="AA86" i="50" a="1"/>
  <c r="AA86" i="50" s="1"/>
  <c r="AB86" i="50" a="1"/>
  <c r="AB86" i="50" s="1"/>
  <c r="AA87" i="50" a="1"/>
  <c r="AA87" i="50" s="1"/>
  <c r="AB87" i="50" a="1"/>
  <c r="AB87" i="50" s="1"/>
  <c r="AA88" i="50" a="1"/>
  <c r="AA88" i="50" s="1"/>
  <c r="AB88" i="50" a="1"/>
  <c r="AB88" i="50" s="1"/>
  <c r="AA89" i="50" a="1"/>
  <c r="AA89" i="50" s="1"/>
  <c r="AA90" i="50" a="1"/>
  <c r="AA90" i="50" s="1"/>
  <c r="AB90" i="50" a="1"/>
  <c r="AB90" i="50" s="1"/>
  <c r="AA91" i="50" a="1"/>
  <c r="AA91" i="50" s="1"/>
  <c r="AB91" i="50" a="1"/>
  <c r="AB91" i="50" s="1"/>
  <c r="AA92" i="50" a="1"/>
  <c r="AA92" i="50" s="1"/>
  <c r="AA93" i="50" s="1"/>
  <c r="AB92" i="50" a="1"/>
  <c r="AB92" i="50" s="1"/>
  <c r="AB93" i="50" s="1"/>
  <c r="AA4" i="50" a="1"/>
  <c r="AA4" i="50" s="1"/>
  <c r="AB4" i="50" a="1"/>
  <c r="AB4" i="50" s="1"/>
  <c r="W4" i="50" a="1"/>
  <c r="W4" i="50" s="1"/>
  <c r="X4" i="50" a="1"/>
  <c r="X4" i="50" s="1"/>
  <c r="Y4" i="50" a="1"/>
  <c r="Y4" i="50" s="1"/>
  <c r="W5" i="50" a="1"/>
  <c r="W5" i="50" s="1"/>
  <c r="X5" i="50" a="1"/>
  <c r="X5" i="50" s="1"/>
  <c r="Y5" i="50" a="1"/>
  <c r="Y5" i="50" s="1"/>
  <c r="W6" i="50" a="1"/>
  <c r="W6" i="50" s="1"/>
  <c r="X6" i="50" a="1"/>
  <c r="X6" i="50" s="1"/>
  <c r="Y6" i="50" a="1"/>
  <c r="Y6" i="50" s="1"/>
  <c r="W7" i="50" a="1"/>
  <c r="W7" i="50" s="1"/>
  <c r="X7" i="50" a="1"/>
  <c r="X7" i="50" s="1"/>
  <c r="Y7" i="50" a="1"/>
  <c r="Y7" i="50" s="1"/>
  <c r="Y8" i="50" a="1"/>
  <c r="Y8" i="50" s="1"/>
  <c r="Y9" i="50" a="1"/>
  <c r="Y9" i="50" s="1"/>
  <c r="W21" i="50" a="1"/>
  <c r="W21" i="50" s="1"/>
  <c r="X21" i="50" a="1"/>
  <c r="X21" i="50" s="1"/>
  <c r="Y21" i="50" a="1"/>
  <c r="Y21" i="50" s="1"/>
  <c r="W22" i="50" a="1"/>
  <c r="W22" i="50" s="1"/>
  <c r="X22" i="50" a="1"/>
  <c r="X22" i="50" s="1"/>
  <c r="Y22" i="50" a="1"/>
  <c r="Y22" i="50" s="1"/>
  <c r="W23" i="50" a="1"/>
  <c r="W23" i="50" s="1"/>
  <c r="X23" i="50" a="1"/>
  <c r="X23" i="50" s="1"/>
  <c r="Y23" i="50" a="1"/>
  <c r="Y23" i="50" s="1"/>
  <c r="W24" i="50" a="1"/>
  <c r="W24" i="50" s="1"/>
  <c r="X24" i="50" a="1"/>
  <c r="X24" i="50" s="1"/>
  <c r="Y24" i="50" a="1"/>
  <c r="Y24" i="50" s="1"/>
  <c r="W25" i="50" a="1"/>
  <c r="W25" i="50" s="1"/>
  <c r="X25" i="50" a="1"/>
  <c r="X25" i="50" s="1"/>
  <c r="Y25" i="50" a="1"/>
  <c r="Y25" i="50" s="1"/>
  <c r="W26" i="50" a="1"/>
  <c r="W26" i="50" s="1"/>
  <c r="X26" i="50" a="1"/>
  <c r="X26" i="50" s="1"/>
  <c r="Y26" i="50" a="1"/>
  <c r="Y26" i="50" s="1"/>
  <c r="W27" i="50" a="1"/>
  <c r="W27" i="50" s="1"/>
  <c r="X27" i="50" a="1"/>
  <c r="X27" i="50" s="1"/>
  <c r="Y27" i="50" a="1"/>
  <c r="Y27" i="50" s="1"/>
  <c r="W28" i="50" a="1"/>
  <c r="W28" i="50" s="1"/>
  <c r="X28" i="50" a="1"/>
  <c r="X28" i="50" s="1"/>
  <c r="Y28" i="50" a="1"/>
  <c r="Y28" i="50" s="1"/>
  <c r="W29" i="50" a="1"/>
  <c r="W29" i="50" s="1"/>
  <c r="X29" i="50" a="1"/>
  <c r="X29" i="50" s="1"/>
  <c r="Y29" i="50" a="1"/>
  <c r="Y29" i="50" s="1"/>
  <c r="W30" i="50" a="1"/>
  <c r="W30" i="50" s="1"/>
  <c r="X30" i="50" a="1"/>
  <c r="X30" i="50" s="1"/>
  <c r="Y30" i="50" a="1"/>
  <c r="Y30" i="50" s="1"/>
  <c r="W31" i="50" a="1"/>
  <c r="W31" i="50" s="1"/>
  <c r="X31" i="50" a="1"/>
  <c r="X31" i="50" s="1"/>
  <c r="Y31" i="50" a="1"/>
  <c r="Y31" i="50" s="1"/>
  <c r="W32" i="50" a="1"/>
  <c r="W32" i="50" s="1"/>
  <c r="X32" i="50" a="1"/>
  <c r="X32" i="50" s="1"/>
  <c r="Y32" i="50" a="1"/>
  <c r="Y32" i="50" s="1"/>
  <c r="W33" i="50" a="1"/>
  <c r="W33" i="50" s="1"/>
  <c r="X33" i="50" a="1"/>
  <c r="X33" i="50" s="1"/>
  <c r="Y33" i="50" a="1"/>
  <c r="Y33" i="50" s="1"/>
  <c r="W34" i="50" a="1"/>
  <c r="W34" i="50" s="1"/>
  <c r="X34" i="50" a="1"/>
  <c r="X34" i="50" s="1"/>
  <c r="Y34" i="50" a="1"/>
  <c r="Y34" i="50" s="1"/>
  <c r="W35" i="50" a="1"/>
  <c r="W35" i="50" s="1"/>
  <c r="X35" i="50" a="1"/>
  <c r="X35" i="50" s="1"/>
  <c r="Y35" i="50" a="1"/>
  <c r="Y35" i="50" s="1"/>
  <c r="W36" i="50" a="1"/>
  <c r="W36" i="50" s="1"/>
  <c r="X36" i="50" a="1"/>
  <c r="X36" i="50" s="1"/>
  <c r="Y36" i="50" a="1"/>
  <c r="Y36" i="50" s="1"/>
  <c r="W37" i="50" a="1"/>
  <c r="W37" i="50" s="1"/>
  <c r="X37" i="50" a="1"/>
  <c r="X37" i="50" s="1"/>
  <c r="Y37" i="50" a="1"/>
  <c r="Y37" i="50" s="1"/>
  <c r="W38" i="50" a="1"/>
  <c r="W38" i="50" s="1"/>
  <c r="X38" i="50" a="1"/>
  <c r="X38" i="50" s="1"/>
  <c r="Y38" i="50" a="1"/>
  <c r="Y38" i="50" s="1"/>
  <c r="W39" i="50" a="1"/>
  <c r="W39" i="50" s="1"/>
  <c r="X39" i="50" a="1"/>
  <c r="X39" i="50" s="1"/>
  <c r="Y39" i="50" a="1"/>
  <c r="Y39" i="50" s="1"/>
  <c r="W40" i="50" a="1"/>
  <c r="W40" i="50" s="1"/>
  <c r="X40" i="50" a="1"/>
  <c r="X40" i="50" s="1"/>
  <c r="Y40" i="50" a="1"/>
  <c r="Y40" i="50" s="1"/>
  <c r="W41" i="50" a="1"/>
  <c r="W41" i="50" s="1"/>
  <c r="X41" i="50" a="1"/>
  <c r="X41" i="50" s="1"/>
  <c r="Y41" i="50" a="1"/>
  <c r="Y41" i="50" s="1"/>
  <c r="W42" i="50" a="1"/>
  <c r="W42" i="50" s="1"/>
  <c r="X42" i="50" a="1"/>
  <c r="X42" i="50" s="1"/>
  <c r="Y42" i="50" a="1"/>
  <c r="Y42" i="50" s="1"/>
  <c r="W43" i="50" a="1"/>
  <c r="W43" i="50" s="1"/>
  <c r="X43" i="50" a="1"/>
  <c r="X43" i="50" s="1"/>
  <c r="Y43" i="50" a="1"/>
  <c r="Y43" i="50" s="1"/>
  <c r="W44" i="50" a="1"/>
  <c r="W44" i="50" s="1"/>
  <c r="X44" i="50" a="1"/>
  <c r="X44" i="50" s="1"/>
  <c r="Y44" i="50" a="1"/>
  <c r="Y44" i="50" s="1"/>
  <c r="W45" i="50" a="1"/>
  <c r="W45" i="50" s="1"/>
  <c r="X45" i="50" a="1"/>
  <c r="X45" i="50" s="1"/>
  <c r="Y45" i="50" a="1"/>
  <c r="Y45" i="50" s="1"/>
  <c r="W46" i="50" a="1"/>
  <c r="W46" i="50" s="1"/>
  <c r="X46" i="50" a="1"/>
  <c r="X46" i="50" s="1"/>
  <c r="Y46" i="50" a="1"/>
  <c r="Y46" i="50" s="1"/>
  <c r="W47" i="50" a="1"/>
  <c r="W47" i="50" s="1"/>
  <c r="X47" i="50" a="1"/>
  <c r="X47" i="50" s="1"/>
  <c r="Y47" i="50" a="1"/>
  <c r="Y47" i="50" s="1"/>
  <c r="W48" i="50" a="1"/>
  <c r="W48" i="50" s="1"/>
  <c r="X48" i="50" a="1"/>
  <c r="X48" i="50" s="1"/>
  <c r="Y48" i="50" a="1"/>
  <c r="Y48" i="50" s="1"/>
  <c r="W74" i="50" a="1"/>
  <c r="W74" i="50" s="1"/>
  <c r="X74" i="50" a="1"/>
  <c r="X74" i="50" s="1"/>
  <c r="Y74" i="50" a="1"/>
  <c r="Y74" i="50" s="1"/>
  <c r="W75" i="50" a="1"/>
  <c r="W75" i="50" s="1"/>
  <c r="X75" i="50" a="1"/>
  <c r="X75" i="50" s="1"/>
  <c r="Y75" i="50" a="1"/>
  <c r="Y75" i="50" s="1"/>
  <c r="W76" i="50" a="1"/>
  <c r="W76" i="50" s="1"/>
  <c r="X76" i="50" a="1"/>
  <c r="X76" i="50" s="1"/>
  <c r="Y76" i="50" a="1"/>
  <c r="Y76" i="50" s="1"/>
  <c r="W77" i="50" a="1"/>
  <c r="W77" i="50" s="1"/>
  <c r="X77" i="50" a="1"/>
  <c r="X77" i="50" s="1"/>
  <c r="Y77" i="50" a="1"/>
  <c r="Y77" i="50" s="1"/>
  <c r="W78" i="50" a="1"/>
  <c r="W78" i="50" s="1"/>
  <c r="X78" i="50" a="1"/>
  <c r="X78" i="50" s="1"/>
  <c r="Y78" i="50" a="1"/>
  <c r="Y78" i="50" s="1"/>
  <c r="W79" i="50" a="1"/>
  <c r="W79" i="50" s="1"/>
  <c r="X79" i="50" a="1"/>
  <c r="X79" i="50" s="1"/>
  <c r="Y79" i="50" a="1"/>
  <c r="Y79" i="50" s="1"/>
  <c r="W80" i="50" a="1"/>
  <c r="W80" i="50" s="1"/>
  <c r="X80" i="50" a="1"/>
  <c r="X80" i="50" s="1"/>
  <c r="Y80" i="50" a="1"/>
  <c r="Y80" i="50" s="1"/>
  <c r="W81" i="50" a="1"/>
  <c r="W81" i="50" s="1"/>
  <c r="X81" i="50" a="1"/>
  <c r="X81" i="50" s="1"/>
  <c r="Y81" i="50" a="1"/>
  <c r="Y81" i="50" s="1"/>
  <c r="W82" i="50" a="1"/>
  <c r="W82" i="50" s="1"/>
  <c r="X82" i="50" a="1"/>
  <c r="X82" i="50" s="1"/>
  <c r="Y82" i="50" a="1"/>
  <c r="Y82" i="50" s="1"/>
  <c r="W83" i="50" a="1"/>
  <c r="W83" i="50" s="1"/>
  <c r="X83" i="50" a="1"/>
  <c r="X83" i="50" s="1"/>
  <c r="Y83" i="50" a="1"/>
  <c r="Y83" i="50" s="1"/>
  <c r="W84" i="50" a="1"/>
  <c r="W84" i="50" s="1"/>
  <c r="X84" i="50" a="1"/>
  <c r="X84" i="50" s="1"/>
  <c r="Y84" i="50" a="1"/>
  <c r="Y84" i="50" s="1"/>
  <c r="W85" i="50" a="1"/>
  <c r="W85" i="50" s="1"/>
  <c r="X85" i="50" a="1"/>
  <c r="X85" i="50" s="1"/>
  <c r="Y85" i="50" a="1"/>
  <c r="Y85" i="50" s="1"/>
  <c r="W86" i="50" a="1"/>
  <c r="W86" i="50" s="1"/>
  <c r="X86" i="50" a="1"/>
  <c r="X86" i="50" s="1"/>
  <c r="Y86" i="50" a="1"/>
  <c r="Y86" i="50" s="1"/>
  <c r="W87" i="50" a="1"/>
  <c r="W87" i="50" s="1"/>
  <c r="X87" i="50" a="1"/>
  <c r="X87" i="50" s="1"/>
  <c r="Y87" i="50" a="1"/>
  <c r="Y87" i="50" s="1"/>
  <c r="W88" i="50" a="1"/>
  <c r="W88" i="50" s="1"/>
  <c r="X88" i="50" a="1"/>
  <c r="X88" i="50" s="1"/>
  <c r="Y88" i="50" a="1"/>
  <c r="Y88" i="50" s="1"/>
  <c r="W89" i="50" a="1"/>
  <c r="W89" i="50" s="1"/>
  <c r="X89" i="50" a="1"/>
  <c r="X89" i="50" s="1"/>
  <c r="Y89" i="50" a="1"/>
  <c r="Y89" i="50" s="1"/>
  <c r="W90" i="50" a="1"/>
  <c r="W90" i="50" s="1"/>
  <c r="X90" i="50" a="1"/>
  <c r="X90" i="50" s="1"/>
  <c r="Y90" i="50" a="1"/>
  <c r="Y90" i="50" s="1"/>
  <c r="W91" i="50" a="1"/>
  <c r="W91" i="50" s="1"/>
  <c r="X91" i="50" a="1"/>
  <c r="X91" i="50" s="1"/>
  <c r="Y91" i="50" a="1"/>
  <c r="Y91" i="50" s="1"/>
  <c r="W92" i="50" a="1"/>
  <c r="W92" i="50" s="1"/>
  <c r="W93" i="50" s="1"/>
  <c r="X92" i="50" a="1"/>
  <c r="X92" i="50" s="1"/>
  <c r="X93" i="50" s="1"/>
  <c r="Y92" i="50" a="1"/>
  <c r="Y92" i="50" s="1"/>
  <c r="W94" i="50" a="1"/>
  <c r="W94" i="50" s="1"/>
  <c r="X94" i="50" a="1"/>
  <c r="X94" i="50" s="1"/>
  <c r="W95" i="50" a="1"/>
  <c r="W95" i="50" s="1"/>
  <c r="X95" i="50" a="1"/>
  <c r="X95" i="50" s="1"/>
  <c r="Y95" i="50" a="1"/>
  <c r="Y95" i="50" s="1"/>
  <c r="W96" i="50" a="1"/>
  <c r="W96" i="50" s="1"/>
  <c r="X96" i="50" a="1"/>
  <c r="X96" i="50" s="1"/>
  <c r="Y96" i="50" a="1"/>
  <c r="Y96" i="50" s="1"/>
  <c r="W97" i="50" a="1"/>
  <c r="W97" i="50" s="1"/>
  <c r="X97" i="50" a="1"/>
  <c r="X97" i="50" s="1"/>
  <c r="Y97" i="50" a="1"/>
  <c r="Y97" i="50" s="1"/>
  <c r="W98" i="50" a="1"/>
  <c r="W98" i="50" s="1"/>
  <c r="X98" i="50" a="1"/>
  <c r="X98" i="50" s="1"/>
  <c r="Y98" i="50" a="1"/>
  <c r="Y98" i="50" s="1"/>
  <c r="W99" i="50" a="1"/>
  <c r="W99" i="50" s="1"/>
  <c r="X99" i="50" a="1"/>
  <c r="X99" i="50" s="1"/>
  <c r="Y99" i="50" a="1"/>
  <c r="Y99" i="50" s="1"/>
  <c r="W100" i="50" a="1"/>
  <c r="W100" i="50" s="1"/>
  <c r="X100" i="50" a="1"/>
  <c r="X100" i="50" s="1"/>
  <c r="Y100" i="50" a="1"/>
  <c r="Y100" i="50" s="1"/>
  <c r="W9" i="50" a="1"/>
  <c r="W9" i="50" s="1"/>
  <c r="X9" i="50" a="1"/>
  <c r="X9" i="50" s="1"/>
  <c r="W10" i="50" a="1"/>
  <c r="W10" i="50" s="1"/>
  <c r="X10" i="50" a="1"/>
  <c r="X10" i="50" s="1"/>
  <c r="Y10" i="50" a="1"/>
  <c r="Y10" i="50" s="1"/>
  <c r="W11" i="50" a="1"/>
  <c r="W11" i="50" s="1"/>
  <c r="X11" i="50" a="1"/>
  <c r="X11" i="50" s="1"/>
  <c r="Y11" i="50" a="1"/>
  <c r="Y11" i="50" s="1"/>
  <c r="W12" i="50" a="1"/>
  <c r="W12" i="50" s="1"/>
  <c r="X12" i="50" a="1"/>
  <c r="X12" i="50" s="1"/>
  <c r="Y12" i="50" a="1"/>
  <c r="Y12" i="50" s="1"/>
  <c r="W13" i="50" a="1"/>
  <c r="W13" i="50" s="1"/>
  <c r="X13" i="50" a="1"/>
  <c r="X13" i="50" s="1"/>
  <c r="Y13" i="50" a="1"/>
  <c r="Y13" i="50" s="1"/>
  <c r="W14" i="50" a="1"/>
  <c r="W14" i="50" s="1"/>
  <c r="X14" i="50" a="1"/>
  <c r="X14" i="50" s="1"/>
  <c r="Y14" i="50" a="1"/>
  <c r="Y14" i="50" s="1"/>
  <c r="W15" i="50" a="1"/>
  <c r="W15" i="50" s="1"/>
  <c r="X15" i="50" a="1"/>
  <c r="X15" i="50" s="1"/>
  <c r="Y15" i="50" a="1"/>
  <c r="Y15" i="50" s="1"/>
  <c r="W16" i="50" a="1"/>
  <c r="W16" i="50" s="1"/>
  <c r="X16" i="50" a="1"/>
  <c r="X16" i="50" s="1"/>
  <c r="Y16" i="50" a="1"/>
  <c r="Y16" i="50" s="1"/>
  <c r="W17" i="50" a="1"/>
  <c r="W17" i="50" s="1"/>
  <c r="X17" i="50" a="1"/>
  <c r="X17" i="50" s="1"/>
  <c r="Y17" i="50" a="1"/>
  <c r="Y17" i="50" s="1"/>
  <c r="W18" i="50" a="1"/>
  <c r="W18" i="50" s="1"/>
  <c r="X18" i="50" a="1"/>
  <c r="X18" i="50" s="1"/>
  <c r="Y18" i="50" a="1"/>
  <c r="Y18" i="50" s="1"/>
  <c r="W19" i="50" a="1"/>
  <c r="W19" i="50" s="1"/>
  <c r="X19" i="50" a="1"/>
  <c r="X19" i="50" s="1"/>
  <c r="Y19" i="50" a="1"/>
  <c r="Y19" i="50" s="1"/>
  <c r="W20" i="50" a="1"/>
  <c r="W20" i="50" s="1"/>
  <c r="X20" i="50" a="1"/>
  <c r="X20" i="50" s="1"/>
  <c r="Y20" i="50" a="1"/>
  <c r="Y20" i="50" s="1"/>
  <c r="U9" i="50" a="1"/>
  <c r="U9" i="50" s="1"/>
  <c r="V9" i="50" a="1"/>
  <c r="V9" i="50" s="1"/>
  <c r="U10" i="50" a="1"/>
  <c r="U10" i="50" s="1"/>
  <c r="V10" i="50" a="1"/>
  <c r="V10" i="50" s="1"/>
  <c r="U11" i="50" a="1"/>
  <c r="U11" i="50" s="1"/>
  <c r="V11" i="50" a="1"/>
  <c r="V11" i="50" s="1"/>
  <c r="U12" i="50" a="1"/>
  <c r="U12" i="50" s="1"/>
  <c r="V12" i="50" a="1"/>
  <c r="V12" i="50" s="1"/>
  <c r="U13" i="50" a="1"/>
  <c r="U13" i="50" s="1"/>
  <c r="V13" i="50" a="1"/>
  <c r="V13" i="50" s="1"/>
  <c r="U14" i="50" a="1"/>
  <c r="U14" i="50" s="1"/>
  <c r="V14" i="50" a="1"/>
  <c r="V14" i="50" s="1"/>
  <c r="U15" i="50" a="1"/>
  <c r="U15" i="50" s="1"/>
  <c r="V15" i="50" a="1"/>
  <c r="V15" i="50" s="1"/>
  <c r="U16" i="50" a="1"/>
  <c r="U16" i="50" s="1"/>
  <c r="V16" i="50" a="1"/>
  <c r="V16" i="50" s="1"/>
  <c r="U17" i="50" a="1"/>
  <c r="U17" i="50" s="1"/>
  <c r="V17" i="50" a="1"/>
  <c r="V17" i="50" s="1"/>
  <c r="U18" i="50" a="1"/>
  <c r="U18" i="50" s="1"/>
  <c r="V18" i="50" a="1"/>
  <c r="V18" i="50" s="1"/>
  <c r="U19" i="50" a="1"/>
  <c r="U19" i="50" s="1"/>
  <c r="V19" i="50" a="1"/>
  <c r="V19" i="50" s="1"/>
  <c r="U20" i="50" a="1"/>
  <c r="U20" i="50" s="1"/>
  <c r="V20" i="50" a="1"/>
  <c r="V20" i="50" s="1"/>
  <c r="U21" i="50" a="1"/>
  <c r="U21" i="50" s="1"/>
  <c r="V21" i="50" a="1"/>
  <c r="V21" i="50" s="1"/>
  <c r="U22" i="50" a="1"/>
  <c r="U22" i="50" s="1"/>
  <c r="V22" i="50" a="1"/>
  <c r="V22" i="50" s="1"/>
  <c r="U23" i="50" a="1"/>
  <c r="U23" i="50" s="1"/>
  <c r="V23" i="50" a="1"/>
  <c r="V23" i="50" s="1"/>
  <c r="U24" i="50" a="1"/>
  <c r="U24" i="50" s="1"/>
  <c r="V24" i="50" a="1"/>
  <c r="V24" i="50" s="1"/>
  <c r="U25" i="50" a="1"/>
  <c r="U25" i="50" s="1"/>
  <c r="V25" i="50" a="1"/>
  <c r="V25" i="50" s="1"/>
  <c r="U26" i="50" a="1"/>
  <c r="U26" i="50" s="1"/>
  <c r="V26" i="50" a="1"/>
  <c r="V26" i="50" s="1"/>
  <c r="U27" i="50" a="1"/>
  <c r="U27" i="50" s="1"/>
  <c r="V27" i="50" a="1"/>
  <c r="V27" i="50" s="1"/>
  <c r="U28" i="50" a="1"/>
  <c r="U28" i="50" s="1"/>
  <c r="V28" i="50" a="1"/>
  <c r="V28" i="50" s="1"/>
  <c r="U29" i="50" a="1"/>
  <c r="U29" i="50" s="1"/>
  <c r="V29" i="50" a="1"/>
  <c r="V29" i="50" s="1"/>
  <c r="U30" i="50" a="1"/>
  <c r="U30" i="50" s="1"/>
  <c r="V30" i="50" a="1"/>
  <c r="V30" i="50" s="1"/>
  <c r="U31" i="50" a="1"/>
  <c r="U31" i="50" s="1"/>
  <c r="V31" i="50" a="1"/>
  <c r="V31" i="50" s="1"/>
  <c r="U32" i="50" a="1"/>
  <c r="U32" i="50" s="1"/>
  <c r="V32" i="50" a="1"/>
  <c r="V32" i="50" s="1"/>
  <c r="U33" i="50" a="1"/>
  <c r="U33" i="50" s="1"/>
  <c r="V33" i="50" a="1"/>
  <c r="V33" i="50" s="1"/>
  <c r="U34" i="50" a="1"/>
  <c r="U34" i="50" s="1"/>
  <c r="V34" i="50" a="1"/>
  <c r="V34" i="50" s="1"/>
  <c r="U35" i="50" a="1"/>
  <c r="U35" i="50" s="1"/>
  <c r="V35" i="50" a="1"/>
  <c r="V35" i="50" s="1"/>
  <c r="U36" i="50" a="1"/>
  <c r="U36" i="50" s="1"/>
  <c r="V36" i="50" a="1"/>
  <c r="V36" i="50" s="1"/>
  <c r="U37" i="50" a="1"/>
  <c r="U37" i="50" s="1"/>
  <c r="V37" i="50" a="1"/>
  <c r="V37" i="50" s="1"/>
  <c r="U38" i="50" a="1"/>
  <c r="U38" i="50" s="1"/>
  <c r="V38" i="50" a="1"/>
  <c r="V38" i="50" s="1"/>
  <c r="U39" i="50" a="1"/>
  <c r="U39" i="50" s="1"/>
  <c r="V39" i="50" a="1"/>
  <c r="V39" i="50" s="1"/>
  <c r="U40" i="50" a="1"/>
  <c r="U40" i="50" s="1"/>
  <c r="V40" i="50" a="1"/>
  <c r="V40" i="50" s="1"/>
  <c r="U41" i="50" a="1"/>
  <c r="U41" i="50" s="1"/>
  <c r="V41" i="50" a="1"/>
  <c r="V41" i="50" s="1"/>
  <c r="U42" i="50" a="1"/>
  <c r="U42" i="50" s="1"/>
  <c r="V42" i="50" a="1"/>
  <c r="V42" i="50" s="1"/>
  <c r="U43" i="50" a="1"/>
  <c r="U43" i="50" s="1"/>
  <c r="V43" i="50" a="1"/>
  <c r="V43" i="50" s="1"/>
  <c r="U44" i="50" a="1"/>
  <c r="U44" i="50" s="1"/>
  <c r="V44" i="50" a="1"/>
  <c r="V44" i="50" s="1"/>
  <c r="U45" i="50" a="1"/>
  <c r="U45" i="50" s="1"/>
  <c r="V45" i="50" a="1"/>
  <c r="V45" i="50" s="1"/>
  <c r="U46" i="50" a="1"/>
  <c r="U46" i="50" s="1"/>
  <c r="V46" i="50" a="1"/>
  <c r="V46" i="50" s="1"/>
  <c r="U47" i="50" a="1"/>
  <c r="U47" i="50" s="1"/>
  <c r="V47" i="50" a="1"/>
  <c r="V47" i="50" s="1"/>
  <c r="U48" i="50" a="1"/>
  <c r="U48" i="50" s="1"/>
  <c r="V48" i="50" a="1"/>
  <c r="V48" i="50" s="1"/>
  <c r="U74" i="50" a="1"/>
  <c r="U74" i="50" s="1"/>
  <c r="V74" i="50" a="1"/>
  <c r="V74" i="50" s="1"/>
  <c r="U75" i="50" a="1"/>
  <c r="U75" i="50" s="1"/>
  <c r="V75" i="50" a="1"/>
  <c r="V75" i="50" s="1"/>
  <c r="U76" i="50" a="1"/>
  <c r="U76" i="50" s="1"/>
  <c r="V76" i="50" a="1"/>
  <c r="V76" i="50" s="1"/>
  <c r="U77" i="50" a="1"/>
  <c r="U77" i="50" s="1"/>
  <c r="V77" i="50" a="1"/>
  <c r="V77" i="50" s="1"/>
  <c r="U78" i="50" a="1"/>
  <c r="U78" i="50" s="1"/>
  <c r="V78" i="50" a="1"/>
  <c r="V78" i="50" s="1"/>
  <c r="U79" i="50" a="1"/>
  <c r="U79" i="50" s="1"/>
  <c r="V79" i="50" a="1"/>
  <c r="V79" i="50" s="1"/>
  <c r="U80" i="50" a="1"/>
  <c r="U80" i="50" s="1"/>
  <c r="V80" i="50" a="1"/>
  <c r="V80" i="50" s="1"/>
  <c r="U81" i="50" a="1"/>
  <c r="U81" i="50" s="1"/>
  <c r="V81" i="50" a="1"/>
  <c r="V81" i="50" s="1"/>
  <c r="U82" i="50" a="1"/>
  <c r="U82" i="50" s="1"/>
  <c r="V82" i="50" a="1"/>
  <c r="V82" i="50" s="1"/>
  <c r="U83" i="50" a="1"/>
  <c r="U83" i="50" s="1"/>
  <c r="V83" i="50" a="1"/>
  <c r="V83" i="50" s="1"/>
  <c r="U84" i="50" a="1"/>
  <c r="U84" i="50" s="1"/>
  <c r="V84" i="50" a="1"/>
  <c r="V84" i="50" s="1"/>
  <c r="U85" i="50" a="1"/>
  <c r="U85" i="50" s="1"/>
  <c r="V85" i="50" a="1"/>
  <c r="V85" i="50" s="1"/>
  <c r="U86" i="50" a="1"/>
  <c r="U86" i="50" s="1"/>
  <c r="V86" i="50" a="1"/>
  <c r="V86" i="50" s="1"/>
  <c r="U87" i="50" a="1"/>
  <c r="U87" i="50" s="1"/>
  <c r="V87" i="50" a="1"/>
  <c r="V87" i="50" s="1"/>
  <c r="U88" i="50" a="1"/>
  <c r="U88" i="50" s="1"/>
  <c r="V88" i="50" a="1"/>
  <c r="V88" i="50" s="1"/>
  <c r="U89" i="50" a="1"/>
  <c r="U89" i="50" s="1"/>
  <c r="V89" i="50" a="1"/>
  <c r="V89" i="50" s="1"/>
  <c r="U90" i="50" a="1"/>
  <c r="U90" i="50" s="1"/>
  <c r="V90" i="50" a="1"/>
  <c r="V90" i="50" s="1"/>
  <c r="U91" i="50" a="1"/>
  <c r="U91" i="50" s="1"/>
  <c r="V91" i="50" a="1"/>
  <c r="V91" i="50" s="1"/>
  <c r="U92" i="50" a="1"/>
  <c r="U92" i="50" s="1"/>
  <c r="U93" i="50" s="1"/>
  <c r="V92" i="50" a="1"/>
  <c r="V92" i="50" s="1"/>
  <c r="U94" i="50" a="1"/>
  <c r="U94" i="50" s="1"/>
  <c r="W8" i="50" a="1"/>
  <c r="W8" i="50" s="1"/>
  <c r="X8" i="50" a="1"/>
  <c r="X8" i="50" s="1"/>
  <c r="AY100" i="50"/>
  <c r="AZ100" i="50" s="1"/>
  <c r="AX100" i="50"/>
  <c r="V100" i="50" a="1"/>
  <c r="V100" i="50" s="1"/>
  <c r="U100" i="50" a="1"/>
  <c r="U100" i="50" s="1"/>
  <c r="T100" i="50" a="1"/>
  <c r="T100" i="50" s="1"/>
  <c r="R100" i="50" a="1"/>
  <c r="R100" i="50" s="1"/>
  <c r="Q100" i="50" a="1"/>
  <c r="Q100" i="50" s="1"/>
  <c r="P100" i="50" a="1"/>
  <c r="P100" i="50" s="1"/>
  <c r="O100" i="50" a="1"/>
  <c r="O100" i="50" s="1"/>
  <c r="N100" i="50" a="1"/>
  <c r="N100" i="50" s="1"/>
  <c r="M100" i="50" a="1"/>
  <c r="M100" i="50" s="1"/>
  <c r="K100" i="50" a="1"/>
  <c r="K100" i="50" s="1"/>
  <c r="J100" i="50" a="1"/>
  <c r="J100" i="50" s="1"/>
  <c r="I100" i="50" a="1"/>
  <c r="I100" i="50" s="1"/>
  <c r="H100" i="50" a="1"/>
  <c r="H100" i="50" s="1"/>
  <c r="AZ99" i="50"/>
  <c r="AY99" i="50"/>
  <c r="AX99" i="50"/>
  <c r="V99" i="50" a="1"/>
  <c r="V99" i="50" s="1"/>
  <c r="U99" i="50" a="1"/>
  <c r="U99" i="50" s="1"/>
  <c r="T99" i="50" a="1"/>
  <c r="T99" i="50" s="1"/>
  <c r="R99" i="50" a="1"/>
  <c r="R99" i="50" s="1"/>
  <c r="Q99" i="50" a="1"/>
  <c r="Q99" i="50" s="1"/>
  <c r="P99" i="50" a="1"/>
  <c r="P99" i="50" s="1"/>
  <c r="O99" i="50" a="1"/>
  <c r="O99" i="50" s="1"/>
  <c r="N99" i="50" a="1"/>
  <c r="N99" i="50" s="1"/>
  <c r="M99" i="50" a="1"/>
  <c r="M99" i="50" s="1"/>
  <c r="K99" i="50" a="1"/>
  <c r="K99" i="50" s="1"/>
  <c r="J99" i="50" a="1"/>
  <c r="J99" i="50" s="1"/>
  <c r="I99" i="50" a="1"/>
  <c r="I99" i="50" s="1"/>
  <c r="H99" i="50" a="1"/>
  <c r="H99" i="50" s="1"/>
  <c r="AY98" i="50"/>
  <c r="AX98" i="50"/>
  <c r="AZ98" i="50" s="1"/>
  <c r="V98" i="50" a="1"/>
  <c r="V98" i="50" s="1"/>
  <c r="U98" i="50" a="1"/>
  <c r="U98" i="50" s="1"/>
  <c r="T98" i="50" a="1"/>
  <c r="T98" i="50" s="1"/>
  <c r="R98" i="50" a="1"/>
  <c r="R98" i="50" s="1"/>
  <c r="Q98" i="50" a="1"/>
  <c r="Q98" i="50" s="1"/>
  <c r="P98" i="50" a="1"/>
  <c r="P98" i="50" s="1"/>
  <c r="O98" i="50" a="1"/>
  <c r="O98" i="50" s="1"/>
  <c r="N98" i="50" a="1"/>
  <c r="N98" i="50" s="1"/>
  <c r="M98" i="50" a="1"/>
  <c r="M98" i="50" s="1"/>
  <c r="K98" i="50" a="1"/>
  <c r="K98" i="50" s="1"/>
  <c r="J98" i="50" a="1"/>
  <c r="J98" i="50" s="1"/>
  <c r="I98" i="50" a="1"/>
  <c r="I98" i="50" s="1"/>
  <c r="H98" i="50" a="1"/>
  <c r="H98" i="50" s="1"/>
  <c r="AY97" i="50"/>
  <c r="AX97" i="50"/>
  <c r="AZ97" i="50" s="1"/>
  <c r="V97" i="50" a="1"/>
  <c r="V97" i="50" s="1"/>
  <c r="U97" i="50" a="1"/>
  <c r="U97" i="50" s="1"/>
  <c r="T97" i="50" a="1"/>
  <c r="T97" i="50" s="1"/>
  <c r="R97" i="50" a="1"/>
  <c r="R97" i="50" s="1"/>
  <c r="Q97" i="50" a="1"/>
  <c r="Q97" i="50" s="1"/>
  <c r="P97" i="50" a="1"/>
  <c r="P97" i="50" s="1"/>
  <c r="O97" i="50" a="1"/>
  <c r="O97" i="50" s="1"/>
  <c r="N97" i="50" a="1"/>
  <c r="N97" i="50" s="1"/>
  <c r="M97" i="50" a="1"/>
  <c r="M97" i="50" s="1"/>
  <c r="K97" i="50" a="1"/>
  <c r="K97" i="50" s="1"/>
  <c r="J97" i="50" a="1"/>
  <c r="J97" i="50" s="1"/>
  <c r="I97" i="50" a="1"/>
  <c r="I97" i="50" s="1"/>
  <c r="AY96" i="50"/>
  <c r="AZ96" i="50" s="1"/>
  <c r="AX96" i="50"/>
  <c r="V96" i="50" a="1"/>
  <c r="V96" i="50" s="1"/>
  <c r="U96" i="50" a="1"/>
  <c r="U96" i="50" s="1"/>
  <c r="T96" i="50" a="1"/>
  <c r="T96" i="50" s="1"/>
  <c r="R96" i="50" a="1"/>
  <c r="R96" i="50" s="1"/>
  <c r="Q96" i="50" a="1"/>
  <c r="Q96" i="50" s="1"/>
  <c r="P96" i="50" a="1"/>
  <c r="P96" i="50" s="1"/>
  <c r="O96" i="50" a="1"/>
  <c r="O96" i="50" s="1"/>
  <c r="N96" i="50" a="1"/>
  <c r="N96" i="50" s="1"/>
  <c r="M96" i="50" a="1"/>
  <c r="M96" i="50" s="1"/>
  <c r="I96" i="50" a="1"/>
  <c r="I96" i="50" s="1"/>
  <c r="H96" i="50" a="1"/>
  <c r="H96" i="50" s="1"/>
  <c r="AY95" i="50"/>
  <c r="AX95" i="50"/>
  <c r="AZ95" i="50" s="1"/>
  <c r="V95" i="50" a="1"/>
  <c r="V95" i="50" s="1"/>
  <c r="U95" i="50" a="1"/>
  <c r="U95" i="50" s="1"/>
  <c r="T95" i="50" a="1"/>
  <c r="T95" i="50" s="1"/>
  <c r="R95" i="50" a="1"/>
  <c r="R95" i="50" s="1"/>
  <c r="Q95" i="50" a="1"/>
  <c r="Q95" i="50" s="1"/>
  <c r="P95" i="50" a="1"/>
  <c r="P95" i="50" s="1"/>
  <c r="O95" i="50" a="1"/>
  <c r="O95" i="50" s="1"/>
  <c r="N95" i="50" a="1"/>
  <c r="N95" i="50" s="1"/>
  <c r="M95" i="50" a="1"/>
  <c r="M95" i="50" s="1"/>
  <c r="K95" i="50" a="1"/>
  <c r="K95" i="50" s="1"/>
  <c r="J95" i="50" a="1"/>
  <c r="J95" i="50" s="1"/>
  <c r="I95" i="50" a="1"/>
  <c r="I95" i="50" s="1"/>
  <c r="H95" i="50" a="1"/>
  <c r="H95" i="50" s="1"/>
  <c r="AY94" i="50"/>
  <c r="AX94" i="50"/>
  <c r="AZ94" i="50" s="1"/>
  <c r="T94" i="50" a="1"/>
  <c r="T94" i="50" s="1"/>
  <c r="Q94" i="50" a="1"/>
  <c r="Q94" i="50" s="1"/>
  <c r="P94" i="50" a="1"/>
  <c r="P94" i="50" s="1"/>
  <c r="N94" i="50" a="1"/>
  <c r="N94" i="50" s="1"/>
  <c r="M94" i="50" a="1"/>
  <c r="M94" i="50" s="1"/>
  <c r="J94" i="50" a="1"/>
  <c r="J94" i="50" s="1"/>
  <c r="I94" i="50" a="1"/>
  <c r="I94" i="50" s="1"/>
  <c r="AY93" i="50"/>
  <c r="AX93" i="50"/>
  <c r="AZ93" i="50" s="1"/>
  <c r="F93" i="50"/>
  <c r="E93" i="50"/>
  <c r="AY92" i="50"/>
  <c r="AZ92" i="50" s="1"/>
  <c r="AX92" i="50"/>
  <c r="T92" i="50" a="1"/>
  <c r="T92" i="50" s="1"/>
  <c r="T93" i="50" s="1"/>
  <c r="R92" i="50" a="1"/>
  <c r="R92" i="50" s="1"/>
  <c r="Q92" i="50" a="1"/>
  <c r="Q92" i="50" s="1"/>
  <c r="Q93" i="50" s="1"/>
  <c r="P92" i="50" a="1"/>
  <c r="P92" i="50" s="1"/>
  <c r="P93" i="50" s="1"/>
  <c r="O92" i="50" a="1"/>
  <c r="O92" i="50" s="1"/>
  <c r="N92" i="50" a="1"/>
  <c r="N92" i="50" s="1"/>
  <c r="N93" i="50" s="1"/>
  <c r="M92" i="50" a="1"/>
  <c r="M92" i="50" s="1"/>
  <c r="M93" i="50" s="1"/>
  <c r="K92" i="50" a="1"/>
  <c r="K92" i="50" s="1"/>
  <c r="J92" i="50" a="1"/>
  <c r="J92" i="50" s="1"/>
  <c r="J93" i="50" s="1"/>
  <c r="I92" i="50" a="1"/>
  <c r="I92" i="50" s="1"/>
  <c r="I93" i="50" s="1"/>
  <c r="H92" i="50" a="1"/>
  <c r="H92" i="50" s="1"/>
  <c r="AY91" i="50"/>
  <c r="AX91" i="50"/>
  <c r="T91" i="50" a="1"/>
  <c r="T91" i="50" s="1"/>
  <c r="R91" i="50" a="1"/>
  <c r="R91" i="50" s="1"/>
  <c r="Q91" i="50" a="1"/>
  <c r="Q91" i="50" s="1"/>
  <c r="P91" i="50" a="1"/>
  <c r="P91" i="50" s="1"/>
  <c r="O91" i="50" a="1"/>
  <c r="O91" i="50" s="1"/>
  <c r="N91" i="50" a="1"/>
  <c r="N91" i="50" s="1"/>
  <c r="M91" i="50" a="1"/>
  <c r="M91" i="50" s="1"/>
  <c r="K91" i="50" a="1"/>
  <c r="K91" i="50" s="1"/>
  <c r="J91" i="50" a="1"/>
  <c r="J91" i="50" s="1"/>
  <c r="I91" i="50" a="1"/>
  <c r="I91" i="50" s="1"/>
  <c r="H91" i="50" a="1"/>
  <c r="H91" i="50" s="1"/>
  <c r="AY90" i="50"/>
  <c r="AX90" i="50"/>
  <c r="AZ90" i="50" s="1"/>
  <c r="T90" i="50" a="1"/>
  <c r="T90" i="50" s="1"/>
  <c r="R90" i="50" a="1"/>
  <c r="R90" i="50" s="1"/>
  <c r="Q90" i="50" a="1"/>
  <c r="Q90" i="50" s="1"/>
  <c r="P90" i="50" a="1"/>
  <c r="P90" i="50" s="1"/>
  <c r="O90" i="50" a="1"/>
  <c r="O90" i="50" s="1"/>
  <c r="N90" i="50" a="1"/>
  <c r="N90" i="50" s="1"/>
  <c r="M90" i="50" a="1"/>
  <c r="M90" i="50" s="1"/>
  <c r="K90" i="50" a="1"/>
  <c r="K90" i="50" s="1"/>
  <c r="J90" i="50" a="1"/>
  <c r="J90" i="50" s="1"/>
  <c r="I90" i="50" a="1"/>
  <c r="I90" i="50" s="1"/>
  <c r="H90" i="50" a="1"/>
  <c r="H90" i="50" s="1"/>
  <c r="AZ89" i="50"/>
  <c r="AY89" i="50"/>
  <c r="AX89" i="50"/>
  <c r="T89" i="50" a="1"/>
  <c r="T89" i="50" s="1"/>
  <c r="R89" i="50" a="1"/>
  <c r="R89" i="50" s="1"/>
  <c r="Q89" i="50" a="1"/>
  <c r="Q89" i="50" s="1"/>
  <c r="P89" i="50" a="1"/>
  <c r="P89" i="50" s="1"/>
  <c r="O89" i="50" a="1"/>
  <c r="O89" i="50" s="1"/>
  <c r="N89" i="50" a="1"/>
  <c r="N89" i="50" s="1"/>
  <c r="M89" i="50" a="1"/>
  <c r="M89" i="50" s="1"/>
  <c r="K89" i="50" a="1"/>
  <c r="K89" i="50" s="1"/>
  <c r="J89" i="50" a="1"/>
  <c r="J89" i="50" s="1"/>
  <c r="I89" i="50" a="1"/>
  <c r="I89" i="50" s="1"/>
  <c r="H89" i="50" a="1"/>
  <c r="H89" i="50" s="1"/>
  <c r="AZ88" i="50"/>
  <c r="AY88" i="50"/>
  <c r="AX88" i="50"/>
  <c r="T88" i="50" a="1"/>
  <c r="T88" i="50" s="1"/>
  <c r="R88" i="50" a="1"/>
  <c r="R88" i="50" s="1"/>
  <c r="Q88" i="50" a="1"/>
  <c r="Q88" i="50" s="1"/>
  <c r="P88" i="50" a="1"/>
  <c r="P88" i="50" s="1"/>
  <c r="O88" i="50" a="1"/>
  <c r="O88" i="50" s="1"/>
  <c r="N88" i="50" a="1"/>
  <c r="N88" i="50" s="1"/>
  <c r="M88" i="50" a="1"/>
  <c r="M88" i="50" s="1"/>
  <c r="K88" i="50" a="1"/>
  <c r="K88" i="50" s="1"/>
  <c r="J88" i="50" a="1"/>
  <c r="J88" i="50" s="1"/>
  <c r="I88" i="50" a="1"/>
  <c r="I88" i="50" s="1"/>
  <c r="H88" i="50" a="1"/>
  <c r="H88" i="50" s="1"/>
  <c r="AZ87" i="50"/>
  <c r="AY87" i="50"/>
  <c r="AX87" i="50"/>
  <c r="T87" i="50" a="1"/>
  <c r="T87" i="50" s="1"/>
  <c r="R87" i="50" a="1"/>
  <c r="R87" i="50" s="1"/>
  <c r="Q87" i="50" a="1"/>
  <c r="Q87" i="50" s="1"/>
  <c r="P87" i="50" a="1"/>
  <c r="P87" i="50" s="1"/>
  <c r="O87" i="50" a="1"/>
  <c r="O87" i="50" s="1"/>
  <c r="N87" i="50" a="1"/>
  <c r="N87" i="50" s="1"/>
  <c r="M87" i="50" a="1"/>
  <c r="M87" i="50" s="1"/>
  <c r="K87" i="50" a="1"/>
  <c r="K87" i="50" s="1"/>
  <c r="J87" i="50" a="1"/>
  <c r="J87" i="50" s="1"/>
  <c r="I87" i="50" a="1"/>
  <c r="I87" i="50" s="1"/>
  <c r="H87" i="50" a="1"/>
  <c r="H87" i="50" s="1"/>
  <c r="AY86" i="50"/>
  <c r="AX86" i="50"/>
  <c r="AZ86" i="50" s="1"/>
  <c r="T86" i="50" a="1"/>
  <c r="T86" i="50" s="1"/>
  <c r="R86" i="50" a="1"/>
  <c r="R86" i="50" s="1"/>
  <c r="Q86" i="50" a="1"/>
  <c r="Q86" i="50" s="1"/>
  <c r="P86" i="50" a="1"/>
  <c r="P86" i="50" s="1"/>
  <c r="O86" i="50" a="1"/>
  <c r="O86" i="50" s="1"/>
  <c r="N86" i="50" a="1"/>
  <c r="N86" i="50" s="1"/>
  <c r="M86" i="50" a="1"/>
  <c r="M86" i="50" s="1"/>
  <c r="K86" i="50" a="1"/>
  <c r="K86" i="50" s="1"/>
  <c r="J86" i="50" a="1"/>
  <c r="J86" i="50" s="1"/>
  <c r="I86" i="50" a="1"/>
  <c r="I86" i="50" s="1"/>
  <c r="H86" i="50" a="1"/>
  <c r="H86" i="50" s="1"/>
  <c r="AY85" i="50"/>
  <c r="AX85" i="50"/>
  <c r="AZ85" i="50" s="1"/>
  <c r="T85" i="50" a="1"/>
  <c r="T85" i="50" s="1"/>
  <c r="R85" i="50" a="1"/>
  <c r="R85" i="50" s="1"/>
  <c r="Q85" i="50" a="1"/>
  <c r="Q85" i="50" s="1"/>
  <c r="P85" i="50" a="1"/>
  <c r="P85" i="50" s="1"/>
  <c r="O85" i="50" a="1"/>
  <c r="O85" i="50" s="1"/>
  <c r="N85" i="50" a="1"/>
  <c r="N85" i="50" s="1"/>
  <c r="M85" i="50" a="1"/>
  <c r="M85" i="50" s="1"/>
  <c r="K85" i="50" a="1"/>
  <c r="K85" i="50" s="1"/>
  <c r="J85" i="50" a="1"/>
  <c r="J85" i="50" s="1"/>
  <c r="I85" i="50" a="1"/>
  <c r="I85" i="50" s="1"/>
  <c r="H85" i="50" a="1"/>
  <c r="H85" i="50" s="1"/>
  <c r="AZ84" i="50"/>
  <c r="AY84" i="50"/>
  <c r="AX84" i="50"/>
  <c r="T84" i="50" a="1"/>
  <c r="T84" i="50" s="1"/>
  <c r="R84" i="50" a="1"/>
  <c r="R84" i="50" s="1"/>
  <c r="Q84" i="50" a="1"/>
  <c r="Q84" i="50" s="1"/>
  <c r="P84" i="50" a="1"/>
  <c r="P84" i="50" s="1"/>
  <c r="O84" i="50" a="1"/>
  <c r="O84" i="50" s="1"/>
  <c r="N84" i="50" a="1"/>
  <c r="N84" i="50" s="1"/>
  <c r="M84" i="50" a="1"/>
  <c r="M84" i="50" s="1"/>
  <c r="K84" i="50" a="1"/>
  <c r="K84" i="50" s="1"/>
  <c r="J84" i="50" a="1"/>
  <c r="J84" i="50" s="1"/>
  <c r="I84" i="50" a="1"/>
  <c r="I84" i="50" s="1"/>
  <c r="H84" i="50" a="1"/>
  <c r="H84" i="50" s="1"/>
  <c r="AY83" i="50"/>
  <c r="AX83" i="50"/>
  <c r="AZ83" i="50" s="1"/>
  <c r="T83" i="50" a="1"/>
  <c r="T83" i="50" s="1"/>
  <c r="R83" i="50" a="1"/>
  <c r="R83" i="50" s="1"/>
  <c r="Q83" i="50" a="1"/>
  <c r="Q83" i="50" s="1"/>
  <c r="P83" i="50" a="1"/>
  <c r="P83" i="50" s="1"/>
  <c r="O83" i="50" a="1"/>
  <c r="O83" i="50" s="1"/>
  <c r="N83" i="50" a="1"/>
  <c r="N83" i="50" s="1"/>
  <c r="I83" i="50" a="1"/>
  <c r="I83" i="50" s="1"/>
  <c r="AY82" i="50"/>
  <c r="AZ82" i="50" s="1"/>
  <c r="AX82" i="50"/>
  <c r="T82" i="50" a="1"/>
  <c r="T82" i="50" s="1"/>
  <c r="R82" i="50" a="1"/>
  <c r="R82" i="50" s="1"/>
  <c r="Q82" i="50" a="1"/>
  <c r="Q82" i="50" s="1"/>
  <c r="P82" i="50" a="1"/>
  <c r="P82" i="50" s="1"/>
  <c r="O82" i="50" a="1"/>
  <c r="O82" i="50" s="1"/>
  <c r="N82" i="50" a="1"/>
  <c r="N82" i="50" s="1"/>
  <c r="M82" i="50" a="1"/>
  <c r="M82" i="50" s="1"/>
  <c r="K82" i="50" a="1"/>
  <c r="K82" i="50" s="1"/>
  <c r="J82" i="50" a="1"/>
  <c r="J82" i="50" s="1"/>
  <c r="I82" i="50" a="1"/>
  <c r="I82" i="50" s="1"/>
  <c r="H82" i="50" a="1"/>
  <c r="H82" i="50" s="1"/>
  <c r="AY81" i="50"/>
  <c r="AX81" i="50"/>
  <c r="AZ81" i="50" s="1"/>
  <c r="T81" i="50" a="1"/>
  <c r="T81" i="50" s="1"/>
  <c r="R81" i="50" a="1"/>
  <c r="R81" i="50" s="1"/>
  <c r="Q81" i="50" a="1"/>
  <c r="Q81" i="50" s="1"/>
  <c r="P81" i="50" a="1"/>
  <c r="P81" i="50" s="1"/>
  <c r="O81" i="50" a="1"/>
  <c r="O81" i="50" s="1"/>
  <c r="N81" i="50" a="1"/>
  <c r="N81" i="50" s="1"/>
  <c r="M81" i="50" a="1"/>
  <c r="M81" i="50" s="1"/>
  <c r="K81" i="50" a="1"/>
  <c r="K81" i="50" s="1"/>
  <c r="J81" i="50" a="1"/>
  <c r="J81" i="50" s="1"/>
  <c r="I81" i="50" a="1"/>
  <c r="I81" i="50" s="1"/>
  <c r="H81" i="50" a="1"/>
  <c r="H81" i="50" s="1"/>
  <c r="AY80" i="50"/>
  <c r="AX80" i="50"/>
  <c r="T80" i="50" a="1"/>
  <c r="T80" i="50" s="1"/>
  <c r="R80" i="50" a="1"/>
  <c r="R80" i="50" s="1"/>
  <c r="Q80" i="50" a="1"/>
  <c r="Q80" i="50" s="1"/>
  <c r="P80" i="50" a="1"/>
  <c r="P80" i="50" s="1"/>
  <c r="O80" i="50" a="1"/>
  <c r="O80" i="50" s="1"/>
  <c r="N80" i="50" a="1"/>
  <c r="N80" i="50" s="1"/>
  <c r="M80" i="50" a="1"/>
  <c r="M80" i="50" s="1"/>
  <c r="K80" i="50" a="1"/>
  <c r="K80" i="50" s="1"/>
  <c r="J80" i="50" a="1"/>
  <c r="J80" i="50" s="1"/>
  <c r="I80" i="50" a="1"/>
  <c r="I80" i="50" s="1"/>
  <c r="H80" i="50" a="1"/>
  <c r="H80" i="50" s="1"/>
  <c r="AY79" i="50"/>
  <c r="AX79" i="50"/>
  <c r="AZ79" i="50" s="1"/>
  <c r="T79" i="50" a="1"/>
  <c r="T79" i="50" s="1"/>
  <c r="R79" i="50" a="1"/>
  <c r="R79" i="50" s="1"/>
  <c r="Q79" i="50" a="1"/>
  <c r="Q79" i="50" s="1"/>
  <c r="P79" i="50" a="1"/>
  <c r="P79" i="50" s="1"/>
  <c r="I79" i="50" a="1"/>
  <c r="I79" i="50" s="1"/>
  <c r="AY78" i="50"/>
  <c r="AX78" i="50"/>
  <c r="T78" i="50" a="1"/>
  <c r="T78" i="50" s="1"/>
  <c r="R78" i="50" a="1"/>
  <c r="R78" i="50" s="1"/>
  <c r="Q78" i="50" a="1"/>
  <c r="Q78" i="50" s="1"/>
  <c r="P78" i="50" a="1"/>
  <c r="P78" i="50" s="1"/>
  <c r="O78" i="50" a="1"/>
  <c r="O78" i="50" s="1"/>
  <c r="N78" i="50" a="1"/>
  <c r="N78" i="50" s="1"/>
  <c r="M78" i="50" a="1"/>
  <c r="M78" i="50" s="1"/>
  <c r="K78" i="50" a="1"/>
  <c r="K78" i="50" s="1"/>
  <c r="J78" i="50" a="1"/>
  <c r="J78" i="50" s="1"/>
  <c r="I78" i="50" a="1"/>
  <c r="I78" i="50" s="1"/>
  <c r="H78" i="50" a="1"/>
  <c r="H78" i="50" s="1"/>
  <c r="AY77" i="50"/>
  <c r="AX77" i="50"/>
  <c r="AZ77" i="50" s="1"/>
  <c r="T77" i="50" a="1"/>
  <c r="T77" i="50" s="1"/>
  <c r="R77" i="50" a="1"/>
  <c r="R77" i="50" s="1"/>
  <c r="Q77" i="50" a="1"/>
  <c r="Q77" i="50" s="1"/>
  <c r="P77" i="50" a="1"/>
  <c r="P77" i="50" s="1"/>
  <c r="O77" i="50" a="1"/>
  <c r="O77" i="50" s="1"/>
  <c r="N77" i="50" a="1"/>
  <c r="N77" i="50" s="1"/>
  <c r="M77" i="50" a="1"/>
  <c r="M77" i="50" s="1"/>
  <c r="K77" i="50" a="1"/>
  <c r="K77" i="50" s="1"/>
  <c r="J77" i="50" a="1"/>
  <c r="J77" i="50" s="1"/>
  <c r="I77" i="50" a="1"/>
  <c r="I77" i="50" s="1"/>
  <c r="H77" i="50" a="1"/>
  <c r="H77" i="50" s="1"/>
  <c r="AY76" i="50"/>
  <c r="AZ76" i="50" s="1"/>
  <c r="AX76" i="50"/>
  <c r="T76" i="50" a="1"/>
  <c r="T76" i="50" s="1"/>
  <c r="R76" i="50" a="1"/>
  <c r="R76" i="50" s="1"/>
  <c r="Q76" i="50" a="1"/>
  <c r="Q76" i="50" s="1"/>
  <c r="P76" i="50" a="1"/>
  <c r="P76" i="50" s="1"/>
  <c r="O76" i="50" a="1"/>
  <c r="O76" i="50" s="1"/>
  <c r="N76" i="50" a="1"/>
  <c r="N76" i="50" s="1"/>
  <c r="M76" i="50" a="1"/>
  <c r="M76" i="50" s="1"/>
  <c r="K76" i="50" a="1"/>
  <c r="K76" i="50" s="1"/>
  <c r="J76" i="50" a="1"/>
  <c r="J76" i="50" s="1"/>
  <c r="I76" i="50" a="1"/>
  <c r="I76" i="50" s="1"/>
  <c r="H76" i="50" a="1"/>
  <c r="H76" i="50" s="1"/>
  <c r="AY75" i="50"/>
  <c r="AX75" i="50"/>
  <c r="T75" i="50" a="1"/>
  <c r="T75" i="50" s="1"/>
  <c r="R75" i="50" a="1"/>
  <c r="R75" i="50" s="1"/>
  <c r="Q75" i="50" a="1"/>
  <c r="Q75" i="50" s="1"/>
  <c r="P75" i="50" a="1"/>
  <c r="P75" i="50" s="1"/>
  <c r="O75" i="50" a="1"/>
  <c r="O75" i="50" s="1"/>
  <c r="N75" i="50" a="1"/>
  <c r="N75" i="50" s="1"/>
  <c r="M75" i="50" a="1"/>
  <c r="M75" i="50" s="1"/>
  <c r="K75" i="50" a="1"/>
  <c r="K75" i="50" s="1"/>
  <c r="J75" i="50" a="1"/>
  <c r="J75" i="50" s="1"/>
  <c r="I75" i="50" a="1"/>
  <c r="I75" i="50" s="1"/>
  <c r="H75" i="50" a="1"/>
  <c r="H75" i="50" s="1"/>
  <c r="AY74" i="50"/>
  <c r="AX74" i="50"/>
  <c r="T74" i="50" a="1"/>
  <c r="T74" i="50" s="1"/>
  <c r="R74" i="50" a="1"/>
  <c r="R74" i="50" s="1"/>
  <c r="Q74" i="50" a="1"/>
  <c r="Q74" i="50" s="1"/>
  <c r="P74" i="50" a="1"/>
  <c r="P74" i="50" s="1"/>
  <c r="O74" i="50" a="1"/>
  <c r="O74" i="50" s="1"/>
  <c r="N74" i="50" a="1"/>
  <c r="N74" i="50" s="1"/>
  <c r="M74" i="50" a="1"/>
  <c r="M74" i="50" s="1"/>
  <c r="K74" i="50" a="1"/>
  <c r="K74" i="50" s="1"/>
  <c r="J74" i="50" a="1"/>
  <c r="J74" i="50" s="1"/>
  <c r="I74" i="50" a="1"/>
  <c r="I74" i="50" s="1"/>
  <c r="H74" i="50" a="1"/>
  <c r="H74" i="50" s="1"/>
  <c r="AY73" i="50"/>
  <c r="AX73" i="50"/>
  <c r="AY72" i="50"/>
  <c r="AX72" i="50"/>
  <c r="AY71" i="50"/>
  <c r="AX71" i="50"/>
  <c r="AY70" i="50"/>
  <c r="AX70" i="50"/>
  <c r="AY69" i="50"/>
  <c r="AX69" i="50"/>
  <c r="AZ69" i="50" s="1"/>
  <c r="AY68" i="50"/>
  <c r="AX68" i="50"/>
  <c r="AY67" i="50"/>
  <c r="AX67" i="50"/>
  <c r="AZ67" i="50" s="1"/>
  <c r="AY66" i="50"/>
  <c r="AX66" i="50"/>
  <c r="AY65" i="50"/>
  <c r="AX65" i="50"/>
  <c r="AY64" i="50"/>
  <c r="AX64" i="50"/>
  <c r="AY63" i="50"/>
  <c r="AX63" i="50"/>
  <c r="AZ63" i="50" s="1"/>
  <c r="AY62" i="50"/>
  <c r="AX62" i="50"/>
  <c r="AZ62" i="50" s="1"/>
  <c r="AY61" i="50"/>
  <c r="AX61" i="50"/>
  <c r="AY60" i="50"/>
  <c r="AX60" i="50"/>
  <c r="AY59" i="50"/>
  <c r="AX59" i="50"/>
  <c r="AY58" i="50"/>
  <c r="AX58" i="50"/>
  <c r="AY57" i="50"/>
  <c r="AX57" i="50"/>
  <c r="AY56" i="50"/>
  <c r="AX56" i="50"/>
  <c r="AY55" i="50"/>
  <c r="AX55" i="50"/>
  <c r="AY54" i="50"/>
  <c r="AX54" i="50"/>
  <c r="AY53" i="50"/>
  <c r="AX53" i="50"/>
  <c r="AZ53" i="50" s="1"/>
  <c r="AY52" i="50"/>
  <c r="AX52" i="50"/>
  <c r="AY51" i="50"/>
  <c r="AX51" i="50"/>
  <c r="AY50" i="50"/>
  <c r="AX50" i="50"/>
  <c r="AZ50" i="50" s="1"/>
  <c r="AY49" i="50"/>
  <c r="AX49" i="50"/>
  <c r="AY48" i="50"/>
  <c r="AX48" i="50"/>
  <c r="AZ48" i="50" s="1"/>
  <c r="T48" i="50" a="1"/>
  <c r="T48" i="50" s="1"/>
  <c r="R48" i="50" a="1"/>
  <c r="R48" i="50" s="1"/>
  <c r="Q48" i="50" a="1"/>
  <c r="Q48" i="50" s="1"/>
  <c r="P48" i="50" a="1"/>
  <c r="P48" i="50" s="1"/>
  <c r="O48" i="50" a="1"/>
  <c r="O48" i="50" s="1"/>
  <c r="N48" i="50" a="1"/>
  <c r="N48" i="50" s="1"/>
  <c r="M48" i="50" a="1"/>
  <c r="M48" i="50" s="1"/>
  <c r="K48" i="50" a="1"/>
  <c r="K48" i="50" s="1"/>
  <c r="J48" i="50" a="1"/>
  <c r="J48" i="50" s="1"/>
  <c r="I48" i="50" a="1"/>
  <c r="I48" i="50" s="1"/>
  <c r="H48" i="50" a="1"/>
  <c r="H48" i="50" s="1"/>
  <c r="AY47" i="50"/>
  <c r="AX47" i="50"/>
  <c r="T47" i="50" a="1"/>
  <c r="T47" i="50" s="1"/>
  <c r="R47" i="50" a="1"/>
  <c r="R47" i="50" s="1"/>
  <c r="Q47" i="50" a="1"/>
  <c r="Q47" i="50" s="1"/>
  <c r="P47" i="50" a="1"/>
  <c r="P47" i="50" s="1"/>
  <c r="O47" i="50" a="1"/>
  <c r="O47" i="50" s="1"/>
  <c r="N47" i="50" a="1"/>
  <c r="N47" i="50" s="1"/>
  <c r="M47" i="50" a="1"/>
  <c r="M47" i="50" s="1"/>
  <c r="K47" i="50" a="1"/>
  <c r="K47" i="50" s="1"/>
  <c r="J47" i="50" a="1"/>
  <c r="J47" i="50" s="1"/>
  <c r="I47" i="50" a="1"/>
  <c r="I47" i="50" s="1"/>
  <c r="H47" i="50" a="1"/>
  <c r="H47" i="50" s="1"/>
  <c r="AZ46" i="50"/>
  <c r="AY46" i="50"/>
  <c r="AX46" i="50"/>
  <c r="T46" i="50" a="1"/>
  <c r="T46" i="50" s="1"/>
  <c r="R46" i="50" a="1"/>
  <c r="R46" i="50" s="1"/>
  <c r="Q46" i="50" a="1"/>
  <c r="Q46" i="50" s="1"/>
  <c r="P46" i="50" a="1"/>
  <c r="P46" i="50" s="1"/>
  <c r="O46" i="50" a="1"/>
  <c r="O46" i="50" s="1"/>
  <c r="N46" i="50" a="1"/>
  <c r="N46" i="50" s="1"/>
  <c r="M46" i="50" a="1"/>
  <c r="M46" i="50" s="1"/>
  <c r="K46" i="50" a="1"/>
  <c r="K46" i="50" s="1"/>
  <c r="J46" i="50" a="1"/>
  <c r="J46" i="50" s="1"/>
  <c r="I46" i="50" a="1"/>
  <c r="I46" i="50" s="1"/>
  <c r="H46" i="50" a="1"/>
  <c r="H46" i="50" s="1"/>
  <c r="AZ45" i="50"/>
  <c r="AY45" i="50"/>
  <c r="AX45" i="50"/>
  <c r="T45" i="50" a="1"/>
  <c r="T45" i="50" s="1"/>
  <c r="R45" i="50" a="1"/>
  <c r="R45" i="50" s="1"/>
  <c r="Q45" i="50" a="1"/>
  <c r="Q45" i="50" s="1"/>
  <c r="P45" i="50" a="1"/>
  <c r="P45" i="50" s="1"/>
  <c r="O45" i="50" a="1"/>
  <c r="O45" i="50" s="1"/>
  <c r="N45" i="50" a="1"/>
  <c r="N45" i="50" s="1"/>
  <c r="M45" i="50" a="1"/>
  <c r="M45" i="50" s="1"/>
  <c r="K45" i="50" a="1"/>
  <c r="K45" i="50" s="1"/>
  <c r="J45" i="50" a="1"/>
  <c r="J45" i="50" s="1"/>
  <c r="I45" i="50" a="1"/>
  <c r="I45" i="50" s="1"/>
  <c r="H45" i="50" a="1"/>
  <c r="H45" i="50" s="1"/>
  <c r="AY44" i="50"/>
  <c r="AX44" i="50"/>
  <c r="T44" i="50" a="1"/>
  <c r="T44" i="50" s="1"/>
  <c r="R44" i="50" a="1"/>
  <c r="R44" i="50" s="1"/>
  <c r="Q44" i="50" a="1"/>
  <c r="Q44" i="50" s="1"/>
  <c r="P44" i="50" a="1"/>
  <c r="P44" i="50" s="1"/>
  <c r="O44" i="50" a="1"/>
  <c r="O44" i="50" s="1"/>
  <c r="N44" i="50" a="1"/>
  <c r="N44" i="50" s="1"/>
  <c r="M44" i="50" a="1"/>
  <c r="M44" i="50" s="1"/>
  <c r="K44" i="50" a="1"/>
  <c r="K44" i="50" s="1"/>
  <c r="J44" i="50" a="1"/>
  <c r="J44" i="50" s="1"/>
  <c r="I44" i="50" a="1"/>
  <c r="I44" i="50" s="1"/>
  <c r="H44" i="50" a="1"/>
  <c r="H44" i="50" s="1"/>
  <c r="AY43" i="50"/>
  <c r="AX43" i="50"/>
  <c r="AZ43" i="50" s="1"/>
  <c r="T43" i="50" a="1"/>
  <c r="T43" i="50" s="1"/>
  <c r="R43" i="50" a="1"/>
  <c r="R43" i="50" s="1"/>
  <c r="Q43" i="50" a="1"/>
  <c r="Q43" i="50" s="1"/>
  <c r="P43" i="50" a="1"/>
  <c r="P43" i="50" s="1"/>
  <c r="O43" i="50" a="1"/>
  <c r="O43" i="50" s="1"/>
  <c r="N43" i="50" a="1"/>
  <c r="N43" i="50" s="1"/>
  <c r="M43" i="50" a="1"/>
  <c r="M43" i="50" s="1"/>
  <c r="K43" i="50" a="1"/>
  <c r="K43" i="50" s="1"/>
  <c r="J43" i="50" a="1"/>
  <c r="J43" i="50" s="1"/>
  <c r="I43" i="50" a="1"/>
  <c r="I43" i="50" s="1"/>
  <c r="H43" i="50" a="1"/>
  <c r="H43" i="50" s="1"/>
  <c r="AZ42" i="50"/>
  <c r="AY42" i="50"/>
  <c r="AX42" i="50"/>
  <c r="T42" i="50" a="1"/>
  <c r="T42" i="50" s="1"/>
  <c r="R42" i="50" a="1"/>
  <c r="R42" i="50" s="1"/>
  <c r="Q42" i="50" a="1"/>
  <c r="Q42" i="50" s="1"/>
  <c r="P42" i="50" a="1"/>
  <c r="P42" i="50" s="1"/>
  <c r="O42" i="50" a="1"/>
  <c r="O42" i="50" s="1"/>
  <c r="N42" i="50" a="1"/>
  <c r="N42" i="50" s="1"/>
  <c r="M42" i="50" a="1"/>
  <c r="M42" i="50" s="1"/>
  <c r="K42" i="50" a="1"/>
  <c r="K42" i="50" s="1"/>
  <c r="J42" i="50" a="1"/>
  <c r="J42" i="50" s="1"/>
  <c r="I42" i="50" a="1"/>
  <c r="I42" i="50" s="1"/>
  <c r="H42" i="50" a="1"/>
  <c r="H42" i="50" s="1"/>
  <c r="AY41" i="50"/>
  <c r="AZ41" i="50" s="1"/>
  <c r="AX41" i="50"/>
  <c r="T41" i="50" a="1"/>
  <c r="T41" i="50" s="1"/>
  <c r="R41" i="50" a="1"/>
  <c r="R41" i="50" s="1"/>
  <c r="Q41" i="50" a="1"/>
  <c r="Q41" i="50" s="1"/>
  <c r="P41" i="50" a="1"/>
  <c r="P41" i="50" s="1"/>
  <c r="O41" i="50" a="1"/>
  <c r="O41" i="50" s="1"/>
  <c r="N41" i="50" a="1"/>
  <c r="N41" i="50" s="1"/>
  <c r="M41" i="50" a="1"/>
  <c r="M41" i="50" s="1"/>
  <c r="K41" i="50" a="1"/>
  <c r="K41" i="50" s="1"/>
  <c r="J41" i="50" a="1"/>
  <c r="J41" i="50" s="1"/>
  <c r="I41" i="50" a="1"/>
  <c r="I41" i="50" s="1"/>
  <c r="H41" i="50" a="1"/>
  <c r="H41" i="50" s="1"/>
  <c r="AY40" i="50"/>
  <c r="AX40" i="50"/>
  <c r="AZ40" i="50" s="1"/>
  <c r="T40" i="50" a="1"/>
  <c r="T40" i="50" s="1"/>
  <c r="R40" i="50" a="1"/>
  <c r="R40" i="50" s="1"/>
  <c r="Q40" i="50" a="1"/>
  <c r="Q40" i="50" s="1"/>
  <c r="P40" i="50" a="1"/>
  <c r="P40" i="50" s="1"/>
  <c r="O40" i="50" a="1"/>
  <c r="O40" i="50" s="1"/>
  <c r="N40" i="50" a="1"/>
  <c r="N40" i="50" s="1"/>
  <c r="M40" i="50" a="1"/>
  <c r="M40" i="50" s="1"/>
  <c r="K40" i="50" a="1"/>
  <c r="K40" i="50" s="1"/>
  <c r="J40" i="50" a="1"/>
  <c r="J40" i="50" s="1"/>
  <c r="I40" i="50" a="1"/>
  <c r="I40" i="50" s="1"/>
  <c r="H40" i="50" a="1"/>
  <c r="H40" i="50" s="1"/>
  <c r="AY39" i="50"/>
  <c r="AZ39" i="50" s="1"/>
  <c r="AX39" i="50"/>
  <c r="T39" i="50" a="1"/>
  <c r="T39" i="50" s="1"/>
  <c r="R39" i="50" a="1"/>
  <c r="R39" i="50" s="1"/>
  <c r="Q39" i="50" a="1"/>
  <c r="Q39" i="50" s="1"/>
  <c r="P39" i="50" a="1"/>
  <c r="P39" i="50" s="1"/>
  <c r="O39" i="50" a="1"/>
  <c r="O39" i="50" s="1"/>
  <c r="N39" i="50" a="1"/>
  <c r="N39" i="50" s="1"/>
  <c r="M39" i="50" a="1"/>
  <c r="M39" i="50" s="1"/>
  <c r="K39" i="50" a="1"/>
  <c r="K39" i="50" s="1"/>
  <c r="J39" i="50" a="1"/>
  <c r="J39" i="50" s="1"/>
  <c r="I39" i="50" a="1"/>
  <c r="I39" i="50" s="1"/>
  <c r="H39" i="50" a="1"/>
  <c r="H39" i="50" s="1"/>
  <c r="AY38" i="50"/>
  <c r="AX38" i="50"/>
  <c r="T38" i="50" a="1"/>
  <c r="T38" i="50" s="1"/>
  <c r="R38" i="50" a="1"/>
  <c r="R38" i="50" s="1"/>
  <c r="Q38" i="50" a="1"/>
  <c r="Q38" i="50" s="1"/>
  <c r="P38" i="50" a="1"/>
  <c r="P38" i="50" s="1"/>
  <c r="O38" i="50" a="1"/>
  <c r="O38" i="50" s="1"/>
  <c r="N38" i="50" a="1"/>
  <c r="N38" i="50" s="1"/>
  <c r="M38" i="50" a="1"/>
  <c r="M38" i="50" s="1"/>
  <c r="K38" i="50" a="1"/>
  <c r="K38" i="50" s="1"/>
  <c r="J38" i="50" a="1"/>
  <c r="J38" i="50" s="1"/>
  <c r="I38" i="50" a="1"/>
  <c r="I38" i="50" s="1"/>
  <c r="H38" i="50" a="1"/>
  <c r="H38" i="50" s="1"/>
  <c r="AY37" i="50"/>
  <c r="AX37" i="50"/>
  <c r="AZ37" i="50" s="1"/>
  <c r="T37" i="50" a="1"/>
  <c r="T37" i="50" s="1"/>
  <c r="R37" i="50" a="1"/>
  <c r="R37" i="50" s="1"/>
  <c r="Q37" i="50" a="1"/>
  <c r="Q37" i="50" s="1"/>
  <c r="P37" i="50" a="1"/>
  <c r="P37" i="50" s="1"/>
  <c r="O37" i="50" a="1"/>
  <c r="O37" i="50" s="1"/>
  <c r="N37" i="50" a="1"/>
  <c r="N37" i="50" s="1"/>
  <c r="M37" i="50" a="1"/>
  <c r="M37" i="50" s="1"/>
  <c r="K37" i="50" a="1"/>
  <c r="K37" i="50" s="1"/>
  <c r="J37" i="50" a="1"/>
  <c r="J37" i="50" s="1"/>
  <c r="I37" i="50" a="1"/>
  <c r="I37" i="50" s="1"/>
  <c r="H37" i="50" a="1"/>
  <c r="H37" i="50" s="1"/>
  <c r="AZ36" i="50"/>
  <c r="AY36" i="50"/>
  <c r="AX36" i="50"/>
  <c r="T36" i="50" a="1"/>
  <c r="T36" i="50" s="1"/>
  <c r="R36" i="50" a="1"/>
  <c r="R36" i="50" s="1"/>
  <c r="Q36" i="50" a="1"/>
  <c r="Q36" i="50" s="1"/>
  <c r="P36" i="50" a="1"/>
  <c r="P36" i="50" s="1"/>
  <c r="O36" i="50" a="1"/>
  <c r="O36" i="50" s="1"/>
  <c r="N36" i="50" a="1"/>
  <c r="N36" i="50" s="1"/>
  <c r="M36" i="50" a="1"/>
  <c r="M36" i="50" s="1"/>
  <c r="K36" i="50" a="1"/>
  <c r="K36" i="50" s="1"/>
  <c r="J36" i="50" a="1"/>
  <c r="J36" i="50" s="1"/>
  <c r="I36" i="50" a="1"/>
  <c r="I36" i="50" s="1"/>
  <c r="H36" i="50" a="1"/>
  <c r="H36" i="50" s="1"/>
  <c r="AY35" i="50"/>
  <c r="AX35" i="50"/>
  <c r="T35" i="50" a="1"/>
  <c r="T35" i="50" s="1"/>
  <c r="R35" i="50" a="1"/>
  <c r="R35" i="50" s="1"/>
  <c r="Q35" i="50" a="1"/>
  <c r="Q35" i="50" s="1"/>
  <c r="P35" i="50" a="1"/>
  <c r="P35" i="50" s="1"/>
  <c r="O35" i="50" a="1"/>
  <c r="O35" i="50" s="1"/>
  <c r="N35" i="50" a="1"/>
  <c r="N35" i="50" s="1"/>
  <c r="M35" i="50" a="1"/>
  <c r="M35" i="50" s="1"/>
  <c r="K35" i="50" a="1"/>
  <c r="K35" i="50" s="1"/>
  <c r="J35" i="50" a="1"/>
  <c r="J35" i="50" s="1"/>
  <c r="I35" i="50" a="1"/>
  <c r="I35" i="50" s="1"/>
  <c r="H35" i="50" a="1"/>
  <c r="H35" i="50" s="1"/>
  <c r="AZ34" i="50"/>
  <c r="AY34" i="50"/>
  <c r="AX34" i="50"/>
  <c r="T34" i="50" a="1"/>
  <c r="T34" i="50" s="1"/>
  <c r="R34" i="50" a="1"/>
  <c r="R34" i="50" s="1"/>
  <c r="Q34" i="50" a="1"/>
  <c r="Q34" i="50" s="1"/>
  <c r="P34" i="50" a="1"/>
  <c r="P34" i="50" s="1"/>
  <c r="O34" i="50" a="1"/>
  <c r="O34" i="50" s="1"/>
  <c r="N34" i="50" a="1"/>
  <c r="N34" i="50" s="1"/>
  <c r="M34" i="50" a="1"/>
  <c r="M34" i="50" s="1"/>
  <c r="K34" i="50" a="1"/>
  <c r="K34" i="50" s="1"/>
  <c r="J34" i="50" a="1"/>
  <c r="J34" i="50" s="1"/>
  <c r="I34" i="50" a="1"/>
  <c r="I34" i="50" s="1"/>
  <c r="H34" i="50" a="1"/>
  <c r="H34" i="50" s="1"/>
  <c r="AY33" i="50"/>
  <c r="AX33" i="50"/>
  <c r="AZ33" i="50" s="1"/>
  <c r="T33" i="50" a="1"/>
  <c r="T33" i="50" s="1"/>
  <c r="R33" i="50" a="1"/>
  <c r="R33" i="50" s="1"/>
  <c r="Q33" i="50" a="1"/>
  <c r="Q33" i="50" s="1"/>
  <c r="P33" i="50" a="1"/>
  <c r="P33" i="50" s="1"/>
  <c r="O33" i="50" a="1"/>
  <c r="O33" i="50" s="1"/>
  <c r="N33" i="50" a="1"/>
  <c r="N33" i="50" s="1"/>
  <c r="M33" i="50" a="1"/>
  <c r="M33" i="50" s="1"/>
  <c r="K33" i="50" a="1"/>
  <c r="K33" i="50" s="1"/>
  <c r="J33" i="50" a="1"/>
  <c r="J33" i="50" s="1"/>
  <c r="I33" i="50" a="1"/>
  <c r="I33" i="50" s="1"/>
  <c r="H33" i="50" a="1"/>
  <c r="H33" i="50" s="1"/>
  <c r="AZ32" i="50"/>
  <c r="AY32" i="50"/>
  <c r="AX32" i="50"/>
  <c r="T32" i="50" a="1"/>
  <c r="T32" i="50" s="1"/>
  <c r="R32" i="50" a="1"/>
  <c r="R32" i="50" s="1"/>
  <c r="Q32" i="50" a="1"/>
  <c r="Q32" i="50" s="1"/>
  <c r="P32" i="50" a="1"/>
  <c r="P32" i="50" s="1"/>
  <c r="O32" i="50" a="1"/>
  <c r="O32" i="50" s="1"/>
  <c r="N32" i="50" a="1"/>
  <c r="N32" i="50" s="1"/>
  <c r="M32" i="50" a="1"/>
  <c r="M32" i="50" s="1"/>
  <c r="K32" i="50" a="1"/>
  <c r="K32" i="50" s="1"/>
  <c r="J32" i="50" a="1"/>
  <c r="J32" i="50" s="1"/>
  <c r="I32" i="50" a="1"/>
  <c r="I32" i="50" s="1"/>
  <c r="H32" i="50" a="1"/>
  <c r="H32" i="50" s="1"/>
  <c r="AY31" i="50"/>
  <c r="AZ31" i="50" s="1"/>
  <c r="AX31" i="50"/>
  <c r="T31" i="50" a="1"/>
  <c r="T31" i="50" s="1"/>
  <c r="R31" i="50" a="1"/>
  <c r="R31" i="50" s="1"/>
  <c r="Q31" i="50" a="1"/>
  <c r="Q31" i="50" s="1"/>
  <c r="P31" i="50" a="1"/>
  <c r="P31" i="50" s="1"/>
  <c r="O31" i="50" a="1"/>
  <c r="O31" i="50" s="1"/>
  <c r="N31" i="50" a="1"/>
  <c r="N31" i="50" s="1"/>
  <c r="M31" i="50" a="1"/>
  <c r="M31" i="50" s="1"/>
  <c r="K31" i="50" a="1"/>
  <c r="K31" i="50" s="1"/>
  <c r="J31" i="50" a="1"/>
  <c r="J31" i="50" s="1"/>
  <c r="I31" i="50" a="1"/>
  <c r="I31" i="50" s="1"/>
  <c r="H31" i="50" a="1"/>
  <c r="H31" i="50" s="1"/>
  <c r="AY30" i="50"/>
  <c r="AX30" i="50"/>
  <c r="AZ30" i="50" s="1"/>
  <c r="T30" i="50" a="1"/>
  <c r="T30" i="50" s="1"/>
  <c r="R30" i="50" a="1"/>
  <c r="R30" i="50" s="1"/>
  <c r="Q30" i="50" a="1"/>
  <c r="Q30" i="50" s="1"/>
  <c r="P30" i="50" a="1"/>
  <c r="P30" i="50" s="1"/>
  <c r="O30" i="50" a="1"/>
  <c r="O30" i="50" s="1"/>
  <c r="N30" i="50" a="1"/>
  <c r="N30" i="50" s="1"/>
  <c r="M30" i="50" a="1"/>
  <c r="M30" i="50" s="1"/>
  <c r="K30" i="50" a="1"/>
  <c r="K30" i="50" s="1"/>
  <c r="J30" i="50" a="1"/>
  <c r="J30" i="50" s="1"/>
  <c r="I30" i="50" a="1"/>
  <c r="I30" i="50" s="1"/>
  <c r="H30" i="50" a="1"/>
  <c r="H30" i="50" s="1"/>
  <c r="AY29" i="50"/>
  <c r="AX29" i="50"/>
  <c r="AZ29" i="50" s="1"/>
  <c r="T29" i="50" a="1"/>
  <c r="T29" i="50" s="1"/>
  <c r="R29" i="50" a="1"/>
  <c r="R29" i="50" s="1"/>
  <c r="Q29" i="50" a="1"/>
  <c r="Q29" i="50" s="1"/>
  <c r="P29" i="50" a="1"/>
  <c r="P29" i="50" s="1"/>
  <c r="O29" i="50" a="1"/>
  <c r="O29" i="50" s="1"/>
  <c r="N29" i="50" a="1"/>
  <c r="N29" i="50" s="1"/>
  <c r="M29" i="50" a="1"/>
  <c r="M29" i="50" s="1"/>
  <c r="K29" i="50" a="1"/>
  <c r="K29" i="50" s="1"/>
  <c r="J29" i="50" a="1"/>
  <c r="J29" i="50" s="1"/>
  <c r="I29" i="50" a="1"/>
  <c r="I29" i="50" s="1"/>
  <c r="H29" i="50" a="1"/>
  <c r="H29" i="50" s="1"/>
  <c r="AZ28" i="50"/>
  <c r="AY28" i="50"/>
  <c r="AX28" i="50"/>
  <c r="T28" i="50" a="1"/>
  <c r="T28" i="50" s="1"/>
  <c r="R28" i="50" a="1"/>
  <c r="R28" i="50" s="1"/>
  <c r="Q28" i="50" a="1"/>
  <c r="Q28" i="50" s="1"/>
  <c r="P28" i="50" a="1"/>
  <c r="P28" i="50" s="1"/>
  <c r="O28" i="50" a="1"/>
  <c r="O28" i="50" s="1"/>
  <c r="N28" i="50" a="1"/>
  <c r="N28" i="50" s="1"/>
  <c r="M28" i="50" a="1"/>
  <c r="M28" i="50" s="1"/>
  <c r="K28" i="50" a="1"/>
  <c r="K28" i="50" s="1"/>
  <c r="J28" i="50" a="1"/>
  <c r="J28" i="50" s="1"/>
  <c r="I28" i="50" a="1"/>
  <c r="I28" i="50" s="1"/>
  <c r="H28" i="50" a="1"/>
  <c r="H28" i="50" s="1"/>
  <c r="AY27" i="50"/>
  <c r="AX27" i="50"/>
  <c r="AZ27" i="50" s="1"/>
  <c r="T27" i="50" a="1"/>
  <c r="T27" i="50" s="1"/>
  <c r="R27" i="50" a="1"/>
  <c r="R27" i="50" s="1"/>
  <c r="Q27" i="50" a="1"/>
  <c r="Q27" i="50" s="1"/>
  <c r="P27" i="50" a="1"/>
  <c r="P27" i="50" s="1"/>
  <c r="O27" i="50" a="1"/>
  <c r="O27" i="50" s="1"/>
  <c r="N27" i="50" a="1"/>
  <c r="N27" i="50" s="1"/>
  <c r="M27" i="50" a="1"/>
  <c r="M27" i="50" s="1"/>
  <c r="K27" i="50" a="1"/>
  <c r="K27" i="50" s="1"/>
  <c r="J27" i="50" a="1"/>
  <c r="J27" i="50" s="1"/>
  <c r="I27" i="50" a="1"/>
  <c r="I27" i="50" s="1"/>
  <c r="H27" i="50" a="1"/>
  <c r="H27" i="50" s="1"/>
  <c r="AY26" i="50"/>
  <c r="AX26" i="50"/>
  <c r="T26" i="50" a="1"/>
  <c r="T26" i="50" s="1"/>
  <c r="R26" i="50" a="1"/>
  <c r="R26" i="50" s="1"/>
  <c r="Q26" i="50" a="1"/>
  <c r="Q26" i="50" s="1"/>
  <c r="P26" i="50" a="1"/>
  <c r="P26" i="50" s="1"/>
  <c r="O26" i="50" a="1"/>
  <c r="O26" i="50" s="1"/>
  <c r="N26" i="50" a="1"/>
  <c r="N26" i="50" s="1"/>
  <c r="M26" i="50" a="1"/>
  <c r="M26" i="50" s="1"/>
  <c r="K26" i="50" a="1"/>
  <c r="K26" i="50" s="1"/>
  <c r="J26" i="50" a="1"/>
  <c r="J26" i="50" s="1"/>
  <c r="I26" i="50" a="1"/>
  <c r="I26" i="50" s="1"/>
  <c r="H26" i="50" a="1"/>
  <c r="H26" i="50" s="1"/>
  <c r="AZ25" i="50"/>
  <c r="AY25" i="50"/>
  <c r="AX25" i="50"/>
  <c r="T25" i="50" a="1"/>
  <c r="T25" i="50" s="1"/>
  <c r="R25" i="50" a="1"/>
  <c r="R25" i="50" s="1"/>
  <c r="Q25" i="50" a="1"/>
  <c r="Q25" i="50" s="1"/>
  <c r="P25" i="50" a="1"/>
  <c r="P25" i="50" s="1"/>
  <c r="O25" i="50" a="1"/>
  <c r="O25" i="50" s="1"/>
  <c r="N25" i="50" a="1"/>
  <c r="N25" i="50" s="1"/>
  <c r="M25" i="50" a="1"/>
  <c r="M25" i="50" s="1"/>
  <c r="K25" i="50" a="1"/>
  <c r="K25" i="50" s="1"/>
  <c r="J25" i="50" a="1"/>
  <c r="J25" i="50" s="1"/>
  <c r="I25" i="50" a="1"/>
  <c r="I25" i="50" s="1"/>
  <c r="H25" i="50" a="1"/>
  <c r="H25" i="50" s="1"/>
  <c r="AY24" i="50"/>
  <c r="AZ24" i="50" s="1"/>
  <c r="AX24" i="50"/>
  <c r="T24" i="50" a="1"/>
  <c r="T24" i="50" s="1"/>
  <c r="R24" i="50" a="1"/>
  <c r="R24" i="50" s="1"/>
  <c r="Q24" i="50" a="1"/>
  <c r="Q24" i="50" s="1"/>
  <c r="P24" i="50" a="1"/>
  <c r="P24" i="50" s="1"/>
  <c r="O24" i="50" a="1"/>
  <c r="O24" i="50" s="1"/>
  <c r="N24" i="50" a="1"/>
  <c r="N24" i="50" s="1"/>
  <c r="M24" i="50" a="1"/>
  <c r="M24" i="50" s="1"/>
  <c r="K24" i="50" a="1"/>
  <c r="K24" i="50" s="1"/>
  <c r="J24" i="50" a="1"/>
  <c r="J24" i="50" s="1"/>
  <c r="I24" i="50" a="1"/>
  <c r="I24" i="50" s="1"/>
  <c r="H24" i="50" a="1"/>
  <c r="H24" i="50" s="1"/>
  <c r="AY23" i="50"/>
  <c r="AX23" i="50"/>
  <c r="AZ23" i="50" s="1"/>
  <c r="T23" i="50" a="1"/>
  <c r="T23" i="50" s="1"/>
  <c r="R23" i="50" a="1"/>
  <c r="R23" i="50" s="1"/>
  <c r="Q23" i="50" a="1"/>
  <c r="Q23" i="50" s="1"/>
  <c r="P23" i="50" a="1"/>
  <c r="P23" i="50" s="1"/>
  <c r="O23" i="50" a="1"/>
  <c r="O23" i="50" s="1"/>
  <c r="N23" i="50" a="1"/>
  <c r="N23" i="50" s="1"/>
  <c r="M23" i="50" a="1"/>
  <c r="M23" i="50" s="1"/>
  <c r="K23" i="50" a="1"/>
  <c r="K23" i="50" s="1"/>
  <c r="J23" i="50" a="1"/>
  <c r="J23" i="50" s="1"/>
  <c r="I23" i="50" a="1"/>
  <c r="I23" i="50" s="1"/>
  <c r="H23" i="50" a="1"/>
  <c r="H23" i="50" s="1"/>
  <c r="AZ22" i="50"/>
  <c r="AY22" i="50"/>
  <c r="AX22" i="50"/>
  <c r="T22" i="50" a="1"/>
  <c r="T22" i="50" s="1"/>
  <c r="R22" i="50" a="1"/>
  <c r="R22" i="50" s="1"/>
  <c r="Q22" i="50" a="1"/>
  <c r="Q22" i="50" s="1"/>
  <c r="P22" i="50" a="1"/>
  <c r="P22" i="50" s="1"/>
  <c r="O22" i="50" a="1"/>
  <c r="O22" i="50" s="1"/>
  <c r="N22" i="50" a="1"/>
  <c r="N22" i="50" s="1"/>
  <c r="M22" i="50" a="1"/>
  <c r="M22" i="50" s="1"/>
  <c r="K22" i="50" a="1"/>
  <c r="K22" i="50" s="1"/>
  <c r="J22" i="50" a="1"/>
  <c r="J22" i="50" s="1"/>
  <c r="I22" i="50" a="1"/>
  <c r="I22" i="50" s="1"/>
  <c r="H22" i="50" a="1"/>
  <c r="H22" i="50" s="1"/>
  <c r="AY21" i="50"/>
  <c r="AZ21" i="50" s="1"/>
  <c r="AX21" i="50"/>
  <c r="T21" i="50" a="1"/>
  <c r="T21" i="50" s="1"/>
  <c r="R21" i="50" a="1"/>
  <c r="R21" i="50" s="1"/>
  <c r="Q21" i="50" a="1"/>
  <c r="Q21" i="50" s="1"/>
  <c r="P21" i="50" a="1"/>
  <c r="P21" i="50" s="1"/>
  <c r="O21" i="50" a="1"/>
  <c r="O21" i="50" s="1"/>
  <c r="N21" i="50" a="1"/>
  <c r="N21" i="50" s="1"/>
  <c r="M21" i="50" a="1"/>
  <c r="M21" i="50" s="1"/>
  <c r="K21" i="50" a="1"/>
  <c r="K21" i="50" s="1"/>
  <c r="J21" i="50" a="1"/>
  <c r="J21" i="50" s="1"/>
  <c r="I21" i="50" a="1"/>
  <c r="I21" i="50" s="1"/>
  <c r="H21" i="50" a="1"/>
  <c r="H21" i="50" s="1"/>
  <c r="AY20" i="50"/>
  <c r="AX20" i="50"/>
  <c r="AZ20" i="50" s="1"/>
  <c r="T20" i="50" a="1"/>
  <c r="T20" i="50" s="1"/>
  <c r="R20" i="50" a="1"/>
  <c r="R20" i="50" s="1"/>
  <c r="Q20" i="50" a="1"/>
  <c r="Q20" i="50" s="1"/>
  <c r="P20" i="50" a="1"/>
  <c r="P20" i="50" s="1"/>
  <c r="O20" i="50" a="1"/>
  <c r="O20" i="50" s="1"/>
  <c r="N20" i="50" a="1"/>
  <c r="N20" i="50" s="1"/>
  <c r="M20" i="50" a="1"/>
  <c r="M20" i="50" s="1"/>
  <c r="K20" i="50" a="1"/>
  <c r="K20" i="50" s="1"/>
  <c r="J20" i="50" a="1"/>
  <c r="J20" i="50" s="1"/>
  <c r="I20" i="50" a="1"/>
  <c r="I20" i="50" s="1"/>
  <c r="H20" i="50" a="1"/>
  <c r="H20" i="50" s="1"/>
  <c r="AZ19" i="50"/>
  <c r="AY19" i="50"/>
  <c r="AX19" i="50"/>
  <c r="T19" i="50" a="1"/>
  <c r="T19" i="50" s="1"/>
  <c r="R19" i="50" a="1"/>
  <c r="R19" i="50" s="1"/>
  <c r="Q19" i="50" a="1"/>
  <c r="Q19" i="50" s="1"/>
  <c r="P19" i="50" a="1"/>
  <c r="P19" i="50" s="1"/>
  <c r="O19" i="50" a="1"/>
  <c r="O19" i="50" s="1"/>
  <c r="N19" i="50" a="1"/>
  <c r="N19" i="50" s="1"/>
  <c r="M19" i="50" a="1"/>
  <c r="M19" i="50" s="1"/>
  <c r="K19" i="50" a="1"/>
  <c r="K19" i="50" s="1"/>
  <c r="J19" i="50" a="1"/>
  <c r="J19" i="50" s="1"/>
  <c r="I19" i="50" a="1"/>
  <c r="I19" i="50" s="1"/>
  <c r="H19" i="50" a="1"/>
  <c r="H19" i="50" s="1"/>
  <c r="AY18" i="50"/>
  <c r="AZ18" i="50" s="1"/>
  <c r="AX18" i="50"/>
  <c r="T18" i="50" a="1"/>
  <c r="T18" i="50" s="1"/>
  <c r="R18" i="50" a="1"/>
  <c r="R18" i="50" s="1"/>
  <c r="Q18" i="50" a="1"/>
  <c r="Q18" i="50" s="1"/>
  <c r="P18" i="50" a="1"/>
  <c r="P18" i="50" s="1"/>
  <c r="O18" i="50" a="1"/>
  <c r="O18" i="50" s="1"/>
  <c r="N18" i="50" a="1"/>
  <c r="N18" i="50" s="1"/>
  <c r="M18" i="50" a="1"/>
  <c r="M18" i="50" s="1"/>
  <c r="K18" i="50" a="1"/>
  <c r="K18" i="50" s="1"/>
  <c r="J18" i="50" a="1"/>
  <c r="J18" i="50" s="1"/>
  <c r="I18" i="50" a="1"/>
  <c r="I18" i="50" s="1"/>
  <c r="H18" i="50" a="1"/>
  <c r="H18" i="50" s="1"/>
  <c r="AZ17" i="50"/>
  <c r="AY17" i="50"/>
  <c r="AX17" i="50"/>
  <c r="T17" i="50" a="1"/>
  <c r="T17" i="50" s="1"/>
  <c r="R17" i="50" a="1"/>
  <c r="R17" i="50" s="1"/>
  <c r="Q17" i="50" a="1"/>
  <c r="Q17" i="50" s="1"/>
  <c r="P17" i="50" a="1"/>
  <c r="P17" i="50" s="1"/>
  <c r="O17" i="50" a="1"/>
  <c r="O17" i="50" s="1"/>
  <c r="N17" i="50" a="1"/>
  <c r="N17" i="50" s="1"/>
  <c r="M17" i="50" a="1"/>
  <c r="M17" i="50" s="1"/>
  <c r="K17" i="50" a="1"/>
  <c r="K17" i="50" s="1"/>
  <c r="J17" i="50" a="1"/>
  <c r="J17" i="50" s="1"/>
  <c r="I17" i="50" a="1"/>
  <c r="I17" i="50" s="1"/>
  <c r="H17" i="50" a="1"/>
  <c r="H17" i="50" s="1"/>
  <c r="AY16" i="50"/>
  <c r="AX16" i="50"/>
  <c r="AZ16" i="50" s="1"/>
  <c r="T16" i="50" a="1"/>
  <c r="T16" i="50" s="1"/>
  <c r="R16" i="50" a="1"/>
  <c r="R16" i="50" s="1"/>
  <c r="Q16" i="50" a="1"/>
  <c r="Q16" i="50" s="1"/>
  <c r="P16" i="50" a="1"/>
  <c r="P16" i="50" s="1"/>
  <c r="O16" i="50" a="1"/>
  <c r="O16" i="50" s="1"/>
  <c r="N16" i="50" a="1"/>
  <c r="N16" i="50" s="1"/>
  <c r="M16" i="50" a="1"/>
  <c r="M16" i="50" s="1"/>
  <c r="K16" i="50" a="1"/>
  <c r="K16" i="50" s="1"/>
  <c r="J16" i="50" a="1"/>
  <c r="J16" i="50" s="1"/>
  <c r="I16" i="50" a="1"/>
  <c r="I16" i="50" s="1"/>
  <c r="H16" i="50" a="1"/>
  <c r="H16" i="50" s="1"/>
  <c r="AY15" i="50"/>
  <c r="AX15" i="50"/>
  <c r="AZ15" i="50" s="1"/>
  <c r="T15" i="50" a="1"/>
  <c r="T15" i="50" s="1"/>
  <c r="R15" i="50" a="1"/>
  <c r="R15" i="50" s="1"/>
  <c r="Q15" i="50" a="1"/>
  <c r="Q15" i="50" s="1"/>
  <c r="P15" i="50" a="1"/>
  <c r="P15" i="50" s="1"/>
  <c r="O15" i="50" a="1"/>
  <c r="O15" i="50" s="1"/>
  <c r="N15" i="50" a="1"/>
  <c r="N15" i="50" s="1"/>
  <c r="M15" i="50" a="1"/>
  <c r="M15" i="50" s="1"/>
  <c r="K15" i="50" a="1"/>
  <c r="K15" i="50" s="1"/>
  <c r="J15" i="50" a="1"/>
  <c r="J15" i="50" s="1"/>
  <c r="I15" i="50" a="1"/>
  <c r="I15" i="50" s="1"/>
  <c r="H15" i="50" a="1"/>
  <c r="H15" i="50" s="1"/>
  <c r="AY14" i="50"/>
  <c r="AX14" i="50"/>
  <c r="AZ14" i="50" s="1"/>
  <c r="T14" i="50" a="1"/>
  <c r="T14" i="50" s="1"/>
  <c r="R14" i="50" a="1"/>
  <c r="R14" i="50" s="1"/>
  <c r="Q14" i="50" a="1"/>
  <c r="Q14" i="50" s="1"/>
  <c r="P14" i="50" a="1"/>
  <c r="P14" i="50" s="1"/>
  <c r="O14" i="50" a="1"/>
  <c r="O14" i="50" s="1"/>
  <c r="N14" i="50" a="1"/>
  <c r="N14" i="50" s="1"/>
  <c r="M14" i="50" a="1"/>
  <c r="M14" i="50" s="1"/>
  <c r="K14" i="50" a="1"/>
  <c r="K14" i="50" s="1"/>
  <c r="J14" i="50" a="1"/>
  <c r="J14" i="50" s="1"/>
  <c r="I14" i="50" a="1"/>
  <c r="I14" i="50" s="1"/>
  <c r="H14" i="50" a="1"/>
  <c r="H14" i="50" s="1"/>
  <c r="AY13" i="50"/>
  <c r="AZ13" i="50" s="1"/>
  <c r="AX13" i="50"/>
  <c r="T13" i="50" a="1"/>
  <c r="T13" i="50" s="1"/>
  <c r="R13" i="50" a="1"/>
  <c r="R13" i="50" s="1"/>
  <c r="Q13" i="50" a="1"/>
  <c r="Q13" i="50" s="1"/>
  <c r="P13" i="50" a="1"/>
  <c r="P13" i="50" s="1"/>
  <c r="O13" i="50" a="1"/>
  <c r="O13" i="50" s="1"/>
  <c r="N13" i="50" a="1"/>
  <c r="N13" i="50" s="1"/>
  <c r="M13" i="50" a="1"/>
  <c r="M13" i="50" s="1"/>
  <c r="K13" i="50" a="1"/>
  <c r="K13" i="50" s="1"/>
  <c r="J13" i="50" a="1"/>
  <c r="J13" i="50" s="1"/>
  <c r="I13" i="50" a="1"/>
  <c r="I13" i="50" s="1"/>
  <c r="H13" i="50" a="1"/>
  <c r="H13" i="50" s="1"/>
  <c r="AY12" i="50"/>
  <c r="AX12" i="50"/>
  <c r="AZ12" i="50" s="1"/>
  <c r="T12" i="50" a="1"/>
  <c r="T12" i="50" s="1"/>
  <c r="R12" i="50" a="1"/>
  <c r="R12" i="50" s="1"/>
  <c r="Q12" i="50" a="1"/>
  <c r="Q12" i="50" s="1"/>
  <c r="P12" i="50" a="1"/>
  <c r="P12" i="50" s="1"/>
  <c r="O12" i="50" a="1"/>
  <c r="O12" i="50" s="1"/>
  <c r="N12" i="50" a="1"/>
  <c r="N12" i="50" s="1"/>
  <c r="K12" i="50" a="1"/>
  <c r="K12" i="50" s="1"/>
  <c r="J12" i="50" a="1"/>
  <c r="J12" i="50" s="1"/>
  <c r="I12" i="50" a="1"/>
  <c r="I12" i="50" s="1"/>
  <c r="H12" i="50" a="1"/>
  <c r="H12" i="50" s="1"/>
  <c r="AZ11" i="50"/>
  <c r="AY11" i="50"/>
  <c r="AX11" i="50"/>
  <c r="T11" i="50" a="1"/>
  <c r="T11" i="50" s="1"/>
  <c r="R11" i="50" a="1"/>
  <c r="R11" i="50" s="1"/>
  <c r="Q11" i="50" a="1"/>
  <c r="Q11" i="50" s="1"/>
  <c r="P11" i="50" a="1"/>
  <c r="P11" i="50" s="1"/>
  <c r="O11" i="50" a="1"/>
  <c r="O11" i="50" s="1"/>
  <c r="N11" i="50" a="1"/>
  <c r="N11" i="50" s="1"/>
  <c r="K11" i="50" a="1"/>
  <c r="K11" i="50" s="1"/>
  <c r="I11" i="50" a="1"/>
  <c r="I11" i="50" s="1"/>
  <c r="H11" i="50" a="1"/>
  <c r="H11" i="50" s="1"/>
  <c r="AY10" i="50"/>
  <c r="AX10" i="50"/>
  <c r="AZ10" i="50" s="1"/>
  <c r="T10" i="50" a="1"/>
  <c r="T10" i="50" s="1"/>
  <c r="R10" i="50" a="1"/>
  <c r="R10" i="50" s="1"/>
  <c r="Q10" i="50" a="1"/>
  <c r="Q10" i="50" s="1"/>
  <c r="P10" i="50" a="1"/>
  <c r="P10" i="50" s="1"/>
  <c r="O10" i="50" a="1"/>
  <c r="O10" i="50" s="1"/>
  <c r="N10" i="50" a="1"/>
  <c r="N10" i="50" s="1"/>
  <c r="K10" i="50" a="1"/>
  <c r="K10" i="50" s="1"/>
  <c r="I10" i="50" a="1"/>
  <c r="I10" i="50" s="1"/>
  <c r="H10" i="50" a="1"/>
  <c r="H10" i="50" s="1"/>
  <c r="AY9" i="50"/>
  <c r="AX9" i="50"/>
  <c r="AZ9" i="50" s="1"/>
  <c r="T9" i="50" a="1"/>
  <c r="T9" i="50" s="1"/>
  <c r="R9" i="50" a="1"/>
  <c r="R9" i="50" s="1"/>
  <c r="Q9" i="50" a="1"/>
  <c r="Q9" i="50" s="1"/>
  <c r="P9" i="50" a="1"/>
  <c r="P9" i="50" s="1"/>
  <c r="O9" i="50" a="1"/>
  <c r="O9" i="50" s="1"/>
  <c r="N9" i="50" a="1"/>
  <c r="N9" i="50" s="1"/>
  <c r="M9" i="50" a="1"/>
  <c r="M9" i="50" s="1"/>
  <c r="K9" i="50" a="1"/>
  <c r="K9" i="50" s="1"/>
  <c r="J9" i="50" a="1"/>
  <c r="J9" i="50" s="1"/>
  <c r="I9" i="50" a="1"/>
  <c r="I9" i="50" s="1"/>
  <c r="H9" i="50" a="1"/>
  <c r="H9" i="50" s="1"/>
  <c r="AZ8" i="50"/>
  <c r="AY8" i="50"/>
  <c r="AX8" i="50"/>
  <c r="V8" i="50" a="1"/>
  <c r="V8" i="50" s="1"/>
  <c r="U8" i="50" a="1"/>
  <c r="U8" i="50" s="1"/>
  <c r="T8" i="50" a="1"/>
  <c r="T8" i="50" s="1"/>
  <c r="R8" i="50" a="1"/>
  <c r="R8" i="50" s="1"/>
  <c r="Q8" i="50" a="1"/>
  <c r="Q8" i="50" s="1"/>
  <c r="P8" i="50" a="1"/>
  <c r="P8" i="50" s="1"/>
  <c r="O8" i="50" a="1"/>
  <c r="O8" i="50" s="1"/>
  <c r="N8" i="50" a="1"/>
  <c r="N8" i="50" s="1"/>
  <c r="M8" i="50" a="1"/>
  <c r="M8" i="50" s="1"/>
  <c r="K8" i="50" a="1"/>
  <c r="K8" i="50" s="1"/>
  <c r="J8" i="50" a="1"/>
  <c r="J8" i="50" s="1"/>
  <c r="I8" i="50" a="1"/>
  <c r="I8" i="50" s="1"/>
  <c r="H8" i="50" a="1"/>
  <c r="H8" i="50" s="1"/>
  <c r="AY7" i="50"/>
  <c r="AX7" i="50"/>
  <c r="V7" i="50" a="1"/>
  <c r="V7" i="50" s="1"/>
  <c r="U7" i="50" a="1"/>
  <c r="U7" i="50" s="1"/>
  <c r="T7" i="50" a="1"/>
  <c r="T7" i="50" s="1"/>
  <c r="R7" i="50" a="1"/>
  <c r="R7" i="50" s="1"/>
  <c r="Q7" i="50" a="1"/>
  <c r="Q7" i="50" s="1"/>
  <c r="P7" i="50" a="1"/>
  <c r="P7" i="50" s="1"/>
  <c r="O7" i="50" a="1"/>
  <c r="O7" i="50" s="1"/>
  <c r="N7" i="50" a="1"/>
  <c r="N7" i="50" s="1"/>
  <c r="M7" i="50" a="1"/>
  <c r="M7" i="50" s="1"/>
  <c r="K7" i="50" a="1"/>
  <c r="K7" i="50" s="1"/>
  <c r="J7" i="50" a="1"/>
  <c r="J7" i="50" s="1"/>
  <c r="I7" i="50" a="1"/>
  <c r="I7" i="50" s="1"/>
  <c r="H7" i="50" a="1"/>
  <c r="H7" i="50" s="1"/>
  <c r="AY6" i="50"/>
  <c r="AX6" i="50"/>
  <c r="AZ6" i="50" s="1"/>
  <c r="V6" i="50" a="1"/>
  <c r="V6" i="50" s="1"/>
  <c r="U6" i="50" a="1"/>
  <c r="U6" i="50" s="1"/>
  <c r="T6" i="50" a="1"/>
  <c r="T6" i="50" s="1"/>
  <c r="R6" i="50" a="1"/>
  <c r="R6" i="50" s="1"/>
  <c r="Q6" i="50" a="1"/>
  <c r="Q6" i="50" s="1"/>
  <c r="P6" i="50" a="1"/>
  <c r="P6" i="50" s="1"/>
  <c r="O6" i="50" a="1"/>
  <c r="O6" i="50" s="1"/>
  <c r="N6" i="50" a="1"/>
  <c r="N6" i="50" s="1"/>
  <c r="M6" i="50" a="1"/>
  <c r="M6" i="50" s="1"/>
  <c r="K6" i="50" a="1"/>
  <c r="K6" i="50" s="1"/>
  <c r="J6" i="50" a="1"/>
  <c r="J6" i="50" s="1"/>
  <c r="I6" i="50" a="1"/>
  <c r="I6" i="50" s="1"/>
  <c r="H6" i="50" a="1"/>
  <c r="H6" i="50" s="1"/>
  <c r="AY5" i="50"/>
  <c r="AX5" i="50"/>
  <c r="AZ5" i="50" s="1"/>
  <c r="V5" i="50" a="1"/>
  <c r="V5" i="50" s="1"/>
  <c r="U5" i="50" a="1"/>
  <c r="U5" i="50" s="1"/>
  <c r="T5" i="50" a="1"/>
  <c r="T5" i="50" s="1"/>
  <c r="R5" i="50" a="1"/>
  <c r="R5" i="50" s="1"/>
  <c r="Q5" i="50" a="1"/>
  <c r="Q5" i="50" s="1"/>
  <c r="P5" i="50" a="1"/>
  <c r="P5" i="50" s="1"/>
  <c r="O5" i="50" a="1"/>
  <c r="O5" i="50" s="1"/>
  <c r="N5" i="50" a="1"/>
  <c r="N5" i="50" s="1"/>
  <c r="M5" i="50" a="1"/>
  <c r="M5" i="50" s="1"/>
  <c r="K5" i="50" a="1"/>
  <c r="K5" i="50" s="1"/>
  <c r="J5" i="50" a="1"/>
  <c r="J5" i="50" s="1"/>
  <c r="I5" i="50" a="1"/>
  <c r="I5" i="50" s="1"/>
  <c r="H5" i="50" a="1"/>
  <c r="H5" i="50" s="1"/>
  <c r="AY4" i="50"/>
  <c r="AX4" i="50"/>
  <c r="AZ4" i="50" s="1"/>
  <c r="V4" i="50" a="1"/>
  <c r="V4" i="50" s="1"/>
  <c r="U4" i="50" a="1"/>
  <c r="U4" i="50" s="1"/>
  <c r="T4" i="50" a="1"/>
  <c r="T4" i="50" s="1"/>
  <c r="R4" i="50" a="1"/>
  <c r="R4" i="50" s="1"/>
  <c r="Q4" i="50" a="1"/>
  <c r="Q4" i="50" s="1"/>
  <c r="P4" i="50" a="1"/>
  <c r="P4" i="50" s="1"/>
  <c r="O4" i="50" a="1"/>
  <c r="O4" i="50" s="1"/>
  <c r="N4" i="50" a="1"/>
  <c r="N4" i="50" s="1"/>
  <c r="M4" i="50" a="1"/>
  <c r="M4" i="50" s="1"/>
  <c r="K4" i="50" a="1"/>
  <c r="K4" i="50" s="1"/>
  <c r="J4" i="50" a="1"/>
  <c r="J4" i="50" s="1"/>
  <c r="I4" i="50" a="1"/>
  <c r="I4" i="50" s="1"/>
  <c r="H4" i="50" a="1"/>
  <c r="H4" i="50" s="1"/>
  <c r="BA102" i="52" l="1"/>
  <c r="AZ65" i="50"/>
  <c r="AZ56" i="50"/>
  <c r="G48" i="50"/>
  <c r="G44" i="50"/>
  <c r="G7" i="50"/>
  <c r="AZ26" i="50"/>
  <c r="AZ64" i="50"/>
  <c r="AZ38" i="50"/>
  <c r="AZ49" i="50"/>
  <c r="AZ91" i="50"/>
  <c r="AZ47" i="50"/>
  <c r="AZ54" i="50"/>
  <c r="AZ80" i="50"/>
  <c r="AZ44" i="50"/>
  <c r="AZ58" i="50"/>
  <c r="AZ70" i="50"/>
  <c r="AZ78" i="50"/>
  <c r="AZ35" i="50"/>
  <c r="AZ7" i="50"/>
  <c r="AZ52" i="50"/>
  <c r="AZ60" i="50"/>
  <c r="AZ68" i="50"/>
  <c r="AZ74" i="50"/>
  <c r="AZ55" i="50"/>
  <c r="AZ59" i="50"/>
  <c r="AZ73" i="50"/>
  <c r="AZ57" i="50"/>
  <c r="AZ61" i="50"/>
  <c r="AZ66" i="50"/>
  <c r="AZ72" i="50"/>
  <c r="AZ71" i="50"/>
  <c r="AZ75" i="50"/>
  <c r="AZ51" i="50"/>
  <c r="AO102" i="52"/>
  <c r="A102" i="52" s="1"/>
  <c r="AO103" i="52"/>
  <c r="A103" i="52" s="1"/>
  <c r="AZ93" i="52"/>
  <c r="AZ98" i="52"/>
  <c r="AZ106" i="52"/>
  <c r="AZ6" i="52"/>
  <c r="AZ12" i="52"/>
  <c r="AZ23" i="52"/>
  <c r="AZ35" i="52"/>
  <c r="AZ48" i="52"/>
  <c r="AZ54" i="52"/>
  <c r="AZ66" i="52"/>
  <c r="AZ72" i="52"/>
  <c r="AZ80" i="52"/>
  <c r="AZ94" i="52"/>
  <c r="AZ99" i="52"/>
  <c r="AZ7" i="52"/>
  <c r="AZ13" i="52"/>
  <c r="AZ24" i="52"/>
  <c r="AZ8" i="52"/>
  <c r="AZ19" i="52"/>
  <c r="AZ25" i="52"/>
  <c r="AZ31" i="52"/>
  <c r="AZ37" i="52"/>
  <c r="AZ68" i="52"/>
  <c r="AZ74" i="52"/>
  <c r="AZ83" i="52"/>
  <c r="AZ90" i="52"/>
  <c r="AZ4" i="52"/>
  <c r="AZ10" i="52"/>
  <c r="AZ21" i="52"/>
  <c r="AZ27" i="52"/>
  <c r="AZ33" i="52"/>
  <c r="AZ39" i="52"/>
  <c r="AZ52" i="52"/>
  <c r="AZ58" i="52"/>
  <c r="AZ64" i="52"/>
  <c r="AZ76" i="52"/>
  <c r="AZ85" i="52"/>
  <c r="AZ92" i="52"/>
  <c r="AZ97" i="52"/>
  <c r="AZ105" i="52"/>
  <c r="AZ20" i="52"/>
  <c r="AZ32" i="52"/>
  <c r="AZ38" i="52"/>
  <c r="AZ45" i="52"/>
  <c r="AZ51" i="52"/>
  <c r="AZ57" i="52"/>
  <c r="AZ63" i="52"/>
  <c r="AZ84" i="52"/>
  <c r="AZ91" i="52"/>
  <c r="AZ104" i="52"/>
  <c r="AZ16" i="52"/>
  <c r="AZ28" i="52"/>
  <c r="AZ40" i="52"/>
  <c r="AZ65" i="52"/>
  <c r="AZ71" i="52"/>
  <c r="AZ86" i="52"/>
  <c r="AZ17" i="52"/>
  <c r="AZ88" i="52"/>
  <c r="AZ30" i="52"/>
  <c r="AZ49" i="52"/>
  <c r="AZ55" i="52"/>
  <c r="AZ73" i="52"/>
  <c r="AZ89" i="52"/>
  <c r="AZ95" i="52"/>
  <c r="AZ96" i="52"/>
  <c r="AZ43" i="52"/>
  <c r="AZ9" i="52"/>
  <c r="AZ18" i="52"/>
  <c r="AZ14" i="52"/>
  <c r="AZ11" i="52"/>
  <c r="AN77" i="52"/>
  <c r="AN66" i="52"/>
  <c r="BA66" i="52" s="1"/>
  <c r="AN69" i="52"/>
  <c r="AN82" i="52"/>
  <c r="AN17" i="52"/>
  <c r="AN49" i="52"/>
  <c r="BA49" i="52" s="1"/>
  <c r="AN28" i="52"/>
  <c r="AN94" i="52"/>
  <c r="AN40" i="52"/>
  <c r="AN62" i="52"/>
  <c r="BA62" i="52" s="1"/>
  <c r="AN31" i="52"/>
  <c r="AN41" i="52"/>
  <c r="AN73" i="52"/>
  <c r="AN86" i="52"/>
  <c r="AN21" i="52"/>
  <c r="AN32" i="52"/>
  <c r="AN54" i="52"/>
  <c r="BA54" i="52" s="1"/>
  <c r="AN23" i="52"/>
  <c r="AN55" i="52"/>
  <c r="BA55" i="52" s="1"/>
  <c r="AZ82" i="52"/>
  <c r="AZ69" i="52"/>
  <c r="AZ29" i="52"/>
  <c r="AZ47" i="52"/>
  <c r="AZ53" i="52"/>
  <c r="AZ70" i="52"/>
  <c r="AZ100" i="52"/>
  <c r="AZ101" i="52"/>
  <c r="AZ36" i="52"/>
  <c r="AZ60" i="52"/>
  <c r="AZ61" i="52"/>
  <c r="AZ26" i="52"/>
  <c r="AZ50" i="52"/>
  <c r="AZ56" i="52"/>
  <c r="AZ62" i="52"/>
  <c r="AZ67" i="52"/>
  <c r="AN27" i="52"/>
  <c r="AN4" i="52"/>
  <c r="AN9" i="52"/>
  <c r="AN20" i="52"/>
  <c r="AN7" i="52"/>
  <c r="AN5" i="52"/>
  <c r="AN13" i="52"/>
  <c r="AN36" i="52"/>
  <c r="AN61" i="52"/>
  <c r="BA61" i="52" s="1"/>
  <c r="AN10" i="52"/>
  <c r="AZ15" i="52"/>
  <c r="AZ34" i="52"/>
  <c r="AN12" i="52"/>
  <c r="AN15" i="52"/>
  <c r="AN22" i="52"/>
  <c r="AN25" i="52"/>
  <c r="AN38" i="52"/>
  <c r="BA38" i="52" s="1"/>
  <c r="AZ44" i="52"/>
  <c r="AN53" i="52"/>
  <c r="BA53" i="52" s="1"/>
  <c r="AN11" i="52"/>
  <c r="AN16" i="52"/>
  <c r="AN24" i="52"/>
  <c r="AN34" i="52"/>
  <c r="AN50" i="52"/>
  <c r="BA50" i="52" s="1"/>
  <c r="AN56" i="52"/>
  <c r="BA56" i="52" s="1"/>
  <c r="AN60" i="52"/>
  <c r="BA60" i="52" s="1"/>
  <c r="AN26" i="52"/>
  <c r="AZ46" i="52"/>
  <c r="AN51" i="52"/>
  <c r="BA51" i="52" s="1"/>
  <c r="AN57" i="52"/>
  <c r="BA57" i="52" s="1"/>
  <c r="AN74" i="52"/>
  <c r="AZ5" i="52"/>
  <c r="AN18" i="52"/>
  <c r="AN39" i="52"/>
  <c r="AN48" i="52"/>
  <c r="AN68" i="52"/>
  <c r="AN19" i="52"/>
  <c r="AN44" i="52"/>
  <c r="AN58" i="52"/>
  <c r="BA58" i="52" s="1"/>
  <c r="AN8" i="52"/>
  <c r="AN52" i="52"/>
  <c r="BA52" i="52" s="1"/>
  <c r="AN6" i="52"/>
  <c r="AZ22" i="52"/>
  <c r="AN29" i="52"/>
  <c r="AN45" i="52"/>
  <c r="AN75" i="52"/>
  <c r="AN47" i="52"/>
  <c r="AN14" i="52"/>
  <c r="AZ77" i="52"/>
  <c r="AN30" i="52"/>
  <c r="AN33" i="52"/>
  <c r="AN37" i="52"/>
  <c r="AN59" i="52"/>
  <c r="BA59" i="52" s="1"/>
  <c r="AN67" i="52"/>
  <c r="BA67" i="52" s="1"/>
  <c r="AN83" i="52"/>
  <c r="AN43" i="52"/>
  <c r="AN63" i="52"/>
  <c r="BA63" i="52" s="1"/>
  <c r="AN65" i="52"/>
  <c r="BA65" i="52" s="1"/>
  <c r="AN70" i="52"/>
  <c r="AN72" i="52"/>
  <c r="AN46" i="52"/>
  <c r="AN64" i="52"/>
  <c r="BA64" i="52" s="1"/>
  <c r="AN93" i="52"/>
  <c r="AN80" i="52"/>
  <c r="AN89" i="52"/>
  <c r="AN100" i="52"/>
  <c r="AN91" i="52"/>
  <c r="AN106" i="52"/>
  <c r="AZ75" i="52"/>
  <c r="AZ41" i="52"/>
  <c r="AN98" i="52"/>
  <c r="AN99" i="52"/>
  <c r="AN101" i="52"/>
  <c r="AN71" i="52"/>
  <c r="AN84" i="52"/>
  <c r="AN97" i="52"/>
  <c r="AN90" i="52"/>
  <c r="AN95" i="52"/>
  <c r="AZ59" i="52"/>
  <c r="AN105" i="52"/>
  <c r="AN85" i="52"/>
  <c r="AN88" i="52"/>
  <c r="AN104" i="52"/>
  <c r="AN96" i="52"/>
  <c r="AN92" i="52"/>
  <c r="AN76" i="52"/>
  <c r="AN94" i="50"/>
  <c r="AN66" i="50"/>
  <c r="AN6" i="50"/>
  <c r="AN23" i="50"/>
  <c r="AO23" i="50" s="1"/>
  <c r="G22" i="52" s="1"/>
  <c r="AN45" i="50"/>
  <c r="AN77" i="50"/>
  <c r="AN79" i="50"/>
  <c r="BA79" i="50" s="1"/>
  <c r="AN65" i="50"/>
  <c r="AN37" i="50"/>
  <c r="AN48" i="50"/>
  <c r="BA48" i="50" s="1"/>
  <c r="AN61" i="50"/>
  <c r="AN44" i="50"/>
  <c r="AN53" i="50"/>
  <c r="AN36" i="50"/>
  <c r="AN59" i="50"/>
  <c r="AN60" i="50"/>
  <c r="AN14" i="50"/>
  <c r="AN20" i="50"/>
  <c r="AN27" i="50"/>
  <c r="AO27" i="50" s="1"/>
  <c r="G26" i="52" s="1"/>
  <c r="AN43" i="50"/>
  <c r="BA43" i="50" s="1"/>
  <c r="AN85" i="50"/>
  <c r="AN26" i="50"/>
  <c r="AN31" i="50"/>
  <c r="BA31" i="50" s="1"/>
  <c r="AN69" i="50"/>
  <c r="AN71" i="50"/>
  <c r="AN16" i="50"/>
  <c r="AN8" i="50"/>
  <c r="AN33" i="50"/>
  <c r="AN12" i="50"/>
  <c r="AN32" i="50"/>
  <c r="AN47" i="50"/>
  <c r="AN15" i="50"/>
  <c r="AN42" i="50"/>
  <c r="AN5" i="50"/>
  <c r="AN10" i="50"/>
  <c r="AN28" i="50"/>
  <c r="AN7" i="50"/>
  <c r="AN19" i="50"/>
  <c r="AN25" i="50"/>
  <c r="AN39" i="50"/>
  <c r="AN18" i="50"/>
  <c r="AN21" i="50"/>
  <c r="AN9" i="50"/>
  <c r="AN13" i="50"/>
  <c r="AN4" i="50"/>
  <c r="AN11" i="50"/>
  <c r="AN22" i="50"/>
  <c r="AN17" i="50"/>
  <c r="AN24" i="50"/>
  <c r="AN34" i="50"/>
  <c r="AN38" i="50"/>
  <c r="AN50" i="50"/>
  <c r="AN41" i="50"/>
  <c r="AN51" i="50"/>
  <c r="AN70" i="50"/>
  <c r="AN72" i="50"/>
  <c r="AN46" i="50"/>
  <c r="AN52" i="50"/>
  <c r="AN35" i="50"/>
  <c r="AN54" i="50"/>
  <c r="AN40" i="50"/>
  <c r="AN55" i="50"/>
  <c r="AN56" i="50"/>
  <c r="AN63" i="50"/>
  <c r="AN57" i="50"/>
  <c r="AN76" i="50"/>
  <c r="AN30" i="50"/>
  <c r="AN62" i="50"/>
  <c r="AN68" i="50"/>
  <c r="AN74" i="50"/>
  <c r="AN29" i="50"/>
  <c r="AN49" i="50"/>
  <c r="AN64" i="50"/>
  <c r="AN83" i="50"/>
  <c r="AN58" i="50"/>
  <c r="AN90" i="50"/>
  <c r="AN91" i="50"/>
  <c r="AN78" i="50"/>
  <c r="AN75" i="50"/>
  <c r="AN89" i="50"/>
  <c r="AN88" i="50"/>
  <c r="AN67" i="50"/>
  <c r="AN84" i="50"/>
  <c r="AN86" i="50"/>
  <c r="AN92" i="50"/>
  <c r="AN93" i="50"/>
  <c r="AN80" i="50"/>
  <c r="AN81" i="50"/>
  <c r="AN82" i="50"/>
  <c r="AN87" i="50"/>
  <c r="AN96" i="50"/>
  <c r="AN100" i="50"/>
  <c r="AN95" i="50"/>
  <c r="AN97" i="50"/>
  <c r="AN99" i="50"/>
  <c r="AN98" i="50"/>
  <c r="BA10" i="52" l="1"/>
  <c r="BA101" i="52"/>
  <c r="BA96" i="52"/>
  <c r="BA11" i="52"/>
  <c r="BA5" i="52"/>
  <c r="BA8" i="52"/>
  <c r="BA22" i="52"/>
  <c r="BA9" i="52"/>
  <c r="BA34" i="52"/>
  <c r="BA32" i="52"/>
  <c r="BA31" i="52"/>
  <c r="BA26" i="52"/>
  <c r="BA46" i="52"/>
  <c r="AO44" i="50"/>
  <c r="G44" i="52" s="1"/>
  <c r="BA44" i="52" s="1"/>
  <c r="BA43" i="52"/>
  <c r="BA39" i="52"/>
  <c r="G45" i="50"/>
  <c r="G42" i="50"/>
  <c r="BA42" i="50" s="1"/>
  <c r="G29" i="50"/>
  <c r="AO29" i="50" s="1"/>
  <c r="G28" i="52" s="1"/>
  <c r="AO28" i="52" s="1"/>
  <c r="A28" i="52" s="1"/>
  <c r="AO45" i="50"/>
  <c r="G45" i="52" s="1"/>
  <c r="AO45" i="52" s="1"/>
  <c r="A45" i="52" s="1"/>
  <c r="G78" i="50"/>
  <c r="AO78" i="50" s="1"/>
  <c r="G80" i="52" s="1"/>
  <c r="AO80" i="52" s="1"/>
  <c r="A80" i="52" s="1"/>
  <c r="G41" i="50"/>
  <c r="G8" i="50"/>
  <c r="AO8" i="50" s="1"/>
  <c r="G8" i="52" s="1"/>
  <c r="G81" i="50"/>
  <c r="BA81" i="50" s="1"/>
  <c r="G47" i="50"/>
  <c r="AO26" i="52"/>
  <c r="A26" i="52" s="1"/>
  <c r="AO22" i="52"/>
  <c r="A22" i="52" s="1"/>
  <c r="BA45" i="50"/>
  <c r="AO43" i="50"/>
  <c r="G43" i="52" s="1"/>
  <c r="AO43" i="52" s="1"/>
  <c r="A43" i="52" s="1"/>
  <c r="AO48" i="50"/>
  <c r="G48" i="52" s="1"/>
  <c r="AO48" i="52" s="1"/>
  <c r="A48" i="52" s="1"/>
  <c r="BA23" i="50"/>
  <c r="AO31" i="50"/>
  <c r="G30" i="52" s="1"/>
  <c r="BA30" i="52" s="1"/>
  <c r="BA44" i="50"/>
  <c r="BA27" i="50"/>
  <c r="AO79" i="50"/>
  <c r="G82" i="52" s="1"/>
  <c r="BA82" i="52" s="1"/>
  <c r="AO46" i="50"/>
  <c r="G46" i="52" s="1"/>
  <c r="BA46" i="50"/>
  <c r="BA97" i="50"/>
  <c r="AO97" i="50"/>
  <c r="G101" i="52" s="1"/>
  <c r="AO12" i="50"/>
  <c r="G12" i="52" s="1"/>
  <c r="AO12" i="52" s="1"/>
  <c r="A12" i="52" s="1"/>
  <c r="BA12" i="50"/>
  <c r="AO40" i="50"/>
  <c r="G39" i="52" s="1"/>
  <c r="BA40" i="50"/>
  <c r="BA11" i="50"/>
  <c r="AO11" i="50"/>
  <c r="G11" i="52" s="1"/>
  <c r="BA28" i="50"/>
  <c r="AO28" i="50"/>
  <c r="G27" i="52" s="1"/>
  <c r="AO27" i="52" s="1"/>
  <c r="A27" i="52" s="1"/>
  <c r="BA33" i="50"/>
  <c r="AO33" i="50"/>
  <c r="G32" i="52" s="1"/>
  <c r="BA4" i="50"/>
  <c r="AO4" i="50"/>
  <c r="A27" i="50"/>
  <c r="BA10" i="50"/>
  <c r="AO10" i="50"/>
  <c r="G10" i="52" s="1"/>
  <c r="AO10" i="52" s="1"/>
  <c r="A10" i="52" s="1"/>
  <c r="AO92" i="50"/>
  <c r="G96" i="52" s="1"/>
  <c r="AO96" i="52" s="1"/>
  <c r="A96" i="52" s="1"/>
  <c r="BA92" i="50"/>
  <c r="BA13" i="50"/>
  <c r="AO13" i="50"/>
  <c r="G13" i="52" s="1"/>
  <c r="AO13" i="52" s="1"/>
  <c r="A13" i="52" s="1"/>
  <c r="BA5" i="50"/>
  <c r="AO5" i="50"/>
  <c r="G5" i="52" s="1"/>
  <c r="BA18" i="50"/>
  <c r="AO18" i="50"/>
  <c r="G17" i="52" s="1"/>
  <c r="AO17" i="52" s="1"/>
  <c r="A17" i="52" s="1"/>
  <c r="BA19" i="50"/>
  <c r="AO19" i="50"/>
  <c r="G18" i="52" s="1"/>
  <c r="BA18" i="52" s="1"/>
  <c r="BA39" i="50"/>
  <c r="AO39" i="50"/>
  <c r="G38" i="52" s="1"/>
  <c r="AO38" i="52" s="1"/>
  <c r="A38" i="52" s="1"/>
  <c r="AO96" i="50"/>
  <c r="G100" i="52" s="1"/>
  <c r="AO100" i="52" s="1"/>
  <c r="A100" i="52" s="1"/>
  <c r="BA96" i="50"/>
  <c r="AO7" i="50"/>
  <c r="G7" i="52" s="1"/>
  <c r="AO7" i="52" s="1"/>
  <c r="A7" i="52" s="1"/>
  <c r="BA7" i="50"/>
  <c r="AO41" i="50"/>
  <c r="G40" i="52" s="1"/>
  <c r="AO40" i="52" s="1"/>
  <c r="A40" i="52" s="1"/>
  <c r="BA41" i="50"/>
  <c r="BA98" i="50"/>
  <c r="AO98" i="50"/>
  <c r="G104" i="52" s="1"/>
  <c r="BA104" i="52" s="1"/>
  <c r="BA24" i="50"/>
  <c r="AO24" i="50"/>
  <c r="G23" i="52" s="1"/>
  <c r="AO23" i="52" s="1"/>
  <c r="A23" i="52" s="1"/>
  <c r="BA9" i="50"/>
  <c r="AO9" i="50"/>
  <c r="G9" i="52" s="1"/>
  <c r="A23" i="50"/>
  <c r="AO47" i="50"/>
  <c r="G47" i="52" s="1"/>
  <c r="AO47" i="52" s="1"/>
  <c r="A47" i="52" s="1"/>
  <c r="BA47" i="50"/>
  <c r="BA35" i="50"/>
  <c r="AO35" i="50"/>
  <c r="G34" i="52" s="1"/>
  <c r="BA17" i="50"/>
  <c r="AO17" i="50"/>
  <c r="G16" i="52" s="1"/>
  <c r="AO16" i="52" s="1"/>
  <c r="A16" i="52" s="1"/>
  <c r="AO21" i="50"/>
  <c r="G20" i="52" s="1"/>
  <c r="BA20" i="52" s="1"/>
  <c r="BA21" i="50"/>
  <c r="BA32" i="50"/>
  <c r="AO32" i="50"/>
  <c r="G31" i="52" s="1"/>
  <c r="BA16" i="50"/>
  <c r="AO16" i="50"/>
  <c r="G15" i="52" s="1"/>
  <c r="AO15" i="52" s="1"/>
  <c r="A15" i="52" s="1"/>
  <c r="BA80" i="52" l="1"/>
  <c r="BA47" i="52"/>
  <c r="BA28" i="52"/>
  <c r="BA29" i="50"/>
  <c r="AO81" i="50"/>
  <c r="G84" i="52" s="1"/>
  <c r="BA84" i="52" s="1"/>
  <c r="BA7" i="52"/>
  <c r="BA27" i="52"/>
  <c r="BA15" i="52"/>
  <c r="BA16" i="52"/>
  <c r="BA100" i="52"/>
  <c r="BA78" i="50"/>
  <c r="BA17" i="52"/>
  <c r="BA45" i="52"/>
  <c r="BA40" i="52"/>
  <c r="BA23" i="52"/>
  <c r="BA12" i="52"/>
  <c r="AO44" i="52"/>
  <c r="A44" i="52" s="1"/>
  <c r="BA13" i="52"/>
  <c r="BA48" i="52"/>
  <c r="G100" i="50"/>
  <c r="G77" i="50"/>
  <c r="G20" i="50"/>
  <c r="G80" i="50"/>
  <c r="G30" i="50"/>
  <c r="BA8" i="50"/>
  <c r="G14" i="50"/>
  <c r="G88" i="50"/>
  <c r="G37" i="50"/>
  <c r="G26" i="50"/>
  <c r="G6" i="50"/>
  <c r="AO42" i="50"/>
  <c r="G41" i="52" s="1"/>
  <c r="BA41" i="52" s="1"/>
  <c r="G84" i="50"/>
  <c r="G83" i="50"/>
  <c r="G38" i="50"/>
  <c r="G85" i="50"/>
  <c r="G91" i="50"/>
  <c r="G36" i="50"/>
  <c r="G82" i="50"/>
  <c r="AO30" i="52"/>
  <c r="A30" i="52" s="1"/>
  <c r="AO39" i="52"/>
  <c r="A39" i="52" s="1"/>
  <c r="G15" i="50"/>
  <c r="AO34" i="52"/>
  <c r="A34" i="52" s="1"/>
  <c r="AO9" i="52"/>
  <c r="A9" i="52" s="1"/>
  <c r="AO101" i="52"/>
  <c r="A101" i="52" s="1"/>
  <c r="AO104" i="52"/>
  <c r="A104" i="52" s="1"/>
  <c r="AO8" i="52"/>
  <c r="A8" i="52" s="1"/>
  <c r="AO31" i="52"/>
  <c r="A31" i="52" s="1"/>
  <c r="AO46" i="52"/>
  <c r="A46" i="52" s="1"/>
  <c r="AO11" i="52"/>
  <c r="A11" i="52" s="1"/>
  <c r="AO18" i="52"/>
  <c r="A18" i="52" s="1"/>
  <c r="AO82" i="52"/>
  <c r="A82" i="52" s="1"/>
  <c r="AO32" i="52"/>
  <c r="A32" i="52" s="1"/>
  <c r="AO20" i="52"/>
  <c r="A20" i="52" s="1"/>
  <c r="AO5" i="52"/>
  <c r="A5" i="52" s="1"/>
  <c r="A4" i="50"/>
  <c r="G4" i="52"/>
  <c r="A79" i="50"/>
  <c r="A31" i="50"/>
  <c r="A18" i="50"/>
  <c r="A17" i="50"/>
  <c r="A5" i="50"/>
  <c r="A21" i="50"/>
  <c r="A12" i="50"/>
  <c r="A13" i="50"/>
  <c r="A32" i="50"/>
  <c r="A24" i="50"/>
  <c r="A11" i="50"/>
  <c r="A35" i="50"/>
  <c r="A29" i="50"/>
  <c r="A39" i="50"/>
  <c r="A97" i="50"/>
  <c r="A7" i="50"/>
  <c r="A96" i="50"/>
  <c r="A98" i="50"/>
  <c r="A10" i="50"/>
  <c r="A19" i="50"/>
  <c r="A33" i="50"/>
  <c r="A16" i="50"/>
  <c r="A9" i="50"/>
  <c r="A28" i="50"/>
  <c r="A92" i="50"/>
  <c r="A8" i="50"/>
  <c r="AO41" i="52" l="1"/>
  <c r="A41" i="52" s="1"/>
  <c r="A81" i="50"/>
  <c r="AO84" i="52"/>
  <c r="A84" i="52" s="1"/>
  <c r="AO91" i="50"/>
  <c r="BA91" i="50"/>
  <c r="AO6" i="50"/>
  <c r="BA6" i="50"/>
  <c r="AO26" i="50"/>
  <c r="BA26" i="50"/>
  <c r="BA77" i="50"/>
  <c r="AO77" i="50"/>
  <c r="G22" i="50"/>
  <c r="BA14" i="50"/>
  <c r="AO14" i="50"/>
  <c r="AO85" i="50"/>
  <c r="BA85" i="50"/>
  <c r="AO83" i="50"/>
  <c r="BA83" i="50"/>
  <c r="BA20" i="50"/>
  <c r="AO20" i="50"/>
  <c r="BA38" i="50"/>
  <c r="AO38" i="50"/>
  <c r="AO36" i="50"/>
  <c r="BA36" i="50"/>
  <c r="AO80" i="50"/>
  <c r="BA80" i="50"/>
  <c r="AO100" i="50"/>
  <c r="BA100" i="50"/>
  <c r="BA37" i="50"/>
  <c r="AO37" i="50"/>
  <c r="G25" i="50"/>
  <c r="AO82" i="50"/>
  <c r="BA82" i="50"/>
  <c r="BA84" i="50"/>
  <c r="AO84" i="50"/>
  <c r="AO88" i="50"/>
  <c r="BA88" i="50"/>
  <c r="BA30" i="50"/>
  <c r="AO30" i="50"/>
  <c r="AO15" i="50"/>
  <c r="BA15" i="50"/>
  <c r="AO4" i="52"/>
  <c r="A4" i="52" s="1"/>
  <c r="BA4" i="52"/>
  <c r="G106" i="52" l="1"/>
  <c r="BA106" i="52" s="1"/>
  <c r="A100" i="50"/>
  <c r="G14" i="52"/>
  <c r="BA14" i="52" s="1"/>
  <c r="A14" i="50"/>
  <c r="G25" i="52"/>
  <c r="BA25" i="52" s="1"/>
  <c r="A26" i="50"/>
  <c r="G90" i="50"/>
  <c r="G92" i="52"/>
  <c r="BA92" i="52" s="1"/>
  <c r="A88" i="50"/>
  <c r="G37" i="52"/>
  <c r="BA37" i="52" s="1"/>
  <c r="A38" i="50"/>
  <c r="G35" i="52"/>
  <c r="BA35" i="52" s="1"/>
  <c r="A36" i="50"/>
  <c r="G6" i="52"/>
  <c r="BA6" i="52" s="1"/>
  <c r="A6" i="50"/>
  <c r="G29" i="52"/>
  <c r="BA29" i="52" s="1"/>
  <c r="A30" i="50"/>
  <c r="G36" i="52"/>
  <c r="BA36" i="52" s="1"/>
  <c r="A37" i="50"/>
  <c r="G88" i="52"/>
  <c r="BA88" i="52" s="1"/>
  <c r="A84" i="50"/>
  <c r="BA25" i="50"/>
  <c r="AO25" i="50"/>
  <c r="G86" i="52"/>
  <c r="BA86" i="52" s="1"/>
  <c r="A83" i="50"/>
  <c r="G19" i="52"/>
  <c r="BA19" i="52" s="1"/>
  <c r="A20" i="50"/>
  <c r="G83" i="52"/>
  <c r="BA83" i="52" s="1"/>
  <c r="A80" i="50"/>
  <c r="G78" i="52"/>
  <c r="BA78" i="52" s="1"/>
  <c r="A77" i="50"/>
  <c r="G85" i="52"/>
  <c r="BA85" i="52" s="1"/>
  <c r="A82" i="50"/>
  <c r="G89" i="52"/>
  <c r="BA89" i="52" s="1"/>
  <c r="A85" i="50"/>
  <c r="AO22" i="50"/>
  <c r="BA22" i="50"/>
  <c r="G95" i="52"/>
  <c r="BA95" i="52" s="1"/>
  <c r="A91" i="50"/>
  <c r="G77" i="52"/>
  <c r="BA77" i="52" s="1"/>
  <c r="A15" i="50"/>
  <c r="AO36" i="52" l="1"/>
  <c r="A36" i="52" s="1"/>
  <c r="G86" i="50"/>
  <c r="AO95" i="52"/>
  <c r="A95" i="52" s="1"/>
  <c r="AO85" i="52"/>
  <c r="A85" i="52" s="1"/>
  <c r="AO6" i="52"/>
  <c r="A6" i="52" s="1"/>
  <c r="AO35" i="52"/>
  <c r="A35" i="52" s="1"/>
  <c r="AO25" i="52"/>
  <c r="A25" i="52" s="1"/>
  <c r="G24" i="52"/>
  <c r="BA24" i="52" s="1"/>
  <c r="A25" i="50"/>
  <c r="G89" i="50"/>
  <c r="AO83" i="52"/>
  <c r="A83" i="52" s="1"/>
  <c r="AO37" i="52"/>
  <c r="A37" i="52" s="1"/>
  <c r="AO78" i="52"/>
  <c r="A78" i="52" s="1"/>
  <c r="AO88" i="52"/>
  <c r="A88" i="52" s="1"/>
  <c r="G34" i="50"/>
  <c r="G21" i="52"/>
  <c r="BA21" i="52" s="1"/>
  <c r="A22" i="50"/>
  <c r="AO90" i="50"/>
  <c r="BA90" i="50"/>
  <c r="AO86" i="52"/>
  <c r="A86" i="52" s="1"/>
  <c r="AO29" i="52"/>
  <c r="A29" i="52" s="1"/>
  <c r="AO19" i="52"/>
  <c r="A19" i="52" s="1"/>
  <c r="AO89" i="52"/>
  <c r="A89" i="52" s="1"/>
  <c r="AO92" i="52"/>
  <c r="A92" i="52" s="1"/>
  <c r="AO14" i="52"/>
  <c r="A14" i="52" s="1"/>
  <c r="AO106" i="52"/>
  <c r="A106" i="52" s="1"/>
  <c r="AO77" i="52"/>
  <c r="A77" i="52" s="1"/>
  <c r="AO89" i="50" l="1"/>
  <c r="BA89" i="50"/>
  <c r="AO34" i="50"/>
  <c r="BA34" i="50"/>
  <c r="AO21" i="52"/>
  <c r="A21" i="52" s="1"/>
  <c r="AO24" i="52"/>
  <c r="A24" i="52" s="1"/>
  <c r="BA86" i="50"/>
  <c r="AO86" i="50"/>
  <c r="G94" i="52"/>
  <c r="BA94" i="52" s="1"/>
  <c r="A90" i="50"/>
  <c r="AO94" i="52" l="1"/>
  <c r="A94" i="52" s="1"/>
  <c r="G93" i="52"/>
  <c r="BA93" i="52" s="1"/>
  <c r="A89" i="50"/>
  <c r="G33" i="52"/>
  <c r="BA33" i="52" s="1"/>
  <c r="A34" i="50"/>
  <c r="G90" i="52"/>
  <c r="BA90" i="52" s="1"/>
  <c r="A86" i="50"/>
  <c r="AO33" i="52" l="1"/>
  <c r="A33" i="52" s="1"/>
  <c r="AO90" i="52"/>
  <c r="A90" i="52" s="1"/>
  <c r="AO93" i="52"/>
  <c r="A93" i="52" s="1"/>
  <c r="AO69" i="50" l="1"/>
  <c r="BA69" i="50"/>
  <c r="G87" i="50" l="1"/>
  <c r="G94" i="50"/>
  <c r="BA49" i="50"/>
  <c r="AO49" i="50"/>
  <c r="G99" i="50"/>
  <c r="A69" i="50"/>
  <c r="G69" i="52"/>
  <c r="BA69" i="52" s="1"/>
  <c r="AO99" i="50" l="1"/>
  <c r="BA99" i="50"/>
  <c r="G49" i="52"/>
  <c r="A49" i="50"/>
  <c r="BA72" i="50"/>
  <c r="AO72" i="50"/>
  <c r="AO69" i="52"/>
  <c r="A69" i="52" s="1"/>
  <c r="BA94" i="50"/>
  <c r="AO94" i="50"/>
  <c r="G75" i="50"/>
  <c r="AO51" i="50"/>
  <c r="BA51" i="50"/>
  <c r="G76" i="50"/>
  <c r="AO60" i="50"/>
  <c r="BA60" i="50"/>
  <c r="AO87" i="50"/>
  <c r="BA87" i="50"/>
  <c r="G95" i="50"/>
  <c r="BA57" i="50"/>
  <c r="AO57" i="50"/>
  <c r="G74" i="50"/>
  <c r="BA73" i="50"/>
  <c r="AO67" i="50"/>
  <c r="BA67" i="50"/>
  <c r="AO58" i="50" l="1"/>
  <c r="BA58" i="50"/>
  <c r="G72" i="52"/>
  <c r="BA72" i="52" s="1"/>
  <c r="A72" i="50"/>
  <c r="AO49" i="52"/>
  <c r="A49" i="52" s="1"/>
  <c r="BA75" i="50"/>
  <c r="AO75" i="50"/>
  <c r="AO68" i="50"/>
  <c r="BA68" i="50"/>
  <c r="AO70" i="50"/>
  <c r="BA70" i="50"/>
  <c r="G105" i="52"/>
  <c r="BA105" i="52" s="1"/>
  <c r="A99" i="50"/>
  <c r="A94" i="50"/>
  <c r="G98" i="52"/>
  <c r="BA98" i="52" s="1"/>
  <c r="BA95" i="50"/>
  <c r="AO95" i="50"/>
  <c r="G93" i="50"/>
  <c r="BA64" i="50"/>
  <c r="AO64" i="50"/>
  <c r="BA61" i="50"/>
  <c r="AO61" i="50"/>
  <c r="BA56" i="50"/>
  <c r="AO56" i="50"/>
  <c r="G51" i="52"/>
  <c r="A51" i="50"/>
  <c r="AO66" i="50"/>
  <c r="BA66" i="50"/>
  <c r="BA52" i="50"/>
  <c r="AO52" i="50"/>
  <c r="AO63" i="50"/>
  <c r="BA63" i="50"/>
  <c r="G67" i="52"/>
  <c r="A67" i="50"/>
  <c r="G60" i="52"/>
  <c r="A60" i="50"/>
  <c r="BA59" i="50"/>
  <c r="AO59" i="50"/>
  <c r="BA62" i="50"/>
  <c r="AO62" i="50"/>
  <c r="AO71" i="50"/>
  <c r="BA71" i="50"/>
  <c r="AO76" i="50"/>
  <c r="BA76" i="50"/>
  <c r="AO54" i="50"/>
  <c r="BA54" i="50"/>
  <c r="G73" i="52"/>
  <c r="BA73" i="52" s="1"/>
  <c r="A73" i="50"/>
  <c r="AO53" i="50"/>
  <c r="BA53" i="50"/>
  <c r="BA74" i="50"/>
  <c r="AO74" i="50"/>
  <c r="G57" i="52"/>
  <c r="A57" i="50"/>
  <c r="AO55" i="50"/>
  <c r="BA55" i="50"/>
  <c r="BA50" i="50"/>
  <c r="AO50" i="50"/>
  <c r="G91" i="52"/>
  <c r="BA91" i="52" s="1"/>
  <c r="A87" i="50"/>
  <c r="AO65" i="50"/>
  <c r="BA65" i="50"/>
  <c r="G56" i="52" l="1"/>
  <c r="A56" i="50"/>
  <c r="G53" i="52"/>
  <c r="A53" i="50"/>
  <c r="AO105" i="52"/>
  <c r="A105" i="52" s="1"/>
  <c r="G66" i="52"/>
  <c r="A66" i="50"/>
  <c r="G68" i="52"/>
  <c r="BA68" i="52" s="1"/>
  <c r="A68" i="50"/>
  <c r="G62" i="52"/>
  <c r="A62" i="50"/>
  <c r="G59" i="52"/>
  <c r="A59" i="50"/>
  <c r="A61" i="50"/>
  <c r="G61" i="52"/>
  <c r="AO72" i="52"/>
  <c r="A72" i="52" s="1"/>
  <c r="G74" i="52"/>
  <c r="BA74" i="52" s="1"/>
  <c r="A74" i="50"/>
  <c r="G76" i="52"/>
  <c r="BA76" i="52" s="1"/>
  <c r="A76" i="50"/>
  <c r="AO60" i="52"/>
  <c r="A60" i="52" s="1"/>
  <c r="G99" i="52"/>
  <c r="BA99" i="52" s="1"/>
  <c r="A95" i="50"/>
  <c r="AO98" i="52"/>
  <c r="A98" i="52" s="1"/>
  <c r="AO73" i="52"/>
  <c r="A73" i="52" s="1"/>
  <c r="G64" i="52"/>
  <c r="A64" i="50"/>
  <c r="AO91" i="52"/>
  <c r="A91" i="52" s="1"/>
  <c r="G55" i="52"/>
  <c r="A55" i="50"/>
  <c r="G71" i="52"/>
  <c r="BA71" i="52" s="1"/>
  <c r="A71" i="50"/>
  <c r="G52" i="52"/>
  <c r="A52" i="50"/>
  <c r="AO51" i="52"/>
  <c r="A51" i="52" s="1"/>
  <c r="G65" i="52"/>
  <c r="A65" i="50"/>
  <c r="G75" i="52"/>
  <c r="BA75" i="52" s="1"/>
  <c r="A75" i="50"/>
  <c r="G50" i="52"/>
  <c r="A50" i="50"/>
  <c r="G54" i="52"/>
  <c r="A54" i="50"/>
  <c r="AO67" i="52"/>
  <c r="A67" i="52" s="1"/>
  <c r="AO57" i="52"/>
  <c r="A57" i="52" s="1"/>
  <c r="G63" i="52"/>
  <c r="A63" i="50"/>
  <c r="BA93" i="50"/>
  <c r="AO93" i="50"/>
  <c r="G70" i="52"/>
  <c r="BA70" i="52" s="1"/>
  <c r="A70" i="50"/>
  <c r="G58" i="52"/>
  <c r="A58" i="50"/>
  <c r="AO59" i="52" l="1"/>
  <c r="A59" i="52" s="1"/>
  <c r="AO75" i="52"/>
  <c r="A75" i="52" s="1"/>
  <c r="AO66" i="52"/>
  <c r="A66" i="52" s="1"/>
  <c r="AO74" i="52"/>
  <c r="A74" i="52" s="1"/>
  <c r="AO99" i="52"/>
  <c r="A99" i="52" s="1"/>
  <c r="AO71" i="52"/>
  <c r="A71" i="52" s="1"/>
  <c r="AO63" i="52"/>
  <c r="A63" i="52" s="1"/>
  <c r="AO58" i="52"/>
  <c r="A58" i="52" s="1"/>
  <c r="AO68" i="52"/>
  <c r="A68" i="52" s="1"/>
  <c r="AO53" i="52"/>
  <c r="A53" i="52" s="1"/>
  <c r="AO70" i="52"/>
  <c r="A70" i="52" s="1"/>
  <c r="AO76" i="52"/>
  <c r="A76" i="52" s="1"/>
  <c r="AO50" i="52"/>
  <c r="A50" i="52" s="1"/>
  <c r="AO52" i="52"/>
  <c r="A52" i="52" s="1"/>
  <c r="AO62" i="52"/>
  <c r="A62" i="52" s="1"/>
  <c r="AO55" i="52"/>
  <c r="A55" i="52" s="1"/>
  <c r="AO65" i="52"/>
  <c r="A65" i="52" s="1"/>
  <c r="AO64" i="52"/>
  <c r="A64" i="52" s="1"/>
  <c r="AO56" i="52"/>
  <c r="A56" i="52" s="1"/>
  <c r="AO54" i="52"/>
  <c r="A54" i="52" s="1"/>
  <c r="AO61" i="52"/>
  <c r="A61" i="52" s="1"/>
  <c r="G97" i="52"/>
  <c r="BA97" i="52" s="1"/>
  <c r="A93" i="50"/>
  <c r="AO97" i="52" l="1"/>
  <c r="A97" i="5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fnTransformLIS" description="Connection to the 'fnTransformLIS' query in the workbook." type="5" refreshedVersion="2" background="1" saveData="1">
    <dbPr connection="Provider=Microsoft.Mashup.OleDb.1;Data Source=$Workbook$;Location=fnTransformLIS;Extended Properties=&quot;&quot;" command="SELECT * FROM [fnTransformLIS]"/>
  </connection>
  <connection id="2" xr16:uid="{00000000-0015-0000-FFFF-FFFF01000000}" name="Query - LIS_Aug" description="Connection to the 'LIS_Aug' query in the workbook." type="5" refreshedVersion="8" background="1" saveData="1">
    <dbPr connection="Provider=Microsoft.Mashup.OleDb.1;Data Source=$Workbook$;Location=LIS_Aug;Extended Properties=&quot;&quot;" command="SELECT * FROM [LIS_Aug]"/>
  </connection>
  <connection id="3" xr16:uid="{00000000-0015-0000-FFFF-FFFF02000000}" name="Query - LIS_Histori" description="Connection to the 'LIS_Histori' query in the workbook." type="5" refreshedVersion="2" background="1" saveData="1">
    <dbPr connection="Provider=Microsoft.Mashup.OleDb.1;Data Source=$Workbook$;Location=LIS_Histori;Extended Properties=&quot;&quot;" command="SELECT * FROM [LIS_Histori]"/>
  </connection>
  <connection id="4" xr16:uid="{00000000-0015-0000-FFFF-FFFF03000000}" name="Query - LIS_Juli" description="Connection to the 'LIS_Juli' query in the workbook." type="5" refreshedVersion="8" background="1" saveData="1">
    <dbPr connection="Provider=Microsoft.Mashup.OleDb.1;Data Source=$Workbook$;Location=LIS_Juli;Extended Properties=&quot;&quot;" command="SELECT * FROM [LIS_Juli]"/>
  </connection>
  <connection id="5" xr16:uid="{00000000-0015-0000-FFFF-FFFF04000000}" name="Query - LIS_Raw" description="Connection to the 'LIS_Raw' query in the workbook." type="5" refreshedVersion="2" background="1" saveData="1">
    <dbPr connection="Provider=Microsoft.Mashup.OleDb.1;Data Source=$Workbook$;Location=LIS_Raw;Extended Properties=&quot;&quot;" command="SELECT * FROM [LIS_Raw]"/>
  </connection>
  <connection id="6" xr16:uid="{00000000-0015-0000-FFFF-FFFF05000000}" name="Query - Mapping_Test(1)" description="Connection to the 'Mapping_Test' query in the workbook." type="5" refreshedVersion="2" background="1" saveData="1">
    <dbPr connection="Provider=Microsoft.Mashup.OleDb.1;Data Source=$Workbook$;Location=Mapping_Test;Extended Properties=&quot;&quot;" command="SELECT * FROM [Mapping_Test]"/>
  </connection>
  <connection id="7" xr16:uid="{00000000-0015-0000-FFFF-FFFF06000000}" name="Query - PQ_Aug" description="Connection to the 'PQ_Aug' query in the workbook." type="5" refreshedVersion="8" background="1" saveData="1">
    <dbPr connection="Provider=Microsoft.Mashup.OleDb.1;Data Source=$Workbook$;Location=PQ_Aug;Extended Properties=&quot;&quot;" command="SELECT * FROM [PQ_Aug]"/>
  </connection>
  <connection id="8" xr16:uid="{00000000-0015-0000-FFFF-FFFF07000000}" name="Query - PQ_Harian" description="Connection to the 'PQ_Harian' query in the workbook." type="5" refreshedVersion="2" background="1" saveData="1">
    <dbPr connection="Provider=Microsoft.Mashup.OleDb.1;Data Source=$Workbook$;Location=PQ_Harian;Extended Properties=&quot;&quot;" command="SELECT * FROM [PQ_Harian]"/>
  </connection>
  <connection id="9" xr16:uid="{00000000-0015-0000-FFFF-FFFF08000000}" name="Query - PQ_Harian1" description="Connection to the 'PQ_Harian' query in the workbook." type="5" refreshedVersion="2" background="1" saveData="1">
    <dbPr connection="Provider=Microsoft.Mashup.OleDb.1;Data Source=$Workbook$;Location=PQ_Harian;Extended Properties=&quot;&quot;" command="SELECT * FROM [PQ_Harian]"/>
  </connection>
  <connection id="10" xr16:uid="{00000000-0015-0000-FFFF-FFFF09000000}" name="Query - PQ_Juli(2)" description="Connection to the 'PQ_Juli' query in the workbook." type="5" refreshedVersion="8" background="1" saveData="1">
    <dbPr connection="Provider=Microsoft.Mashup.OleDb.1;Data Source=$Workbook$;Location=PQ_Juli;Extended Properties=&quot;&quot;" command="SELECT * FROM [PQ_Jul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<sst xmlns="http://schemas.openxmlformats.org/spreadsheetml/2006/main" count="6430" uniqueCount="498">
  <si>
    <t>Item Code</t>
  </si>
  <si>
    <t>REAGEN</t>
  </si>
  <si>
    <t>Qty/kit</t>
  </si>
  <si>
    <t>AVG Sampel 
per bulan 2022</t>
  </si>
  <si>
    <t>AVG Sampel 
per bulan 2023</t>
  </si>
  <si>
    <t>Total Pemakaian</t>
  </si>
  <si>
    <t>Sisa stock ongoing</t>
  </si>
  <si>
    <t>Buffer Stock</t>
  </si>
  <si>
    <t xml:space="preserve">Tanggal Terima </t>
  </si>
  <si>
    <t>Penambahan stock</t>
  </si>
  <si>
    <t>Saldo akhir</t>
  </si>
  <si>
    <t>NOTE</t>
  </si>
  <si>
    <t>Qty</t>
  </si>
  <si>
    <t>Satuan</t>
  </si>
  <si>
    <t>Reagent 1</t>
  </si>
  <si>
    <t>Reagent 2</t>
  </si>
  <si>
    <t xml:space="preserve">Reagent 1       </t>
  </si>
  <si>
    <t xml:space="preserve">Reagent 2      </t>
  </si>
  <si>
    <t>Order ke 1</t>
  </si>
  <si>
    <t>Order ke 2</t>
  </si>
  <si>
    <t>Jumlah</t>
  </si>
  <si>
    <t>Pcs</t>
  </si>
  <si>
    <t>Catatan : Kasih spare misal 10 sebelum mendekati buffer stock sudah muncul alarm</t>
  </si>
  <si>
    <t>Warna</t>
  </si>
  <si>
    <t>Definisi Warna</t>
  </si>
  <si>
    <r>
      <rPr>
        <sz val="12"/>
        <color rgb="FF000000"/>
        <rFont val="Times New Roman"/>
        <charset val="134"/>
      </rPr>
      <t xml:space="preserve">Sudah mendekati Buffer Stock </t>
    </r>
    <r>
      <rPr>
        <b/>
        <sz val="12"/>
        <color rgb="FF000000"/>
        <rFont val="Times New Roman"/>
        <charset val="134"/>
      </rPr>
      <t>(Harus mulai dipesan barangnya)</t>
    </r>
  </si>
  <si>
    <r>
      <rPr>
        <sz val="12"/>
        <color rgb="FF000000"/>
        <rFont val="Times New Roman"/>
        <charset val="134"/>
      </rPr>
      <t xml:space="preserve">Dibawah Buffer Stock </t>
    </r>
    <r>
      <rPr>
        <b/>
        <sz val="12"/>
        <color rgb="FF000000"/>
        <rFont val="Times New Roman"/>
        <charset val="134"/>
      </rPr>
      <t>(CITO untuk pemesanan barangnya)</t>
    </r>
  </si>
  <si>
    <t>Buffer Stock adalah 30 % penambahan dari average sampel setiap bulan dalam 1 tahun</t>
  </si>
  <si>
    <t>Elecsys CEA</t>
  </si>
  <si>
    <t>-</t>
  </si>
  <si>
    <t>INDIKO Albumin</t>
  </si>
  <si>
    <t>Botol</t>
  </si>
  <si>
    <t>INDIKO ALP</t>
  </si>
  <si>
    <t>INDIKO ALT / GPT (IFCC)</t>
  </si>
  <si>
    <t>INDIKO AST / GOT (IFCC)</t>
  </si>
  <si>
    <t>INDIKO Amylase (IFCC)</t>
  </si>
  <si>
    <t>INDIKO Calsium</t>
  </si>
  <si>
    <t>INDIKO Cholesterol Total</t>
  </si>
  <si>
    <t xml:space="preserve">INDIKO Creatinin (Enzymatic) </t>
  </si>
  <si>
    <t xml:space="preserve">INDIKO Direct Billirubin </t>
  </si>
  <si>
    <t>INDIKO Gamma GT (IFCC)</t>
  </si>
  <si>
    <t>INDIKO Glukosa (HK)</t>
  </si>
  <si>
    <t>INDIKO HDL Cholesterol</t>
  </si>
  <si>
    <t>INDIKO LDL Cholesterol</t>
  </si>
  <si>
    <t>INDIKO Iron</t>
  </si>
  <si>
    <t>INDIKO LDH (IFCC)</t>
  </si>
  <si>
    <t xml:space="preserve">INDIKO Lipase </t>
  </si>
  <si>
    <t>INDIKO Magnesium</t>
  </si>
  <si>
    <t>INDIKO Phosporus</t>
  </si>
  <si>
    <t>INDIKO Billirubin Total (DCA)</t>
  </si>
  <si>
    <t>INDIKO Total Protein Plus</t>
  </si>
  <si>
    <t>INDIKO Trigliserida</t>
  </si>
  <si>
    <t>INDIKO Urea</t>
  </si>
  <si>
    <t>INDIKO Uric Acid (AOX)</t>
  </si>
  <si>
    <t>Kit</t>
  </si>
  <si>
    <t>INDIKO Ecal</t>
  </si>
  <si>
    <t xml:space="preserve">INDIKO Scal </t>
  </si>
  <si>
    <t>INDIKO HDL/LDL Calibrator</t>
  </si>
  <si>
    <t>Elecsys Vitamin D</t>
  </si>
  <si>
    <t>INDIKO CHE</t>
  </si>
  <si>
    <t>PATHFAST D-dimer</t>
  </si>
  <si>
    <t>PATHFAST Trop I</t>
  </si>
  <si>
    <t>HCV Rapid</t>
  </si>
  <si>
    <t>AIM Dengue NS1</t>
  </si>
  <si>
    <t>AIM Dengue Tripleline</t>
  </si>
  <si>
    <t>Right sign HIV</t>
  </si>
  <si>
    <t>Fokus HIV</t>
  </si>
  <si>
    <t>Tube Quantiferon</t>
  </si>
  <si>
    <t>Tube</t>
  </si>
  <si>
    <t>Kit Elisa Quantiferon</t>
  </si>
  <si>
    <t>Kontrol Quantiferon</t>
  </si>
  <si>
    <t>PIMA CD4</t>
  </si>
  <si>
    <t>Aution Stik</t>
  </si>
  <si>
    <t>Strip</t>
  </si>
  <si>
    <t>HBV DNA</t>
  </si>
  <si>
    <t>HIV VL</t>
  </si>
  <si>
    <t>HCV RNA</t>
  </si>
  <si>
    <t>INDIKO CK</t>
  </si>
  <si>
    <t>Elektrolit</t>
  </si>
  <si>
    <t>Test</t>
  </si>
  <si>
    <t>Hbsag rapid</t>
  </si>
  <si>
    <t>CEA</t>
  </si>
  <si>
    <t>Vidas AMH</t>
  </si>
  <si>
    <t>Leptospira IgG/IgM</t>
  </si>
  <si>
    <t>Chikungunya IgM</t>
  </si>
  <si>
    <t>Vidas Cortisol</t>
  </si>
  <si>
    <t>Euroimmun IgE Atopi</t>
  </si>
  <si>
    <t>Euroimmun IgE Inhalasi</t>
  </si>
  <si>
    <t>Euroimmun IgE Makanan Asia</t>
  </si>
  <si>
    <t>Euroimmun ANA Profile</t>
  </si>
  <si>
    <t>Snibe Anti TPO</t>
  </si>
  <si>
    <t>Snibe Tiroglobulin</t>
  </si>
  <si>
    <t>Snibe Vitamin B12</t>
  </si>
  <si>
    <t>Snibe Beta HCG</t>
  </si>
  <si>
    <t>Snibe Asam Folat</t>
  </si>
  <si>
    <t>Free PSA</t>
  </si>
  <si>
    <t>Roche CKMB</t>
  </si>
  <si>
    <t>Roche Troponin T</t>
  </si>
  <si>
    <t>QC</t>
  </si>
  <si>
    <t>Ca 15-3</t>
  </si>
  <si>
    <t>Ca 19-9</t>
  </si>
  <si>
    <t>Ca 125</t>
  </si>
  <si>
    <t>Testosteron</t>
  </si>
  <si>
    <t>LH</t>
  </si>
  <si>
    <t>FSH</t>
  </si>
  <si>
    <t>T3 Total</t>
  </si>
  <si>
    <t>T4 Total</t>
  </si>
  <si>
    <t>TSH</t>
  </si>
  <si>
    <t>FT4</t>
  </si>
  <si>
    <t>Tanggal terakhir input data QC all reagen</t>
  </si>
  <si>
    <t>Total PSA</t>
  </si>
  <si>
    <t>Ferritin</t>
  </si>
  <si>
    <t>IgE Total</t>
  </si>
  <si>
    <t>Estradiol</t>
  </si>
  <si>
    <t>Progesteron</t>
  </si>
  <si>
    <t>AFP</t>
  </si>
  <si>
    <t>HBeAg</t>
  </si>
  <si>
    <t>Anti HBc Total</t>
  </si>
  <si>
    <t>FT3</t>
  </si>
  <si>
    <t>Anti Toxo Avidity IgG</t>
  </si>
  <si>
    <t>Anti-HBS</t>
  </si>
  <si>
    <t>HBsAg</t>
  </si>
  <si>
    <t>Toxo IgG</t>
  </si>
  <si>
    <t>Toxo IgM</t>
  </si>
  <si>
    <t>Rubella IgG</t>
  </si>
  <si>
    <t>Rubella IgM</t>
  </si>
  <si>
    <t>CMV IgG</t>
  </si>
  <si>
    <t>CMV IgM</t>
  </si>
  <si>
    <t>Anti HAV IgM</t>
  </si>
  <si>
    <t>TSHs</t>
  </si>
  <si>
    <t>Prolactin</t>
  </si>
  <si>
    <t>Anti HAV Total</t>
  </si>
  <si>
    <t>Anti HCV</t>
  </si>
  <si>
    <t>PATHFAST Hs-CRP</t>
  </si>
  <si>
    <t>Nama Test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</si>
  <si>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</si>
  <si>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</si>
  <si>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</si>
  <si>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</si>
  <si>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</si>
  <si>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</si>
  <si>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</si>
  <si>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</si>
  <si>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</si>
  <si>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</si>
  <si>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</si>
  <si>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</si>
  <si>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</si>
  <si>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</si>
  <si>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</si>
  <si>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</si>
  <si>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</si>
  <si>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</si>
  <si>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</si>
  <si>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</si>
  <si>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</si>
  <si>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</si>
  <si>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</si>
  <si>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</si>
  <si>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</si>
  <si>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</si>
  <si>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</si>
  <si>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</si>
  <si>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</si>
  <si>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</si>
  <si>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</si>
  <si>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</si>
  <si>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INDIKO Billirubin Total</t>
  </si>
  <si>
    <t>Saldo awal 
(Stok Juni 2026)</t>
  </si>
  <si>
    <t>PEMANTAUAN STOCK REAGEN LAB PK</t>
  </si>
  <si>
    <t>Superflex CKMB</t>
  </si>
  <si>
    <t>Saldo awal 
(Stok Juli 2026)</t>
  </si>
  <si>
    <t>Grup</t>
  </si>
  <si>
    <t>SourceFile</t>
  </si>
  <si>
    <t xml:space="preserve"> HEMATOLOGI</t>
  </si>
  <si>
    <t>UIBC</t>
  </si>
  <si>
    <t>LIS_260701.xls</t>
  </si>
  <si>
    <t>Hematology Lengkap (Abs)</t>
  </si>
  <si>
    <t>Hematology Lengkap</t>
  </si>
  <si>
    <t>Hematologi Rutin</t>
  </si>
  <si>
    <t>Golongan Darah ABO &amp; Rh</t>
  </si>
  <si>
    <t>G6PD Neonatus</t>
  </si>
  <si>
    <t>Serum Iron (SI)</t>
  </si>
  <si>
    <t>TIBC</t>
  </si>
  <si>
    <t>Transferin</t>
  </si>
  <si>
    <t xml:space="preserve"> HEMOSTASIS</t>
  </si>
  <si>
    <t>Waktu Protrombin (PT)</t>
  </si>
  <si>
    <t>APTT</t>
  </si>
  <si>
    <t xml:space="preserve"> IMUNOSEROLOGI</t>
  </si>
  <si>
    <t>Troponin I</t>
  </si>
  <si>
    <t>Atopy Indonesia 1 IgE</t>
  </si>
  <si>
    <t>Anti Toxoplasma IgG Avidity</t>
  </si>
  <si>
    <t>ANA Profile</t>
  </si>
  <si>
    <t>ANA IF</t>
  </si>
  <si>
    <t>HBsAg Rapid</t>
  </si>
  <si>
    <t>Anti Toxoplasma IgG</t>
  </si>
  <si>
    <t>Anti HSV I IgM</t>
  </si>
  <si>
    <t>Hs-CRP</t>
  </si>
  <si>
    <t>VDRL</t>
  </si>
  <si>
    <t>TPHA</t>
  </si>
  <si>
    <t>Alfa Feto Protein (AFP)</t>
  </si>
  <si>
    <t>C Peptide</t>
  </si>
  <si>
    <t xml:space="preserve"> KIMIA KLINIK</t>
  </si>
  <si>
    <t>Trypsin</t>
  </si>
  <si>
    <t>NT- PRO BNP</t>
  </si>
  <si>
    <t>HbA1c (HPLC)</t>
  </si>
  <si>
    <t>Kalsium (Ca) ion</t>
  </si>
  <si>
    <t>Homa IR&amp;B mutiple</t>
  </si>
  <si>
    <t>Magnesium (Mg) ion</t>
  </si>
  <si>
    <t>Elektrolit Ion Tubuh</t>
  </si>
  <si>
    <t>Glycated Albumin (GA)</t>
  </si>
  <si>
    <t>Bilirubin Total</t>
  </si>
  <si>
    <t>Bilirubin Direk</t>
  </si>
  <si>
    <t>Alkali Fosfatase (ALP)</t>
  </si>
  <si>
    <t>SGOT (AST)</t>
  </si>
  <si>
    <t>SGPT (ALT)</t>
  </si>
  <si>
    <t>Protein Total</t>
  </si>
  <si>
    <t>Albumin</t>
  </si>
  <si>
    <t>Glukosa Darah Puasa</t>
  </si>
  <si>
    <t>Glukosa Darah Sewaktu</t>
  </si>
  <si>
    <t>Kolesterol Total</t>
  </si>
  <si>
    <t>HDL Kolesterol</t>
  </si>
  <si>
    <t>LDL Cholesterol</t>
  </si>
  <si>
    <t>Trigliserida</t>
  </si>
  <si>
    <t>Apolipoprotein-B(Apo-B)</t>
  </si>
  <si>
    <t>CK</t>
  </si>
  <si>
    <t>CK-MB</t>
  </si>
  <si>
    <t>LDH</t>
  </si>
  <si>
    <t>Ureum</t>
  </si>
  <si>
    <t>Urea Nitrogen</t>
  </si>
  <si>
    <t>Kreatinin + eGFR</t>
  </si>
  <si>
    <t>Asam Urat</t>
  </si>
  <si>
    <t>Magnesium (Mg)</t>
  </si>
  <si>
    <t>Fosforus</t>
  </si>
  <si>
    <t>Amilase</t>
  </si>
  <si>
    <t>Lipase</t>
  </si>
  <si>
    <t>LPA (Lipoprotein-a)</t>
  </si>
  <si>
    <t xml:space="preserve"> MIKROBIOLOGI</t>
  </si>
  <si>
    <t>Kultur Identif Res. Pus</t>
  </si>
  <si>
    <t>TB-IGRA Quantiferon Gold</t>
  </si>
  <si>
    <t>Kultur Identif Res. Sputum</t>
  </si>
  <si>
    <t>Kultur Identif Res. Darah Anak</t>
  </si>
  <si>
    <t>Kultur Identif Res. Darah Dewasa</t>
  </si>
  <si>
    <t>Kultur Identif Res. Cairan Tubuh</t>
  </si>
  <si>
    <t>Pewarnaan Gram</t>
  </si>
  <si>
    <t>kultur resisten darah (2 botol)</t>
  </si>
  <si>
    <t xml:space="preserve"> VITAMIN MINERAL</t>
  </si>
  <si>
    <t>Vitamin D (Promo Karyawan)</t>
  </si>
  <si>
    <t xml:space="preserve"> ENDOKRINOLOGI</t>
  </si>
  <si>
    <t>TSH neonatus</t>
  </si>
  <si>
    <t xml:space="preserve"> URINALISIS</t>
  </si>
  <si>
    <t>Urin lengkap</t>
  </si>
  <si>
    <t>Protein Urin Sewaktu</t>
  </si>
  <si>
    <t xml:space="preserve"> BIOMOLEKULER</t>
  </si>
  <si>
    <t>HIV Viral Load</t>
  </si>
  <si>
    <t>SARS Cov-2, RT PCR (1 hari kerja)</t>
  </si>
  <si>
    <t xml:space="preserve"> IMUNOLOGI</t>
  </si>
  <si>
    <t>HLA-B 27</t>
  </si>
  <si>
    <t>LIS_260702.xls</t>
  </si>
  <si>
    <t>Paket Saturasi Transferin</t>
  </si>
  <si>
    <t>Analisa Cairan Pleura</t>
  </si>
  <si>
    <t>Vitamin B12</t>
  </si>
  <si>
    <t>Asam Folat</t>
  </si>
  <si>
    <t>HBsAg Kuantitatif</t>
  </si>
  <si>
    <t>ADA, Cairan Pleura</t>
  </si>
  <si>
    <t>Vitamin D 25 Hydroxy Total</t>
  </si>
  <si>
    <t>Anti-HBs</t>
  </si>
  <si>
    <t>CD4</t>
  </si>
  <si>
    <t>Anti Rubella IgG</t>
  </si>
  <si>
    <t>HbA1C</t>
  </si>
  <si>
    <t>TCM Mtbc</t>
  </si>
  <si>
    <t>Identif. Koloni Murni</t>
  </si>
  <si>
    <t>Kultur Identif Res. Urin</t>
  </si>
  <si>
    <t>Kultur Identif Res. Feses</t>
  </si>
  <si>
    <t>Kultur Identif Res. Sekret Vagina</t>
  </si>
  <si>
    <t>Free Testosteron</t>
  </si>
  <si>
    <t>LIS_260704.xls</t>
  </si>
  <si>
    <t>Retikulosit</t>
  </si>
  <si>
    <t>D-Dimer</t>
  </si>
  <si>
    <t>Aggregasi Trombosit</t>
  </si>
  <si>
    <t>Anti H Pylori IgG</t>
  </si>
  <si>
    <t>Anti H Pylori IgM</t>
  </si>
  <si>
    <t>Anti-Chlamydia IgG</t>
  </si>
  <si>
    <t>Anti-Chlamydia IgM</t>
  </si>
  <si>
    <t>IL10</t>
  </si>
  <si>
    <t>TGF-Beta 1</t>
  </si>
  <si>
    <t>Collagen Type 1 Alpha</t>
  </si>
  <si>
    <t>AMH (Anti Mulerian Hormon)</t>
  </si>
  <si>
    <t>CYFRA 21-1</t>
  </si>
  <si>
    <t>Anti Toxoplasma IgM</t>
  </si>
  <si>
    <t>Anti Rubella IgM</t>
  </si>
  <si>
    <t>Anti CMV IgM</t>
  </si>
  <si>
    <t>Anti HSV II IgM</t>
  </si>
  <si>
    <t>Anti HIV</t>
  </si>
  <si>
    <t>Na-K-Cl</t>
  </si>
  <si>
    <t>Kalsium</t>
  </si>
  <si>
    <t>Kholinesterase (CHE)</t>
  </si>
  <si>
    <t>Kultur Identifikasi MRSA</t>
  </si>
  <si>
    <t>Kultur Identif Res. Jaringan</t>
  </si>
  <si>
    <t xml:space="preserve"> LAIN-LAIN</t>
  </si>
  <si>
    <t>Fecal Calprotectin</t>
  </si>
  <si>
    <t>Vascular Endothelial Growth Factor</t>
  </si>
  <si>
    <t>IGF-1</t>
  </si>
  <si>
    <t>EBV-DNA, RT-PCR</t>
  </si>
  <si>
    <t>TB-IGRA Express</t>
  </si>
  <si>
    <t>Myoglobin, serum</t>
  </si>
  <si>
    <t>LIS_260707.xls</t>
  </si>
  <si>
    <t>Fibrinogen</t>
  </si>
  <si>
    <t>Anti-Cikungunya IgM</t>
  </si>
  <si>
    <t>TNF Alpha</t>
  </si>
  <si>
    <t>IgE Inhalasi</t>
  </si>
  <si>
    <t>Serologi Malaria</t>
  </si>
  <si>
    <t>Anti CMV IgG Avidity</t>
  </si>
  <si>
    <t>Anti CMV IgG</t>
  </si>
  <si>
    <t>Anti HSV I IgG</t>
  </si>
  <si>
    <t>CRP Kuantitatif</t>
  </si>
  <si>
    <t>Gamma GT</t>
  </si>
  <si>
    <t>Troponin T</t>
  </si>
  <si>
    <t>PCR MTB/NTM</t>
  </si>
  <si>
    <t>Kultur Res Jamur + Sensitivity</t>
  </si>
  <si>
    <t>Procalcitonin (PCT)</t>
  </si>
  <si>
    <t>Mikroalbumin Sewaktu</t>
  </si>
  <si>
    <t>Mumps IgG</t>
  </si>
  <si>
    <t>LIS_260708.xls</t>
  </si>
  <si>
    <t>LDH C.Pleura</t>
  </si>
  <si>
    <t>RF Kualitatif</t>
  </si>
  <si>
    <t>R2 Microglobulin</t>
  </si>
  <si>
    <t>Anti-EBV VCA IgA</t>
  </si>
  <si>
    <t>Anti HSV II IgG</t>
  </si>
  <si>
    <t>Glukosa Darah 2 jam PP</t>
  </si>
  <si>
    <t>Kultur Stool</t>
  </si>
  <si>
    <t>TB PCR 4 in 1</t>
  </si>
  <si>
    <t>HSV RT-PCR</t>
  </si>
  <si>
    <t>Anti TPO</t>
  </si>
  <si>
    <t>LIS_260709.xls</t>
  </si>
  <si>
    <t>Globulin</t>
  </si>
  <si>
    <t>TB-IGRA Feron</t>
  </si>
  <si>
    <t>BTA, Pewarnaan Ziehl-Neelsen</t>
  </si>
  <si>
    <t>LIS_260711.xls</t>
  </si>
  <si>
    <t>Alergi Makanan SEA IgE</t>
  </si>
  <si>
    <t>Anti-Leptospira IgM</t>
  </si>
  <si>
    <t>Salmonella IgM (Tubex)</t>
  </si>
  <si>
    <t>Anti Hbe</t>
  </si>
  <si>
    <t>ACA IgG</t>
  </si>
  <si>
    <t>Anti HCV Rapid</t>
  </si>
  <si>
    <t>Anti HBc</t>
  </si>
  <si>
    <t>Anti ds DNA</t>
  </si>
  <si>
    <t>Panel Gastrointestinal</t>
  </si>
  <si>
    <t>ß-HCG, serum</t>
  </si>
  <si>
    <t>Anti HCV IgM</t>
  </si>
  <si>
    <t>LIS_260714.xls</t>
  </si>
  <si>
    <t>IgM</t>
  </si>
  <si>
    <t>Cystatin</t>
  </si>
  <si>
    <t>PK ADA/NAb</t>
  </si>
  <si>
    <t>Cortisol Pagi</t>
  </si>
  <si>
    <t>Anti Tiroglobulin Ab (ATA)</t>
  </si>
  <si>
    <t>Mikroalbumin Urin 24 jam</t>
  </si>
  <si>
    <t>Anti-phospholipid antibody IgG</t>
  </si>
  <si>
    <t>Anti-phospholipid antibody IgM</t>
  </si>
  <si>
    <t>LIS_260615.xls</t>
  </si>
  <si>
    <t>Zinc (Zn), darah</t>
  </si>
  <si>
    <t>Gambaran Darah Tepi</t>
  </si>
  <si>
    <t>Hb Elektroforesis</t>
  </si>
  <si>
    <t>PT</t>
  </si>
  <si>
    <t>Waktu Trombin (TT)</t>
  </si>
  <si>
    <t>ASTO, Kualitatif</t>
  </si>
  <si>
    <t>Anti CCP</t>
  </si>
  <si>
    <t>Anti-Mitochondrial Antibody</t>
  </si>
  <si>
    <t>Pediatric Alergi IgE</t>
  </si>
  <si>
    <t>CRP, Kualitatif</t>
  </si>
  <si>
    <t>ANCA</t>
  </si>
  <si>
    <t>Widal</t>
  </si>
  <si>
    <t>Apolipoprotein-A1(Apo-A1)</t>
  </si>
  <si>
    <t xml:space="preserve"> FESES</t>
  </si>
  <si>
    <t>Feses Lengkap</t>
  </si>
  <si>
    <t>Pewarnaan BTA 3x</t>
  </si>
  <si>
    <t>GALACTOMANAN</t>
  </si>
  <si>
    <t xml:space="preserve"> TDM/DRUG ABUSE/NAPZA</t>
  </si>
  <si>
    <t>Alkohol Urin Kualitatif</t>
  </si>
  <si>
    <t>Anti Acetylcholine Receptor (AChR)</t>
  </si>
  <si>
    <t>Bone Mineral Density (BMD)</t>
  </si>
  <si>
    <t>DHEA S</t>
  </si>
  <si>
    <t>Tiroglobulin</t>
  </si>
  <si>
    <t>TSH Reseptor Antibody (TRAB)</t>
  </si>
  <si>
    <t>Protein Urin 24 jam</t>
  </si>
  <si>
    <t>ROMA (Ca125 + HE4)</t>
  </si>
  <si>
    <t>Measles IgM</t>
  </si>
  <si>
    <t>Immunofiksasi (G,A,K,Kappa, Lambda)</t>
  </si>
  <si>
    <t>LIS_260617.xls</t>
  </si>
  <si>
    <t>Rheumatoid Factor (RF)</t>
  </si>
  <si>
    <t xml:space="preserve"> KIMIA URIN KHUSUS</t>
  </si>
  <si>
    <t>Nikotin, Urin</t>
  </si>
  <si>
    <t>Clostridium difficile (toksin A&amp;B)</t>
  </si>
  <si>
    <t>LIS_260618.xls</t>
  </si>
  <si>
    <t xml:space="preserve"> PATOLOGI ANATOMI</t>
  </si>
  <si>
    <t>Calreticulin (CALR) gene mutation</t>
  </si>
  <si>
    <t>LIS_260619.xls</t>
  </si>
  <si>
    <t>ASTO, Kuantitatif</t>
  </si>
  <si>
    <t>Insulin Puasa</t>
  </si>
  <si>
    <t>LIS_260620.xls</t>
  </si>
  <si>
    <t>Cortisol Sore</t>
  </si>
  <si>
    <t>LIS_260622.xls</t>
  </si>
  <si>
    <t>LIS_260623.xls</t>
  </si>
  <si>
    <t>LIS_260624.xls</t>
  </si>
  <si>
    <t>LIS_260625.xls</t>
  </si>
  <si>
    <t>ß2 Glikoprotein IgG</t>
  </si>
  <si>
    <t>ß2 Glikoprotein IgM</t>
  </si>
  <si>
    <t>LIS_260626.xls</t>
  </si>
  <si>
    <t>Nama Test LIS</t>
  </si>
  <si>
    <t>Nama Reagen Monitoring</t>
  </si>
  <si>
    <t>Status Mapping</t>
  </si>
  <si>
    <t>TIDAK ADA</t>
  </si>
  <si>
    <t>IPF (Immature Platelet Fraction)</t>
  </si>
  <si>
    <t>Oligoclonal Banding CSF&amp;Serum</t>
  </si>
  <si>
    <t>OK</t>
  </si>
  <si>
    <t>Saturasi Transferin</t>
  </si>
  <si>
    <t>Anti-CCP IgG</t>
  </si>
  <si>
    <t>Measles IgG</t>
  </si>
  <si>
    <t>SEL LE</t>
  </si>
  <si>
    <t>ACA IgM</t>
  </si>
  <si>
    <t>Dengue NS1 antigen</t>
  </si>
  <si>
    <t>Anti-HBc IgM, Kuantitatif</t>
  </si>
  <si>
    <t>Protein C</t>
  </si>
  <si>
    <t>Protein S</t>
  </si>
  <si>
    <t>Kalium (K) Urin</t>
  </si>
  <si>
    <t>Klorida (Cl), urin sewaktu</t>
  </si>
  <si>
    <t>Natrium (Na), urin sewaktu</t>
  </si>
  <si>
    <t>Bikarbonat</t>
  </si>
  <si>
    <t>Natrium (Na) Urin 24 jam</t>
  </si>
  <si>
    <t>Kalium (K) Urin 24 jam</t>
  </si>
  <si>
    <t>Klorida (Cl) Urin 24 jam</t>
  </si>
  <si>
    <t>Kreatinin Clearence</t>
  </si>
  <si>
    <t>Feces Rutin</t>
  </si>
  <si>
    <t>Darah Samar</t>
  </si>
  <si>
    <t>Identifikasi Kuman Tanpa Inkubasi</t>
  </si>
  <si>
    <t>Iden Resistensi Koloni MTB Lini 1</t>
  </si>
  <si>
    <t>rPCR (CMV) Kuantitatif</t>
  </si>
  <si>
    <t>Pemeriksaan KOH</t>
  </si>
  <si>
    <t>Kultur Identifikasi Darah Anaerob</t>
  </si>
  <si>
    <t>TACROLIMUS</t>
  </si>
  <si>
    <t>MPL gene W515 mutation</t>
  </si>
  <si>
    <t>Anti-GAD antibody</t>
  </si>
  <si>
    <t>HOMA IR</t>
  </si>
  <si>
    <t>Aspergillus fumigatus IgG</t>
  </si>
  <si>
    <t>Anti Aquaporin 4 Antibody IgG</t>
  </si>
  <si>
    <t>BELUM MAPPING</t>
  </si>
  <si>
    <t>ESTRIOL</t>
  </si>
  <si>
    <t>Plasma Renin Activity (PRA)</t>
  </si>
  <si>
    <t>HCV-RNA, Real-Time PCR</t>
  </si>
  <si>
    <t>Thyroid stimulating immunoglobulin</t>
  </si>
  <si>
    <t>Anti-HAV IgG</t>
  </si>
  <si>
    <t>Haptoglobin, S</t>
  </si>
  <si>
    <t>Mumps IgM</t>
  </si>
  <si>
    <t>LIS_260715.xls</t>
  </si>
  <si>
    <t>LIS_260716.xls</t>
  </si>
  <si>
    <t>LIS_260718.xls</t>
  </si>
  <si>
    <t>Vitamin D (Promo Regenic)</t>
  </si>
  <si>
    <t>Tanggal PR</t>
  </si>
  <si>
    <t>RPR</t>
  </si>
  <si>
    <t>Actin FS</t>
  </si>
  <si>
    <t>Thrombin</t>
  </si>
  <si>
    <t>Innovin</t>
  </si>
  <si>
    <t>TSH Neonatus</t>
  </si>
  <si>
    <t>Hematologi</t>
  </si>
  <si>
    <t>LIS_260803.xls</t>
  </si>
  <si>
    <t>HE4</t>
  </si>
  <si>
    <t>TCM Mtbc (RS USU)</t>
  </si>
  <si>
    <t>HBsAg rapid</t>
  </si>
  <si>
    <t>Superflex HBsAg Kuanti</t>
  </si>
  <si>
    <t>Euroimmun IgE Pediatric</t>
  </si>
  <si>
    <t>INDIKO APO B</t>
  </si>
  <si>
    <t>INDIKO APO A</t>
  </si>
  <si>
    <t>SD IGRA Feron</t>
  </si>
  <si>
    <t>SD NT PRO BNP</t>
  </si>
  <si>
    <t>Elecsys Procalcitonin</t>
  </si>
  <si>
    <t>Elecsys Anti HCV</t>
  </si>
  <si>
    <t>NEW</t>
  </si>
  <si>
    <r>
      <rPr>
        <b/>
        <sz val="12"/>
        <color theme="1"/>
        <rFont val="Times New Roman"/>
        <family val="1"/>
      </rPr>
      <t>Superflex</t>
    </r>
    <r>
      <rPr>
        <sz val="12"/>
        <color theme="1"/>
        <rFont val="Times New Roman"/>
        <family val="1"/>
      </rPr>
      <t xml:space="preserve"> HBsAg Kuanti</t>
    </r>
  </si>
  <si>
    <r>
      <rPr>
        <b/>
        <sz val="12"/>
        <color theme="1"/>
        <rFont val="Times New Roman"/>
        <family val="1"/>
      </rPr>
      <t>Superflex</t>
    </r>
    <r>
      <rPr>
        <sz val="12"/>
        <color theme="1"/>
        <rFont val="Times New Roman"/>
        <family val="1"/>
      </rPr>
      <t xml:space="preserve"> CKMB</t>
    </r>
  </si>
  <si>
    <r>
      <rPr>
        <b/>
        <sz val="12"/>
        <color theme="1"/>
        <rFont val="Times New Roman"/>
        <family val="1"/>
      </rPr>
      <t>PATHFAST</t>
    </r>
    <r>
      <rPr>
        <sz val="12"/>
        <color theme="1"/>
        <rFont val="Times New Roman"/>
        <family val="1"/>
      </rPr>
      <t xml:space="preserve"> Hs-CRP</t>
    </r>
  </si>
  <si>
    <r>
      <rPr>
        <b/>
        <sz val="12"/>
        <color theme="1"/>
        <rFont val="Times New Roman"/>
        <family val="1"/>
      </rPr>
      <t>PATHFAST</t>
    </r>
    <r>
      <rPr>
        <sz val="12"/>
        <color theme="1"/>
        <rFont val="Times New Roman"/>
        <family val="1"/>
      </rPr>
      <t xml:space="preserve"> D-dimer</t>
    </r>
  </si>
  <si>
    <r>
      <rPr>
        <b/>
        <sz val="12"/>
        <color theme="1"/>
        <rFont val="Times New Roman"/>
        <family val="1"/>
      </rPr>
      <t>PATHFAST</t>
    </r>
    <r>
      <rPr>
        <sz val="12"/>
        <color theme="1"/>
        <rFont val="Times New Roman"/>
        <family val="1"/>
      </rPr>
      <t xml:space="preserve"> Trop I</t>
    </r>
  </si>
  <si>
    <r>
      <rPr>
        <b/>
        <sz val="12"/>
        <color theme="1"/>
        <rFont val="Times New Roman"/>
        <family val="1"/>
      </rPr>
      <t>Euroimmun</t>
    </r>
    <r>
      <rPr>
        <sz val="12"/>
        <color theme="1"/>
        <rFont val="Times New Roman"/>
        <family val="1"/>
      </rPr>
      <t xml:space="preserve"> IgE Atopi</t>
    </r>
  </si>
  <si>
    <r>
      <rPr>
        <b/>
        <sz val="12"/>
        <color theme="1"/>
        <rFont val="Times New Roman"/>
        <family val="1"/>
      </rPr>
      <t>Euroimmun</t>
    </r>
    <r>
      <rPr>
        <sz val="12"/>
        <color theme="1"/>
        <rFont val="Times New Roman"/>
        <family val="1"/>
      </rPr>
      <t xml:space="preserve"> IgE Inhalasi</t>
    </r>
  </si>
  <si>
    <r>
      <rPr>
        <b/>
        <sz val="12"/>
        <color theme="1"/>
        <rFont val="Times New Roman"/>
        <family val="1"/>
      </rPr>
      <t>Euroimmun</t>
    </r>
    <r>
      <rPr>
        <sz val="12"/>
        <color theme="1"/>
        <rFont val="Times New Roman"/>
        <family val="1"/>
      </rPr>
      <t xml:space="preserve"> IgE Makanan Asia</t>
    </r>
  </si>
  <si>
    <r>
      <rPr>
        <b/>
        <sz val="12"/>
        <color theme="1"/>
        <rFont val="Times New Roman"/>
        <family val="1"/>
      </rPr>
      <t>Euroimmun</t>
    </r>
    <r>
      <rPr>
        <sz val="12"/>
        <color theme="1"/>
        <rFont val="Times New Roman"/>
        <family val="1"/>
      </rPr>
      <t xml:space="preserve"> IgE Pediatric</t>
    </r>
  </si>
  <si>
    <r>
      <rPr>
        <b/>
        <sz val="12"/>
        <color theme="1"/>
        <rFont val="Times New Roman"/>
        <family val="1"/>
      </rPr>
      <t>Euroimmun</t>
    </r>
    <r>
      <rPr>
        <sz val="12"/>
        <color theme="1"/>
        <rFont val="Times New Roman"/>
        <family val="1"/>
      </rPr>
      <t xml:space="preserve"> ANA Profile</t>
    </r>
  </si>
  <si>
    <r>
      <rPr>
        <b/>
        <sz val="12"/>
        <color theme="1"/>
        <rFont val="Times New Roman"/>
        <family val="1"/>
      </rPr>
      <t>Snibe</t>
    </r>
    <r>
      <rPr>
        <sz val="12"/>
        <color theme="1"/>
        <rFont val="Times New Roman"/>
        <family val="1"/>
      </rPr>
      <t xml:space="preserve"> Anti TPO</t>
    </r>
  </si>
  <si>
    <r>
      <rPr>
        <b/>
        <sz val="12"/>
        <color theme="1"/>
        <rFont val="Times New Roman"/>
        <family val="1"/>
      </rPr>
      <t>Snibe</t>
    </r>
    <r>
      <rPr>
        <sz val="12"/>
        <color theme="1"/>
        <rFont val="Times New Roman"/>
        <family val="1"/>
      </rPr>
      <t xml:space="preserve"> Tiroglobulin</t>
    </r>
  </si>
  <si>
    <r>
      <rPr>
        <b/>
        <sz val="12"/>
        <color theme="1"/>
        <rFont val="Times New Roman"/>
        <family val="1"/>
      </rPr>
      <t>Snibe</t>
    </r>
    <r>
      <rPr>
        <sz val="12"/>
        <color theme="1"/>
        <rFont val="Times New Roman"/>
        <family val="1"/>
      </rPr>
      <t xml:space="preserve"> Vitamin B12</t>
    </r>
  </si>
  <si>
    <r>
      <rPr>
        <b/>
        <sz val="12"/>
        <color theme="1"/>
        <rFont val="Times New Roman"/>
        <family val="1"/>
      </rPr>
      <t>Snibe</t>
    </r>
    <r>
      <rPr>
        <sz val="12"/>
        <color theme="1"/>
        <rFont val="Times New Roman"/>
        <family val="1"/>
      </rPr>
      <t xml:space="preserve"> Beta HCG</t>
    </r>
  </si>
  <si>
    <r>
      <rPr>
        <b/>
        <sz val="12"/>
        <color theme="1"/>
        <rFont val="Times New Roman"/>
        <family val="1"/>
      </rPr>
      <t>Snibe</t>
    </r>
    <r>
      <rPr>
        <sz val="12"/>
        <color theme="1"/>
        <rFont val="Times New Roman"/>
        <family val="1"/>
      </rPr>
      <t xml:space="preserve"> Asam Folat</t>
    </r>
  </si>
  <si>
    <r>
      <rPr>
        <b/>
        <sz val="12"/>
        <color theme="1"/>
        <rFont val="Times New Roman"/>
        <family val="1"/>
      </rPr>
      <t>Elecsys</t>
    </r>
    <r>
      <rPr>
        <sz val="12"/>
        <color theme="1"/>
        <rFont val="Times New Roman"/>
        <family val="1"/>
      </rPr>
      <t xml:space="preserve"> CEA</t>
    </r>
  </si>
  <si>
    <r>
      <rPr>
        <b/>
        <sz val="12"/>
        <color theme="1"/>
        <rFont val="Times New Roman"/>
        <family val="1"/>
      </rPr>
      <t>Elecsys</t>
    </r>
    <r>
      <rPr>
        <sz val="12"/>
        <color theme="1"/>
        <rFont val="Times New Roman"/>
        <family val="1"/>
      </rPr>
      <t xml:space="preserve"> Vitamin D</t>
    </r>
  </si>
  <si>
    <r>
      <rPr>
        <b/>
        <sz val="12"/>
        <color theme="1"/>
        <rFont val="Times New Roman"/>
        <family val="1"/>
      </rPr>
      <t>Elecsys</t>
    </r>
    <r>
      <rPr>
        <sz val="12"/>
        <color theme="1"/>
        <rFont val="Times New Roman"/>
        <family val="1"/>
      </rPr>
      <t xml:space="preserve"> Procalcitonin (rujuk)</t>
    </r>
  </si>
  <si>
    <r>
      <rPr>
        <b/>
        <sz val="12"/>
        <color theme="1"/>
        <rFont val="Times New Roman"/>
        <family val="1"/>
      </rPr>
      <t>Elecsys</t>
    </r>
    <r>
      <rPr>
        <sz val="12"/>
        <color theme="1"/>
        <rFont val="Times New Roman"/>
        <family val="1"/>
      </rPr>
      <t xml:space="preserve"> Anti HCV</t>
    </r>
  </si>
  <si>
    <r>
      <rPr>
        <b/>
        <sz val="12"/>
        <color theme="1"/>
        <rFont val="Times New Roman"/>
        <family val="1"/>
      </rPr>
      <t>AIM</t>
    </r>
    <r>
      <rPr>
        <sz val="12"/>
        <color theme="1"/>
        <rFont val="Times New Roman"/>
        <family val="1"/>
      </rPr>
      <t xml:space="preserve"> Dengue Tripleline</t>
    </r>
  </si>
  <si>
    <r>
      <rPr>
        <b/>
        <sz val="12"/>
        <color theme="1"/>
        <rFont val="Times New Roman"/>
        <family val="1"/>
      </rPr>
      <t>AIM</t>
    </r>
    <r>
      <rPr>
        <sz val="12"/>
        <color theme="1"/>
        <rFont val="Times New Roman"/>
        <family val="1"/>
      </rPr>
      <t xml:space="preserve"> Dengue NS1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</si>
</sst>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_ "/>
    <numFmt numFmtId="166" formatCode="[$-13809]d\ mmm\ yyyy;@"/>
  </numFmts>
  <fonts count="37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name val="Arial"/>
      <charset val="134"/>
      <scheme val="minor"/>
    </font>
    <font>
      <sz val="11"/>
      <color rgb="FF000000"/>
      <name val="Arial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4"/>
      <color theme="1"/>
      <name val="Times New Roman"/>
      <charset val="134"/>
    </font>
    <font>
      <sz val="10"/>
      <name val="Arial"/>
      <charset val="134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sz val="11"/>
      <color theme="0"/>
      <name val="Times New Roman"/>
      <charset val="134"/>
    </font>
    <font>
      <sz val="10"/>
      <color theme="1"/>
      <name val="Arial"/>
      <charset val="134"/>
      <scheme val="minor"/>
    </font>
    <font>
      <b/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Arial"/>
      <charset val="134"/>
    </font>
    <font>
      <sz val="12"/>
      <color rgb="FF000000"/>
      <name val="Times New Roman"/>
      <charset val="134"/>
    </font>
    <font>
      <b/>
      <sz val="12"/>
      <color rgb="FFFF0000"/>
      <name val="Times New Roman"/>
      <charset val="134"/>
    </font>
    <font>
      <sz val="10"/>
      <color theme="1"/>
      <name val="Arial"/>
      <charset val="134"/>
    </font>
    <font>
      <b/>
      <sz val="11"/>
      <color rgb="FF000000"/>
      <name val="Times New Roman"/>
      <charset val="134"/>
    </font>
    <font>
      <sz val="12"/>
      <name val="Times New Roman"/>
      <charset val="134"/>
    </font>
    <font>
      <sz val="12"/>
      <color rgb="FF242424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Arial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color rgb="FF242424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F1F3"/>
        <bgColor rgb="FFD9F1F3"/>
      </patternFill>
    </fill>
    <fill>
      <patternFill patternType="solid">
        <fgColor theme="9" tint="0.79995117038483843"/>
        <bgColor rgb="FFD9F1F3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28E86"/>
        <bgColor indexed="64"/>
      </patternFill>
    </fill>
    <fill>
      <patternFill patternType="solid">
        <fgColor rgb="FF6FA8DC"/>
        <bgColor rgb="FF6FA8DC"/>
      </patternFill>
    </fill>
    <fill>
      <patternFill patternType="solid">
        <fgColor rgb="FF92D050"/>
        <bgColor rgb="FF92D050"/>
      </patternFill>
    </fill>
    <fill>
      <patternFill patternType="solid">
        <fgColor rgb="FFFEF1CC"/>
        <bgColor rgb="FFFEF1CC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8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7" fillId="0" borderId="2" xfId="0" applyFont="1" applyBorder="1"/>
    <xf numFmtId="164" fontId="11" fillId="7" borderId="8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7" fillId="0" borderId="12" xfId="0" applyFont="1" applyBorder="1"/>
    <xf numFmtId="0" fontId="4" fillId="6" borderId="11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12" borderId="11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4" fillId="0" borderId="0" xfId="0" applyFont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14" borderId="13" xfId="0" applyFont="1" applyFill="1" applyBorder="1" applyAlignment="1">
      <alignment vertical="center"/>
    </xf>
    <xf numFmtId="0" fontId="17" fillId="15" borderId="8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16" borderId="6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8" fillId="0" borderId="0" xfId="0" applyFont="1"/>
    <xf numFmtId="0" fontId="4" fillId="0" borderId="1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0" fontId="18" fillId="12" borderId="10" xfId="0" applyFont="1" applyFill="1" applyBorder="1" applyAlignment="1">
      <alignment horizontal="center" vertical="center"/>
    </xf>
    <xf numFmtId="0" fontId="18" fillId="12" borderId="12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7" fillId="0" borderId="11" xfId="0" applyFont="1" applyBorder="1"/>
    <xf numFmtId="0" fontId="21" fillId="0" borderId="10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17" fillId="2" borderId="0" xfId="0" applyFont="1" applyFill="1"/>
    <xf numFmtId="0" fontId="4" fillId="17" borderId="11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2" fillId="2" borderId="9" xfId="0" applyFont="1" applyFill="1" applyBorder="1" applyAlignment="1">
      <alignment vertic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/>
    <xf numFmtId="0" fontId="19" fillId="0" borderId="0" xfId="0" applyFont="1"/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164" fontId="22" fillId="8" borderId="8" xfId="0" applyNumberFormat="1" applyFont="1" applyFill="1" applyBorder="1" applyAlignment="1">
      <alignment horizontal="center" vertical="center" wrapText="1"/>
    </xf>
    <xf numFmtId="164" fontId="22" fillId="7" borderId="8" xfId="0" applyNumberFormat="1" applyFont="1" applyFill="1" applyBorder="1" applyAlignment="1">
      <alignment horizontal="center" vertical="center" wrapText="1"/>
    </xf>
    <xf numFmtId="164" fontId="22" fillId="18" borderId="8" xfId="0" applyNumberFormat="1" applyFont="1" applyFill="1" applyBorder="1" applyAlignment="1">
      <alignment horizontal="center" vertical="center" wrapText="1"/>
    </xf>
    <xf numFmtId="164" fontId="22" fillId="16" borderId="8" xfId="0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23" fillId="0" borderId="12" xfId="0" applyFont="1" applyBorder="1"/>
    <xf numFmtId="14" fontId="16" fillId="10" borderId="6" xfId="0" applyNumberFormat="1" applyFont="1" applyFill="1" applyBorder="1" applyAlignment="1">
      <alignment horizontal="center" vertical="center" wrapText="1"/>
    </xf>
    <xf numFmtId="14" fontId="16" fillId="10" borderId="7" xfId="0" applyNumberFormat="1" applyFont="1" applyFill="1" applyBorder="1" applyAlignment="1">
      <alignment horizontal="center" vertical="center" wrapText="1"/>
    </xf>
    <xf numFmtId="166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66" fontId="19" fillId="0" borderId="8" xfId="0" applyNumberFormat="1" applyFont="1" applyBorder="1" applyAlignment="1">
      <alignment vertical="center"/>
    </xf>
    <xf numFmtId="166" fontId="19" fillId="0" borderId="11" xfId="0" applyNumberFormat="1" applyFont="1" applyBorder="1" applyAlignment="1">
      <alignment horizontal="right" vertical="center"/>
    </xf>
    <xf numFmtId="166" fontId="19" fillId="0" borderId="11" xfId="0" applyNumberFormat="1" applyFont="1" applyBorder="1" applyAlignment="1">
      <alignment horizontal="center" vertical="center"/>
    </xf>
    <xf numFmtId="166" fontId="19" fillId="0" borderId="11" xfId="0" applyNumberFormat="1" applyFont="1" applyBorder="1" applyAlignment="1">
      <alignment vertical="center"/>
    </xf>
    <xf numFmtId="166" fontId="19" fillId="2" borderId="11" xfId="0" applyNumberFormat="1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/>
    </xf>
    <xf numFmtId="14" fontId="16" fillId="10" borderId="8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6" fontId="19" fillId="0" borderId="6" xfId="0" applyNumberFormat="1" applyFont="1" applyBorder="1" applyAlignment="1">
      <alignment horizontal="center" vertical="center"/>
    </xf>
    <xf numFmtId="166" fontId="25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6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6" fontId="25" fillId="0" borderId="15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66" fontId="19" fillId="0" borderId="15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right" vertical="center"/>
    </xf>
    <xf numFmtId="14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4" fontId="1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7" fillId="0" borderId="0" xfId="0" applyFont="1" applyAlignment="1">
      <alignment horizontal="right" vertical="center"/>
    </xf>
    <xf numFmtId="14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4" fontId="24" fillId="0" borderId="0" xfId="0" applyNumberFormat="1" applyFont="1"/>
    <xf numFmtId="166" fontId="19" fillId="0" borderId="10" xfId="0" applyNumberFormat="1" applyFont="1" applyBorder="1" applyAlignment="1">
      <alignment horizontal="center" vertical="center"/>
    </xf>
    <xf numFmtId="166" fontId="19" fillId="0" borderId="10" xfId="0" applyNumberFormat="1" applyFont="1" applyBorder="1" applyAlignment="1">
      <alignment horizontal="right" vertical="center"/>
    </xf>
    <xf numFmtId="166" fontId="19" fillId="0" borderId="4" xfId="0" applyNumberFormat="1" applyFont="1" applyBorder="1" applyAlignment="1">
      <alignment horizontal="right" vertical="center"/>
    </xf>
    <xf numFmtId="166" fontId="19" fillId="0" borderId="6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66" fontId="19" fillId="0" borderId="6" xfId="0" applyNumberFormat="1" applyFont="1" applyBorder="1" applyAlignment="1">
      <alignment horizontal="right" vertical="center"/>
    </xf>
    <xf numFmtId="164" fontId="22" fillId="19" borderId="8" xfId="0" applyNumberFormat="1" applyFont="1" applyFill="1" applyBorder="1" applyAlignment="1">
      <alignment horizontal="center" vertical="center" wrapText="1"/>
    </xf>
    <xf numFmtId="166" fontId="1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7" fillId="0" borderId="11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8" fillId="0" borderId="0" xfId="1" applyFont="1"/>
    <xf numFmtId="0" fontId="31" fillId="9" borderId="9" xfId="0" applyFont="1" applyFill="1" applyBorder="1" applyAlignment="1">
      <alignment horizontal="center" vertical="center" wrapText="1"/>
    </xf>
    <xf numFmtId="14" fontId="33" fillId="10" borderId="6" xfId="0" applyNumberFormat="1" applyFont="1" applyFill="1" applyBorder="1" applyAlignment="1">
      <alignment horizontal="center" vertical="center" wrapText="1"/>
    </xf>
    <xf numFmtId="164" fontId="32" fillId="7" borderId="8" xfId="0" applyNumberFormat="1" applyFont="1" applyFill="1" applyBorder="1" applyAlignment="1">
      <alignment horizontal="center" vertical="center" wrapText="1"/>
    </xf>
    <xf numFmtId="164" fontId="32" fillId="8" borderId="8" xfId="0" applyNumberFormat="1" applyFont="1" applyFill="1" applyBorder="1" applyAlignment="1">
      <alignment horizontal="center" vertical="center" wrapText="1"/>
    </xf>
    <xf numFmtId="0" fontId="31" fillId="9" borderId="11" xfId="0" applyFont="1" applyFill="1" applyBorder="1" applyAlignment="1">
      <alignment horizontal="center" vertical="center" wrapText="1"/>
    </xf>
    <xf numFmtId="0" fontId="33" fillId="10" borderId="6" xfId="0" applyFont="1" applyFill="1" applyBorder="1" applyAlignment="1">
      <alignment horizontal="center" vertical="center" wrapText="1"/>
    </xf>
    <xf numFmtId="14" fontId="33" fillId="10" borderId="7" xfId="0" applyNumberFormat="1" applyFont="1" applyFill="1" applyBorder="1" applyAlignment="1">
      <alignment horizontal="center" vertical="center" wrapText="1"/>
    </xf>
    <xf numFmtId="14" fontId="33" fillId="10" borderId="8" xfId="0" applyNumberFormat="1" applyFont="1" applyFill="1" applyBorder="1" applyAlignment="1">
      <alignment horizontal="center" vertical="center" wrapText="1"/>
    </xf>
    <xf numFmtId="0" fontId="33" fillId="10" borderId="11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11" borderId="11" xfId="0" applyFont="1" applyFill="1" applyBorder="1" applyAlignment="1">
      <alignment horizontal="center" vertical="center"/>
    </xf>
    <xf numFmtId="166" fontId="26" fillId="0" borderId="8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6" fontId="26" fillId="0" borderId="8" xfId="0" applyNumberFormat="1" applyFont="1" applyBorder="1" applyAlignment="1">
      <alignment vertical="center"/>
    </xf>
    <xf numFmtId="0" fontId="26" fillId="0" borderId="8" xfId="0" applyFont="1" applyBorder="1" applyAlignment="1">
      <alignment vertical="center"/>
    </xf>
    <xf numFmtId="166" fontId="26" fillId="0" borderId="11" xfId="0" applyNumberFormat="1" applyFont="1" applyBorder="1" applyAlignment="1">
      <alignment horizontal="right" vertical="center"/>
    </xf>
    <xf numFmtId="0" fontId="26" fillId="0" borderId="11" xfId="0" applyFont="1" applyBorder="1" applyAlignment="1">
      <alignment vertical="center"/>
    </xf>
    <xf numFmtId="166" fontId="26" fillId="0" borderId="11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right" vertical="center"/>
    </xf>
    <xf numFmtId="166" fontId="26" fillId="0" borderId="11" xfId="0" applyNumberFormat="1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12" borderId="11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166" fontId="26" fillId="0" borderId="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66" fontId="26" fillId="0" borderId="4" xfId="0" applyNumberFormat="1" applyFont="1" applyBorder="1" applyAlignment="1">
      <alignment horizontal="right" vertical="center"/>
    </xf>
    <xf numFmtId="0" fontId="27" fillId="12" borderId="9" xfId="0" applyFont="1" applyFill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6" fontId="26" fillId="0" borderId="10" xfId="0" applyNumberFormat="1" applyFont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166" fontId="26" fillId="0" borderId="6" xfId="0" applyNumberFormat="1" applyFont="1" applyBorder="1" applyAlignment="1">
      <alignment horizontal="right" vertical="center"/>
    </xf>
    <xf numFmtId="166" fontId="26" fillId="0" borderId="10" xfId="0" applyNumberFormat="1" applyFont="1" applyBorder="1" applyAlignment="1">
      <alignment horizontal="right" vertical="center"/>
    </xf>
    <xf numFmtId="0" fontId="27" fillId="12" borderId="1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36" fillId="0" borderId="0" xfId="0" applyNumberFormat="1" applyFont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/>
    <xf numFmtId="166" fontId="26" fillId="0" borderId="0" xfId="0" applyNumberFormat="1" applyFont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27" fillId="14" borderId="10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/>
    </xf>
    <xf numFmtId="0" fontId="27" fillId="12" borderId="12" xfId="0" applyFont="1" applyFill="1" applyBorder="1" applyAlignment="1">
      <alignment horizontal="center" vertical="center"/>
    </xf>
    <xf numFmtId="166" fontId="27" fillId="0" borderId="6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7" fillId="14" borderId="3" xfId="0" applyFont="1" applyFill="1" applyBorder="1" applyAlignment="1">
      <alignment horizontal="center" vertical="center"/>
    </xf>
    <xf numFmtId="0" fontId="27" fillId="12" borderId="3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166" fontId="26" fillId="0" borderId="15" xfId="0" applyNumberFormat="1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166" fontId="27" fillId="0" borderId="15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66" fontId="26" fillId="0" borderId="15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164" fontId="32" fillId="16" borderId="8" xfId="0" applyNumberFormat="1" applyFont="1" applyFill="1" applyBorder="1" applyAlignment="1">
      <alignment horizontal="center" vertical="center" wrapText="1"/>
    </xf>
    <xf numFmtId="0" fontId="18" fillId="12" borderId="9" xfId="0" applyFont="1" applyFill="1" applyBorder="1" applyAlignment="1">
      <alignment horizontal="center" vertical="center" wrapText="1"/>
    </xf>
    <xf numFmtId="166" fontId="24" fillId="0" borderId="6" xfId="0" applyNumberFormat="1" applyFont="1" applyBorder="1" applyAlignment="1">
      <alignment horizontal="center"/>
    </xf>
    <xf numFmtId="166" fontId="36" fillId="0" borderId="6" xfId="0" applyNumberFormat="1" applyFont="1" applyBorder="1" applyAlignment="1">
      <alignment horizontal="center"/>
    </xf>
    <xf numFmtId="164" fontId="32" fillId="19" borderId="8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31" fillId="3" borderId="2" xfId="0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4" fillId="0" borderId="8" xfId="0" applyFont="1" applyBorder="1"/>
    <xf numFmtId="0" fontId="29" fillId="3" borderId="5" xfId="0" applyFont="1" applyFill="1" applyBorder="1" applyAlignment="1">
      <alignment horizontal="center" vertical="center" wrapText="1"/>
    </xf>
    <xf numFmtId="0" fontId="30" fillId="0" borderId="8" xfId="0" applyFont="1" applyBorder="1"/>
    <xf numFmtId="14" fontId="33" fillId="10" borderId="6" xfId="0" applyNumberFormat="1" applyFont="1" applyFill="1" applyBorder="1" applyAlignment="1">
      <alignment horizontal="center" vertical="center" wrapText="1"/>
    </xf>
    <xf numFmtId="14" fontId="33" fillId="10" borderId="12" xfId="0" applyNumberFormat="1" applyFont="1" applyFill="1" applyBorder="1" applyAlignment="1">
      <alignment horizontal="center" vertical="center" wrapText="1"/>
    </xf>
    <xf numFmtId="14" fontId="33" fillId="10" borderId="10" xfId="0" applyNumberFormat="1" applyFont="1" applyFill="1" applyBorder="1" applyAlignment="1">
      <alignment horizontal="center" vertical="center" wrapText="1"/>
    </xf>
    <xf numFmtId="0" fontId="33" fillId="10" borderId="9" xfId="0" applyFont="1" applyFill="1" applyBorder="1" applyAlignment="1">
      <alignment horizontal="center" vertical="center" wrapText="1"/>
    </xf>
    <xf numFmtId="0" fontId="33" fillId="10" borderId="12" xfId="0" applyFont="1" applyFill="1" applyBorder="1" applyAlignment="1">
      <alignment horizontal="center" vertical="center" wrapText="1"/>
    </xf>
    <xf numFmtId="0" fontId="33" fillId="10" borderId="10" xfId="0" applyFont="1" applyFill="1" applyBorder="1" applyAlignment="1">
      <alignment horizontal="center" vertical="center" wrapText="1"/>
    </xf>
    <xf numFmtId="0" fontId="33" fillId="13" borderId="4" xfId="0" applyFont="1" applyFill="1" applyBorder="1" applyAlignment="1">
      <alignment horizontal="center" vertical="center" wrapText="1"/>
    </xf>
    <xf numFmtId="0" fontId="33" fillId="13" borderId="8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2" fillId="5" borderId="6" xfId="0" applyFont="1" applyFill="1" applyBorder="1" applyAlignment="1">
      <alignment horizontal="center" vertical="center"/>
    </xf>
    <xf numFmtId="164" fontId="33" fillId="4" borderId="3" xfId="0" applyNumberFormat="1" applyFont="1" applyFill="1" applyBorder="1" applyAlignment="1">
      <alignment horizontal="center" vertical="center" wrapText="1"/>
    </xf>
    <xf numFmtId="164" fontId="33" fillId="4" borderId="8" xfId="0" applyNumberFormat="1" applyFont="1" applyFill="1" applyBorder="1" applyAlignment="1">
      <alignment horizontal="center" vertical="center" wrapText="1"/>
    </xf>
    <xf numFmtId="164" fontId="33" fillId="3" borderId="4" xfId="0" applyNumberFormat="1" applyFont="1" applyFill="1" applyBorder="1" applyAlignment="1">
      <alignment horizontal="center" vertical="center" wrapText="1"/>
    </xf>
    <xf numFmtId="164" fontId="33" fillId="3" borderId="8" xfId="0" applyNumberFormat="1" applyFont="1" applyFill="1" applyBorder="1" applyAlignment="1">
      <alignment horizontal="center" vertical="center" wrapText="1"/>
    </xf>
    <xf numFmtId="0" fontId="31" fillId="9" borderId="9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165" fontId="35" fillId="0" borderId="9" xfId="0" applyNumberFormat="1" applyFont="1" applyBorder="1" applyAlignment="1">
      <alignment horizontal="center" vertical="center"/>
    </xf>
    <xf numFmtId="165" fontId="35" fillId="0" borderId="10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27" fillId="2" borderId="9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14" fillId="13" borderId="4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14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64" fontId="14" fillId="3" borderId="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164" fontId="14" fillId="3" borderId="8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4" fillId="4" borderId="8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14" fontId="14" fillId="10" borderId="6" xfId="0" applyNumberFormat="1" applyFont="1" applyFill="1" applyBorder="1" applyAlignment="1">
      <alignment horizontal="center" vertical="center" wrapText="1"/>
    </xf>
    <xf numFmtId="14" fontId="16" fillId="10" borderId="6" xfId="0" applyNumberFormat="1" applyFont="1" applyFill="1" applyBorder="1" applyAlignment="1">
      <alignment horizontal="center" vertical="center" wrapText="1"/>
    </xf>
    <xf numFmtId="14" fontId="14" fillId="10" borderId="12" xfId="0" applyNumberFormat="1" applyFont="1" applyFill="1" applyBorder="1" applyAlignment="1">
      <alignment horizontal="center" vertical="center" wrapText="1"/>
    </xf>
    <xf numFmtId="14" fontId="16" fillId="10" borderId="1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53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u val="none"/>
        <sz val="11"/>
        <color rgb="FF000000"/>
        <name val="Arial"/>
        <scheme val="none"/>
      </font>
    </dxf>
    <dxf>
      <font>
        <b val="0"/>
        <i val="0"/>
        <strike val="0"/>
        <u val="none"/>
        <sz val="11"/>
        <color rgb="FF000000"/>
        <name val="Arial"/>
        <scheme val="none"/>
      </font>
    </dxf>
    <dxf>
      <font>
        <b val="0"/>
        <i val="0"/>
        <strike val="0"/>
        <u val="none"/>
        <sz val="11"/>
        <color rgb="FF000000"/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8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0000000-0016-0000-1F00-000000000000}" autoFormatId="16" applyNumberFormats="0" applyBorderFormats="0" applyFontFormats="1" applyPatternFormats="1" applyAlignmentFormats="0" applyWidthHeightFormats="0">
  <queryTableRefresh nextId="34">
    <queryTableFields count="33">
      <queryTableField id="1" name="Nama Test" tableColumnId="24"/>
      <queryTableField id="2" name="1" tableColumnId="1"/>
      <queryTableField id="3" name="2" tableColumnId="2"/>
      <queryTableField id="4" name="3" tableColumnId="3"/>
      <queryTableField id="5" name="4" tableColumnId="4"/>
      <queryTableField id="6" name="5" tableColumnId="5"/>
      <queryTableField id="7" name="6" tableColumnId="6"/>
      <queryTableField id="8" name="7" tableColumnId="7"/>
      <queryTableField id="9" name="8" tableColumnId="8"/>
      <queryTableField id="10" name="9" tableColumnId="9"/>
      <queryTableField id="11" name="10" tableColumnId="10"/>
      <queryTableField id="12" name="11" tableColumnId="11"/>
      <queryTableField id="13" name="12" tableColumnId="12"/>
      <queryTableField id="14" name="13" tableColumnId="13"/>
      <queryTableField id="15" name="14" tableColumnId="14"/>
      <queryTableField id="16" name="15" tableColumnId="15"/>
      <queryTableField id="17" name="16" tableColumnId="16"/>
      <queryTableField id="18" name="17" tableColumnId="17"/>
      <queryTableField id="19" name="18" tableColumnId="18"/>
      <queryTableField id="20" name="19" tableColumnId="19"/>
      <queryTableField id="21" name="20" tableColumnId="20"/>
      <queryTableField id="22" name="21" tableColumnId="21"/>
      <queryTableField id="23" name="22" tableColumnId="22"/>
      <queryTableField id="24" name="23" tableColumnId="23"/>
      <queryTableField id="25" name="24" tableColumnId="25"/>
      <queryTableField id="26" name="25" tableColumnId="26"/>
      <queryTableField id="27" name="26" tableColumnId="27"/>
      <queryTableField id="28" name="27" tableColumnId="28"/>
      <queryTableField id="29" name="28" tableColumnId="29"/>
      <queryTableField id="30" name="29" tableColumnId="30"/>
      <queryTableField id="31" name="30" tableColumnId="31"/>
      <queryTableField id="32" name="31" tableColumnId="32"/>
      <queryTableField id="33" name="Total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00000000-0016-0000-2200-000001000000}" autoFormatId="16" applyNumberFormats="0" applyBorderFormats="0" applyFontFormats="0" applyPatternFormats="0" applyAlignmentFormats="0" applyWidthHeightFormats="0">
  <queryTableRefresh nextId="34">
    <queryTableFields count="33">
      <queryTableField id="1" name="Nama Test" tableColumnId="1"/>
      <queryTableField id="2" name="1" tableColumnId="2"/>
      <queryTableField id="3" name="2" tableColumnId="3"/>
      <queryTableField id="4" name="3" tableColumnId="4"/>
      <queryTableField id="5" name="4" tableColumnId="5"/>
      <queryTableField id="6" name="5" tableColumnId="6"/>
      <queryTableField id="7" name="6" tableColumnId="7"/>
      <queryTableField id="8" name="7" tableColumnId="8"/>
      <queryTableField id="9" name="8" tableColumnId="9"/>
      <queryTableField id="10" name="9" tableColumnId="10"/>
      <queryTableField id="11" name="10" tableColumnId="11"/>
      <queryTableField id="12" name="11" tableColumnId="12"/>
      <queryTableField id="13" name="12" tableColumnId="13"/>
      <queryTableField id="14" name="13" tableColumnId="14"/>
      <queryTableField id="15" name="14" tableColumnId="15"/>
      <queryTableField id="16" name="15" tableColumnId="16"/>
      <queryTableField id="17" name="16" tableColumnId="17"/>
      <queryTableField id="18" name="17" tableColumnId="18"/>
      <queryTableField id="19" name="18" tableColumnId="19"/>
      <queryTableField id="20" name="19" tableColumnId="20"/>
      <queryTableField id="21" name="20" tableColumnId="21"/>
      <queryTableField id="22" name="21" tableColumnId="22"/>
      <queryTableField id="23" name="22" tableColumnId="23"/>
      <queryTableField id="24" name="23" tableColumnId="24"/>
      <queryTableField id="25" name="24" tableColumnId="25"/>
      <queryTableField id="26" name="25" tableColumnId="26"/>
      <queryTableField id="27" name="26" tableColumnId="27"/>
      <queryTableField id="28" name="27" tableColumnId="28"/>
      <queryTableField id="29" name="28" tableColumnId="29"/>
      <queryTableField id="30" name="29" tableColumnId="30"/>
      <queryTableField id="31" name="30" tableColumnId="31"/>
      <queryTableField id="32" name="31" tableColumnId="32"/>
      <queryTableField id="33" name="Total" tableColumnId="3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00000000-0016-0000-2300-000002000000}" autoFormatId="16" applyNumberFormats="0" applyBorderFormats="0" applyFontFormats="0" applyPatternFormats="0" applyAlignmentFormats="0" applyWidthHeightFormats="0">
  <queryTableRefresh nextId="36">
    <queryTableFields count="35">
      <queryTableField id="1" name="Grup" tableColumnId="1"/>
      <queryTableField id="2" name="Nama Test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  <queryTableField id="13" name="11" tableColumnId="13"/>
      <queryTableField id="14" name="12" tableColumnId="14"/>
      <queryTableField id="15" name="13" tableColumnId="15"/>
      <queryTableField id="16" name="14" tableColumnId="16"/>
      <queryTableField id="17" name="15" tableColumnId="17"/>
      <queryTableField id="18" name="16" tableColumnId="18"/>
      <queryTableField id="19" name="17" tableColumnId="19"/>
      <queryTableField id="20" name="18" tableColumnId="20"/>
      <queryTableField id="21" name="19" tableColumnId="21"/>
      <queryTableField id="22" name="20" tableColumnId="22"/>
      <queryTableField id="23" name="21" tableColumnId="23"/>
      <queryTableField id="24" name="22" tableColumnId="24"/>
      <queryTableField id="25" name="23" tableColumnId="25"/>
      <queryTableField id="26" name="24" tableColumnId="26"/>
      <queryTableField id="27" name="25" tableColumnId="27"/>
      <queryTableField id="28" name="26" tableColumnId="28"/>
      <queryTableField id="29" name="27" tableColumnId="29"/>
      <queryTableField id="30" name="28" tableColumnId="30"/>
      <queryTableField id="31" name="29" tableColumnId="31"/>
      <queryTableField id="32" name="30" tableColumnId="32"/>
      <queryTableField id="33" name="31" tableColumnId="33"/>
      <queryTableField id="34" name="Total" tableColumnId="34"/>
      <queryTableField id="35" name="SourceFile" tableColumnId="3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00000000-0016-0000-2400-000003000000}" autoFormatId="16" applyNumberFormats="0" applyBorderFormats="0" applyFontFormats="1" applyPatternFormats="1" applyAlignmentFormats="0" applyWidthHeightFormats="0">
  <queryTableRefresh nextId="34">
    <queryTableFields count="33">
      <queryTableField id="1" name="Nama Test" tableColumnId="1"/>
      <queryTableField id="2" name="1" tableColumnId="2"/>
      <queryTableField id="3" name="2" tableColumnId="3"/>
      <queryTableField id="4" name="3" tableColumnId="4"/>
      <queryTableField id="5" name="4" tableColumnId="5"/>
      <queryTableField id="6" name="5" tableColumnId="6"/>
      <queryTableField id="7" name="6" tableColumnId="7"/>
      <queryTableField id="8" name="7" tableColumnId="8"/>
      <queryTableField id="9" name="8" tableColumnId="9"/>
      <queryTableField id="10" name="9" tableColumnId="10"/>
      <queryTableField id="11" name="10" tableColumnId="11"/>
      <queryTableField id="12" name="11" tableColumnId="12"/>
      <queryTableField id="13" name="12" tableColumnId="13"/>
      <queryTableField id="14" name="13" tableColumnId="14"/>
      <queryTableField id="15" name="14" tableColumnId="15"/>
      <queryTableField id="16" name="15" tableColumnId="16"/>
      <queryTableField id="17" name="16" tableColumnId="17"/>
      <queryTableField id="18" name="17" tableColumnId="18"/>
      <queryTableField id="19" name="18" tableColumnId="19"/>
      <queryTableField id="20" name="19" tableColumnId="20"/>
      <queryTableField id="21" name="20" tableColumnId="21"/>
      <queryTableField id="22" name="21" tableColumnId="22"/>
      <queryTableField id="23" name="22" tableColumnId="23"/>
      <queryTableField id="24" name="23" tableColumnId="24"/>
      <queryTableField id="25" name="24" tableColumnId="25"/>
      <queryTableField id="26" name="25" tableColumnId="26"/>
      <queryTableField id="27" name="26" tableColumnId="27"/>
      <queryTableField id="28" name="27" tableColumnId="28"/>
      <queryTableField id="29" name="28" tableColumnId="29"/>
      <queryTableField id="30" name="29" tableColumnId="30"/>
      <queryTableField id="31" name="30" tableColumnId="31"/>
      <queryTableField id="32" name="31" tableColumnId="32"/>
      <queryTableField id="33" name="Total" tableColumnId="3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0000000-0016-0000-2500-000004000000}" autoFormatId="16" applyNumberFormats="0" applyBorderFormats="0" applyFontFormats="1" applyPatternFormats="1" applyAlignmentFormats="0" applyWidthHeightFormats="0">
  <queryTableRefresh nextId="36">
    <queryTableFields count="35">
      <queryTableField id="1" name="Grup" tableColumnId="1"/>
      <queryTableField id="2" name="Nama Test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  <queryTableField id="13" name="11" tableColumnId="13"/>
      <queryTableField id="14" name="12" tableColumnId="14"/>
      <queryTableField id="15" name="13" tableColumnId="15"/>
      <queryTableField id="16" name="14" tableColumnId="16"/>
      <queryTableField id="17" name="15" tableColumnId="17"/>
      <queryTableField id="18" name="16" tableColumnId="18"/>
      <queryTableField id="19" name="17" tableColumnId="19"/>
      <queryTableField id="20" name="18" tableColumnId="20"/>
      <queryTableField id="21" name="19" tableColumnId="21"/>
      <queryTableField id="22" name="20" tableColumnId="22"/>
      <queryTableField id="23" name="21" tableColumnId="23"/>
      <queryTableField id="24" name="22" tableColumnId="24"/>
      <queryTableField id="25" name="23" tableColumnId="25"/>
      <queryTableField id="26" name="24" tableColumnId="26"/>
      <queryTableField id="27" name="25" tableColumnId="27"/>
      <queryTableField id="28" name="26" tableColumnId="28"/>
      <queryTableField id="29" name="27" tableColumnId="29"/>
      <queryTableField id="30" name="28" tableColumnId="30"/>
      <queryTableField id="31" name="29" tableColumnId="31"/>
      <queryTableField id="32" name="30" tableColumnId="32"/>
      <queryTableField id="33" name="31" tableColumnId="33"/>
      <queryTableField id="34" name="Total" tableColumnId="34"/>
      <queryTableField id="35" name="SourceFile" tableColumnId="3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0000000-0016-0000-2600-000005000000}" autoFormatId="16" applyNumberFormats="0" applyBorderFormats="0" applyFontFormats="1" applyPatternFormats="1" applyAlignmentFormats="0" applyWidthHeightFormats="0">
  <queryTableRefresh nextId="36">
    <queryTableFields count="35">
      <queryTableField id="1" name="Grup" tableColumnId="1"/>
      <queryTableField id="2" name="Nama Test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  <queryTableField id="13" name="11" tableColumnId="13"/>
      <queryTableField id="14" name="12" tableColumnId="14"/>
      <queryTableField id="15" name="13" tableColumnId="15"/>
      <queryTableField id="16" name="14" tableColumnId="16"/>
      <queryTableField id="17" name="15" tableColumnId="17"/>
      <queryTableField id="18" name="16" tableColumnId="18"/>
      <queryTableField id="19" name="17" tableColumnId="19"/>
      <queryTableField id="20" name="18" tableColumnId="20"/>
      <queryTableField id="21" name="19" tableColumnId="21"/>
      <queryTableField id="22" name="20" tableColumnId="22"/>
      <queryTableField id="23" name="21" tableColumnId="23"/>
      <queryTableField id="24" name="22" tableColumnId="24"/>
      <queryTableField id="25" name="23" tableColumnId="25"/>
      <queryTableField id="26" name="24" tableColumnId="26"/>
      <queryTableField id="27" name="25" tableColumnId="27"/>
      <queryTableField id="28" name="26" tableColumnId="28"/>
      <queryTableField id="29" name="27" tableColumnId="29"/>
      <queryTableField id="30" name="28" tableColumnId="30"/>
      <queryTableField id="31" name="29" tableColumnId="31"/>
      <queryTableField id="32" name="30" tableColumnId="32"/>
      <queryTableField id="33" name="31" tableColumnId="33"/>
      <queryTableField id="34" name="Total" tableColumnId="34"/>
      <queryTableField id="35" name="SourceFile" tableColumnId="3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2800-000006000000}" autoFormatId="16" applyNumberFormats="0" applyBorderFormats="0" applyFontFormats="1" applyPatternFormats="1" applyAlignmentFormats="0" applyWidthHeightFormats="0">
  <queryTableRefresh nextId="4">
    <queryTableFields count="3">
      <queryTableField id="1" name="Nama Test LIS" tableColumnId="1"/>
      <queryTableField id="2" name="Nama Reagen Monitoring" tableColumnId="2"/>
      <queryTableField id="3" name="Status Mapp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PQ_Harian" displayName="PQ_Harian" ref="A1:AG84" tableType="queryTable" totalsRowShown="0">
  <autoFilter ref="A1:AG84" xr:uid="{00000000-0009-0000-0100-000009000000}"/>
  <tableColumns count="33">
    <tableColumn id="24" xr3:uid="{00000000-0010-0000-0000-000018000000}" uniqueName="24" name="Nama Test" queryTableFieldId="1" dataDxfId="52"/>
    <tableColumn id="1" xr3:uid="{00000000-0010-0000-0000-000001000000}" uniqueName="1" name="1" queryTableFieldId="2" dataDxfId="51"/>
    <tableColumn id="2" xr3:uid="{00000000-0010-0000-0000-000002000000}" uniqueName="2" name="2" queryTableFieldId="3"/>
    <tableColumn id="3" xr3:uid="{00000000-0010-0000-0000-000003000000}" uniqueName="3" name="3" queryTableFieldId="4"/>
    <tableColumn id="4" xr3:uid="{00000000-0010-0000-0000-000004000000}" uniqueName="4" name="4" queryTableFieldId="5"/>
    <tableColumn id="5" xr3:uid="{00000000-0010-0000-0000-000005000000}" uniqueName="5" name="5" queryTableFieldId="6"/>
    <tableColumn id="6" xr3:uid="{00000000-0010-0000-0000-000006000000}" uniqueName="6" name="6" queryTableFieldId="7"/>
    <tableColumn id="7" xr3:uid="{00000000-0010-0000-0000-000007000000}" uniqueName="7" name="7" queryTableFieldId="8"/>
    <tableColumn id="8" xr3:uid="{00000000-0010-0000-0000-000008000000}" uniqueName="8" name="8" queryTableFieldId="9"/>
    <tableColumn id="9" xr3:uid="{00000000-0010-0000-0000-000009000000}" uniqueName="9" name="9" queryTableFieldId="10" dataDxfId="50"/>
    <tableColumn id="10" xr3:uid="{00000000-0010-0000-0000-00000A000000}" uniqueName="10" name="10" queryTableFieldId="11"/>
    <tableColumn id="11" xr3:uid="{00000000-0010-0000-0000-00000B000000}" uniqueName="11" name="11" queryTableFieldId="12"/>
    <tableColumn id="12" xr3:uid="{00000000-0010-0000-0000-00000C000000}" uniqueName="12" name="12" queryTableFieldId="13"/>
    <tableColumn id="13" xr3:uid="{00000000-0010-0000-0000-00000D000000}" uniqueName="13" name="13" queryTableFieldId="14"/>
    <tableColumn id="14" xr3:uid="{00000000-0010-0000-0000-00000E000000}" uniqueName="14" name="14" queryTableFieldId="15"/>
    <tableColumn id="15" xr3:uid="{00000000-0010-0000-0000-00000F000000}" uniqueName="15" name="15" queryTableFieldId="16"/>
    <tableColumn id="16" xr3:uid="{00000000-0010-0000-0000-000010000000}" uniqueName="16" name="16" queryTableFieldId="17"/>
    <tableColumn id="17" xr3:uid="{00000000-0010-0000-0000-000011000000}" uniqueName="17" name="17" queryTableFieldId="18"/>
    <tableColumn id="18" xr3:uid="{00000000-0010-0000-0000-000012000000}" uniqueName="18" name="18" queryTableFieldId="19"/>
    <tableColumn id="19" xr3:uid="{00000000-0010-0000-0000-000013000000}" uniqueName="19" name="19" queryTableFieldId="20"/>
    <tableColumn id="20" xr3:uid="{00000000-0010-0000-0000-000014000000}" uniqueName="20" name="20" queryTableFieldId="21"/>
    <tableColumn id="21" xr3:uid="{00000000-0010-0000-0000-000015000000}" uniqueName="21" name="21" queryTableFieldId="22"/>
    <tableColumn id="22" xr3:uid="{00000000-0010-0000-0000-000016000000}" uniqueName="22" name="22" queryTableFieldId="23"/>
    <tableColumn id="23" xr3:uid="{00000000-0010-0000-0000-000017000000}" uniqueName="23" name="23" queryTableFieldId="24"/>
    <tableColumn id="25" xr3:uid="{00000000-0010-0000-0000-000019000000}" uniqueName="25" name="24" queryTableFieldId="25"/>
    <tableColumn id="26" xr3:uid="{00000000-0010-0000-0000-00001A000000}" uniqueName="26" name="25" queryTableFieldId="26"/>
    <tableColumn id="27" xr3:uid="{00000000-0010-0000-0000-00001B000000}" uniqueName="27" name="26" queryTableFieldId="27"/>
    <tableColumn id="28" xr3:uid="{00000000-0010-0000-0000-00001C000000}" uniqueName="28" name="27" queryTableFieldId="28"/>
    <tableColumn id="29" xr3:uid="{00000000-0010-0000-0000-00001D000000}" uniqueName="29" name="28" queryTableFieldId="29"/>
    <tableColumn id="30" xr3:uid="{00000000-0010-0000-0000-00001E000000}" uniqueName="30" name="29" queryTableFieldId="30"/>
    <tableColumn id="31" xr3:uid="{00000000-0010-0000-0000-00001F000000}" uniqueName="31" name="30" queryTableFieldId="31"/>
    <tableColumn id="32" xr3:uid="{00000000-0010-0000-0000-000020000000}" uniqueName="32" name="31" queryTableFieldId="32"/>
    <tableColumn id="33" xr3:uid="{00000000-0010-0000-0000-000021000000}" uniqueName="33" name="Total" queryTableFieldId="33" dataDxf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PQ_Aug" displayName="PQ_Aug" ref="A1:AG102" tableType="queryTable" totalsRowShown="0">
  <autoFilter ref="A1:AG102" xr:uid="{00000000-0009-0000-0100-000007000000}"/>
  <tableColumns count="33">
    <tableColumn id="1" xr3:uid="{00000000-0010-0000-0100-000001000000}" uniqueName="1" name="Nama Test" queryTableFieldId="1" dataDxfId="48"/>
    <tableColumn id="2" xr3:uid="{00000000-0010-0000-0100-000002000000}" uniqueName="2" name="1" queryTableFieldId="2"/>
    <tableColumn id="3" xr3:uid="{00000000-0010-0000-0100-000003000000}" uniqueName="3" name="2" queryTableFieldId="3"/>
    <tableColumn id="4" xr3:uid="{00000000-0010-0000-0100-000004000000}" uniqueName="4" name="3" queryTableFieldId="4"/>
    <tableColumn id="5" xr3:uid="{00000000-0010-0000-0100-000005000000}" uniqueName="5" name="4" queryTableFieldId="5"/>
    <tableColumn id="6" xr3:uid="{00000000-0010-0000-0100-000006000000}" uniqueName="6" name="5" queryTableFieldId="6"/>
    <tableColumn id="7" xr3:uid="{00000000-0010-0000-0100-000007000000}" uniqueName="7" name="6" queryTableFieldId="7"/>
    <tableColumn id="8" xr3:uid="{00000000-0010-0000-0100-000008000000}" uniqueName="8" name="7" queryTableFieldId="8"/>
    <tableColumn id="9" xr3:uid="{00000000-0010-0000-0100-000009000000}" uniqueName="9" name="8" queryTableFieldId="9"/>
    <tableColumn id="10" xr3:uid="{00000000-0010-0000-0100-00000A000000}" uniqueName="10" name="9" queryTableFieldId="10"/>
    <tableColumn id="11" xr3:uid="{00000000-0010-0000-0100-00000B000000}" uniqueName="11" name="10" queryTableFieldId="11"/>
    <tableColumn id="12" xr3:uid="{00000000-0010-0000-0100-00000C000000}" uniqueName="12" name="11" queryTableFieldId="12"/>
    <tableColumn id="13" xr3:uid="{00000000-0010-0000-0100-00000D000000}" uniqueName="13" name="12" queryTableFieldId="13"/>
    <tableColumn id="14" xr3:uid="{00000000-0010-0000-0100-00000E000000}" uniqueName="14" name="13" queryTableFieldId="14"/>
    <tableColumn id="15" xr3:uid="{00000000-0010-0000-0100-00000F000000}" uniqueName="15" name="14" queryTableFieldId="15"/>
    <tableColumn id="16" xr3:uid="{00000000-0010-0000-0100-000010000000}" uniqueName="16" name="15" queryTableFieldId="16"/>
    <tableColumn id="17" xr3:uid="{00000000-0010-0000-0100-000011000000}" uniqueName="17" name="16" queryTableFieldId="17"/>
    <tableColumn id="18" xr3:uid="{00000000-0010-0000-0100-000012000000}" uniqueName="18" name="17" queryTableFieldId="18"/>
    <tableColumn id="19" xr3:uid="{00000000-0010-0000-0100-000013000000}" uniqueName="19" name="18" queryTableFieldId="19"/>
    <tableColumn id="20" xr3:uid="{00000000-0010-0000-0100-000014000000}" uniqueName="20" name="19" queryTableFieldId="20"/>
    <tableColumn id="21" xr3:uid="{00000000-0010-0000-0100-000015000000}" uniqueName="21" name="20" queryTableFieldId="21"/>
    <tableColumn id="22" xr3:uid="{00000000-0010-0000-0100-000016000000}" uniqueName="22" name="21" queryTableFieldId="22"/>
    <tableColumn id="23" xr3:uid="{00000000-0010-0000-0100-000017000000}" uniqueName="23" name="22" queryTableFieldId="23"/>
    <tableColumn id="24" xr3:uid="{00000000-0010-0000-0100-000018000000}" uniqueName="24" name="23" queryTableFieldId="24"/>
    <tableColumn id="25" xr3:uid="{00000000-0010-0000-0100-000019000000}" uniqueName="25" name="24" queryTableFieldId="25"/>
    <tableColumn id="26" xr3:uid="{00000000-0010-0000-0100-00001A000000}" uniqueName="26" name="25" queryTableFieldId="26"/>
    <tableColumn id="27" xr3:uid="{00000000-0010-0000-0100-00001B000000}" uniqueName="27" name="26" queryTableFieldId="27"/>
    <tableColumn id="28" xr3:uid="{00000000-0010-0000-0100-00001C000000}" uniqueName="28" name="27" queryTableFieldId="28"/>
    <tableColumn id="29" xr3:uid="{00000000-0010-0000-0100-00001D000000}" uniqueName="29" name="28" queryTableFieldId="29"/>
    <tableColumn id="30" xr3:uid="{00000000-0010-0000-0100-00001E000000}" uniqueName="30" name="29" queryTableFieldId="30"/>
    <tableColumn id="31" xr3:uid="{00000000-0010-0000-0100-00001F000000}" uniqueName="31" name="30" queryTableFieldId="31"/>
    <tableColumn id="32" xr3:uid="{00000000-0010-0000-0100-000020000000}" uniqueName="32" name="31" queryTableFieldId="32"/>
    <tableColumn id="33" xr3:uid="{00000000-0010-0000-0100-000021000000}" uniqueName="33" name="Total" queryTableField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LIS_Aug" displayName="LIS_Aug" ref="A1:AI115" tableType="queryTable" totalsRowShown="0">
  <autoFilter ref="A1:AI115" xr:uid="{00000000-0009-0000-0100-000006000000}"/>
  <tableColumns count="35">
    <tableColumn id="1" xr3:uid="{00000000-0010-0000-0200-000001000000}" uniqueName="1" name="Grup" queryTableFieldId="1" dataDxfId="47"/>
    <tableColumn id="2" xr3:uid="{00000000-0010-0000-0200-000002000000}" uniqueName="2" name="Nama Test" queryTableFieldId="2" dataDxfId="46"/>
    <tableColumn id="3" xr3:uid="{00000000-0010-0000-0200-000003000000}" uniqueName="3" name="1" queryTableFieldId="3"/>
    <tableColumn id="4" xr3:uid="{00000000-0010-0000-0200-000004000000}" uniqueName="4" name="2" queryTableFieldId="4"/>
    <tableColumn id="5" xr3:uid="{00000000-0010-0000-0200-000005000000}" uniqueName="5" name="3" queryTableFieldId="5"/>
    <tableColumn id="6" xr3:uid="{00000000-0010-0000-0200-000006000000}" uniqueName="6" name="4" queryTableFieldId="6"/>
    <tableColumn id="7" xr3:uid="{00000000-0010-0000-0200-000007000000}" uniqueName="7" name="5" queryTableFieldId="7"/>
    <tableColumn id="8" xr3:uid="{00000000-0010-0000-0200-000008000000}" uniqueName="8" name="6" queryTableFieldId="8"/>
    <tableColumn id="9" xr3:uid="{00000000-0010-0000-0200-000009000000}" uniqueName="9" name="7" queryTableFieldId="9"/>
    <tableColumn id="10" xr3:uid="{00000000-0010-0000-0200-00000A000000}" uniqueName="10" name="8" queryTableFieldId="10"/>
    <tableColumn id="11" xr3:uid="{00000000-0010-0000-0200-00000B000000}" uniqueName="11" name="9" queryTableFieldId="11"/>
    <tableColumn id="12" xr3:uid="{00000000-0010-0000-0200-00000C000000}" uniqueName="12" name="10" queryTableFieldId="12"/>
    <tableColumn id="13" xr3:uid="{00000000-0010-0000-0200-00000D000000}" uniqueName="13" name="11" queryTableFieldId="13"/>
    <tableColumn id="14" xr3:uid="{00000000-0010-0000-0200-00000E000000}" uniqueName="14" name="12" queryTableFieldId="14"/>
    <tableColumn id="15" xr3:uid="{00000000-0010-0000-0200-00000F000000}" uniqueName="15" name="13" queryTableFieldId="15"/>
    <tableColumn id="16" xr3:uid="{00000000-0010-0000-0200-000010000000}" uniqueName="16" name="14" queryTableFieldId="16"/>
    <tableColumn id="17" xr3:uid="{00000000-0010-0000-0200-000011000000}" uniqueName="17" name="15" queryTableFieldId="17"/>
    <tableColumn id="18" xr3:uid="{00000000-0010-0000-0200-000012000000}" uniqueName="18" name="16" queryTableFieldId="18"/>
    <tableColumn id="19" xr3:uid="{00000000-0010-0000-0200-000013000000}" uniqueName="19" name="17" queryTableFieldId="19"/>
    <tableColumn id="20" xr3:uid="{00000000-0010-0000-0200-000014000000}" uniqueName="20" name="18" queryTableFieldId="20"/>
    <tableColumn id="21" xr3:uid="{00000000-0010-0000-0200-000015000000}" uniqueName="21" name="19" queryTableFieldId="21"/>
    <tableColumn id="22" xr3:uid="{00000000-0010-0000-0200-000016000000}" uniqueName="22" name="20" queryTableFieldId="22"/>
    <tableColumn id="23" xr3:uid="{00000000-0010-0000-0200-000017000000}" uniqueName="23" name="21" queryTableFieldId="23"/>
    <tableColumn id="24" xr3:uid="{00000000-0010-0000-0200-000018000000}" uniqueName="24" name="22" queryTableFieldId="24"/>
    <tableColumn id="25" xr3:uid="{00000000-0010-0000-0200-000019000000}" uniqueName="25" name="23" queryTableFieldId="25"/>
    <tableColumn id="26" xr3:uid="{00000000-0010-0000-0200-00001A000000}" uniqueName="26" name="24" queryTableFieldId="26"/>
    <tableColumn id="27" xr3:uid="{00000000-0010-0000-0200-00001B000000}" uniqueName="27" name="25" queryTableFieldId="27"/>
    <tableColumn id="28" xr3:uid="{00000000-0010-0000-0200-00001C000000}" uniqueName="28" name="26" queryTableFieldId="28"/>
    <tableColumn id="29" xr3:uid="{00000000-0010-0000-0200-00001D000000}" uniqueName="29" name="27" queryTableFieldId="29"/>
    <tableColumn id="30" xr3:uid="{00000000-0010-0000-0200-00001E000000}" uniqueName="30" name="28" queryTableFieldId="30"/>
    <tableColumn id="31" xr3:uid="{00000000-0010-0000-0200-00001F000000}" uniqueName="31" name="29" queryTableFieldId="31"/>
    <tableColumn id="32" xr3:uid="{00000000-0010-0000-0200-000020000000}" uniqueName="32" name="30" queryTableFieldId="32"/>
    <tableColumn id="33" xr3:uid="{00000000-0010-0000-0200-000021000000}" uniqueName="33" name="31" queryTableFieldId="33"/>
    <tableColumn id="34" xr3:uid="{00000000-0010-0000-0200-000022000000}" uniqueName="34" name="Total" queryTableFieldId="34"/>
    <tableColumn id="35" xr3:uid="{00000000-0010-0000-0200-000023000000}" uniqueName="35" name="SourceFile" queryTableField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PQ_Juli" displayName="PQ_Juli" ref="A1:AG98" tableType="queryTable" totalsRowShown="0">
  <autoFilter ref="A1:AG98" xr:uid="{00000000-0009-0000-0100-000003000000}"/>
  <tableColumns count="33">
    <tableColumn id="1" xr3:uid="{00000000-0010-0000-0300-000001000000}" uniqueName="1" name="Nama Test" queryTableFieldId="1" dataDxfId="45"/>
    <tableColumn id="2" xr3:uid="{00000000-0010-0000-0300-000002000000}" uniqueName="2" name="1" queryTableFieldId="2" dataDxfId="44"/>
    <tableColumn id="3" xr3:uid="{00000000-0010-0000-0300-000003000000}" uniqueName="3" name="2" queryTableFieldId="3"/>
    <tableColumn id="4" xr3:uid="{00000000-0010-0000-0300-000004000000}" uniqueName="4" name="3" queryTableFieldId="4"/>
    <tableColumn id="5" xr3:uid="{00000000-0010-0000-0300-000005000000}" uniqueName="5" name="4" queryTableFieldId="5"/>
    <tableColumn id="6" xr3:uid="{00000000-0010-0000-0300-000006000000}" uniqueName="6" name="5" queryTableFieldId="6"/>
    <tableColumn id="7" xr3:uid="{00000000-0010-0000-0300-000007000000}" uniqueName="7" name="6" queryTableFieldId="7"/>
    <tableColumn id="8" xr3:uid="{00000000-0010-0000-0300-000008000000}" uniqueName="8" name="7" queryTableFieldId="8"/>
    <tableColumn id="9" xr3:uid="{00000000-0010-0000-0300-000009000000}" uniqueName="9" name="8" queryTableFieldId="9"/>
    <tableColumn id="10" xr3:uid="{00000000-0010-0000-0300-00000A000000}" uniqueName="10" name="9" queryTableFieldId="10"/>
    <tableColumn id="11" xr3:uid="{00000000-0010-0000-0300-00000B000000}" uniqueName="11" name="10" queryTableFieldId="11"/>
    <tableColumn id="12" xr3:uid="{00000000-0010-0000-0300-00000C000000}" uniqueName="12" name="11" queryTableFieldId="12"/>
    <tableColumn id="13" xr3:uid="{00000000-0010-0000-0300-00000D000000}" uniqueName="13" name="12" queryTableFieldId="13"/>
    <tableColumn id="14" xr3:uid="{00000000-0010-0000-0300-00000E000000}" uniqueName="14" name="13" queryTableFieldId="14"/>
    <tableColumn id="15" xr3:uid="{00000000-0010-0000-0300-00000F000000}" uniqueName="15" name="14" queryTableFieldId="15"/>
    <tableColumn id="16" xr3:uid="{00000000-0010-0000-0300-000010000000}" uniqueName="16" name="15" queryTableFieldId="16"/>
    <tableColumn id="17" xr3:uid="{00000000-0010-0000-0300-000011000000}" uniqueName="17" name="16" queryTableFieldId="17"/>
    <tableColumn id="18" xr3:uid="{00000000-0010-0000-0300-000012000000}" uniqueName="18" name="17" queryTableFieldId="18"/>
    <tableColumn id="19" xr3:uid="{00000000-0010-0000-0300-000013000000}" uniqueName="19" name="18" queryTableFieldId="19"/>
    <tableColumn id="20" xr3:uid="{00000000-0010-0000-0300-000014000000}" uniqueName="20" name="19" queryTableFieldId="20"/>
    <tableColumn id="21" xr3:uid="{00000000-0010-0000-0300-000015000000}" uniqueName="21" name="20" queryTableFieldId="21"/>
    <tableColumn id="22" xr3:uid="{00000000-0010-0000-0300-000016000000}" uniqueName="22" name="21" queryTableFieldId="22"/>
    <tableColumn id="23" xr3:uid="{00000000-0010-0000-0300-000017000000}" uniqueName="23" name="22" queryTableFieldId="23"/>
    <tableColumn id="24" xr3:uid="{00000000-0010-0000-0300-000018000000}" uniqueName="24" name="23" queryTableFieldId="24"/>
    <tableColumn id="25" xr3:uid="{00000000-0010-0000-0300-000019000000}" uniqueName="25" name="24" queryTableFieldId="25"/>
    <tableColumn id="26" xr3:uid="{00000000-0010-0000-0300-00001A000000}" uniqueName="26" name="25" queryTableFieldId="26"/>
    <tableColumn id="27" xr3:uid="{00000000-0010-0000-0300-00001B000000}" uniqueName="27" name="26" queryTableFieldId="27"/>
    <tableColumn id="28" xr3:uid="{00000000-0010-0000-0300-00001C000000}" uniqueName="28" name="27" queryTableFieldId="28"/>
    <tableColumn id="29" xr3:uid="{00000000-0010-0000-0300-00001D000000}" uniqueName="29" name="28" queryTableFieldId="29"/>
    <tableColumn id="30" xr3:uid="{00000000-0010-0000-0300-00001E000000}" uniqueName="30" name="29" queryTableFieldId="30"/>
    <tableColumn id="31" xr3:uid="{00000000-0010-0000-0300-00001F000000}" uniqueName="31" name="30" queryTableFieldId="31"/>
    <tableColumn id="32" xr3:uid="{00000000-0010-0000-0300-000020000000}" uniqueName="32" name="31" queryTableFieldId="32"/>
    <tableColumn id="33" xr3:uid="{00000000-0010-0000-0300-000021000000}" uniqueName="33" name="Total" queryTableFieldId="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LIS_Juli" displayName="LIS_Juli" ref="A1:AI1000" tableType="queryTable" totalsRowShown="0">
  <autoFilter ref="A1:AI1000" xr:uid="{00000000-0009-0000-0100-000002000000}"/>
  <tableColumns count="35">
    <tableColumn id="1" xr3:uid="{00000000-0010-0000-0400-000001000000}" uniqueName="1" name="Grup" queryTableFieldId="1" dataDxfId="43"/>
    <tableColumn id="2" xr3:uid="{00000000-0010-0000-0400-000002000000}" uniqueName="2" name="Nama Test" queryTableFieldId="2" dataDxfId="42"/>
    <tableColumn id="3" xr3:uid="{00000000-0010-0000-0400-000003000000}" uniqueName="3" name="1" queryTableFieldId="3"/>
    <tableColumn id="4" xr3:uid="{00000000-0010-0000-0400-000004000000}" uniqueName="4" name="2" queryTableFieldId="4"/>
    <tableColumn id="5" xr3:uid="{00000000-0010-0000-0400-000005000000}" uniqueName="5" name="3" queryTableFieldId="5"/>
    <tableColumn id="6" xr3:uid="{00000000-0010-0000-0400-000006000000}" uniqueName="6" name="4" queryTableFieldId="6"/>
    <tableColumn id="7" xr3:uid="{00000000-0010-0000-0400-000007000000}" uniqueName="7" name="5" queryTableFieldId="7"/>
    <tableColumn id="8" xr3:uid="{00000000-0010-0000-0400-000008000000}" uniqueName="8" name="6" queryTableFieldId="8"/>
    <tableColumn id="9" xr3:uid="{00000000-0010-0000-0400-000009000000}" uniqueName="9" name="7" queryTableFieldId="9"/>
    <tableColumn id="10" xr3:uid="{00000000-0010-0000-0400-00000A000000}" uniqueName="10" name="8" queryTableFieldId="10"/>
    <tableColumn id="11" xr3:uid="{00000000-0010-0000-0400-00000B000000}" uniqueName="11" name="9" queryTableFieldId="11"/>
    <tableColumn id="12" xr3:uid="{00000000-0010-0000-0400-00000C000000}" uniqueName="12" name="10" queryTableFieldId="12"/>
    <tableColumn id="13" xr3:uid="{00000000-0010-0000-0400-00000D000000}" uniqueName="13" name="11" queryTableFieldId="13"/>
    <tableColumn id="14" xr3:uid="{00000000-0010-0000-0400-00000E000000}" uniqueName="14" name="12" queryTableFieldId="14"/>
    <tableColumn id="15" xr3:uid="{00000000-0010-0000-0400-00000F000000}" uniqueName="15" name="13" queryTableFieldId="15"/>
    <tableColumn id="16" xr3:uid="{00000000-0010-0000-0400-000010000000}" uniqueName="16" name="14" queryTableFieldId="16"/>
    <tableColumn id="17" xr3:uid="{00000000-0010-0000-0400-000011000000}" uniqueName="17" name="15" queryTableFieldId="17"/>
    <tableColumn id="18" xr3:uid="{00000000-0010-0000-0400-000012000000}" uniqueName="18" name="16" queryTableFieldId="18"/>
    <tableColumn id="19" xr3:uid="{00000000-0010-0000-0400-000013000000}" uniqueName="19" name="17" queryTableFieldId="19"/>
    <tableColumn id="20" xr3:uid="{00000000-0010-0000-0400-000014000000}" uniqueName="20" name="18" queryTableFieldId="20"/>
    <tableColumn id="21" xr3:uid="{00000000-0010-0000-0400-000015000000}" uniqueName="21" name="19" queryTableFieldId="21"/>
    <tableColumn id="22" xr3:uid="{00000000-0010-0000-0400-000016000000}" uniqueName="22" name="20" queryTableFieldId="22"/>
    <tableColumn id="23" xr3:uid="{00000000-0010-0000-0400-000017000000}" uniqueName="23" name="21" queryTableFieldId="23"/>
    <tableColumn id="24" xr3:uid="{00000000-0010-0000-0400-000018000000}" uniqueName="24" name="22" queryTableFieldId="24"/>
    <tableColumn id="25" xr3:uid="{00000000-0010-0000-0400-000019000000}" uniqueName="25" name="23" queryTableFieldId="25"/>
    <tableColumn id="26" xr3:uid="{00000000-0010-0000-0400-00001A000000}" uniqueName="26" name="24" queryTableFieldId="26"/>
    <tableColumn id="27" xr3:uid="{00000000-0010-0000-0400-00001B000000}" uniqueName="27" name="25" queryTableFieldId="27"/>
    <tableColumn id="28" xr3:uid="{00000000-0010-0000-0400-00001C000000}" uniqueName="28" name="26" queryTableFieldId="28"/>
    <tableColumn id="29" xr3:uid="{00000000-0010-0000-0400-00001D000000}" uniqueName="29" name="27" queryTableFieldId="29"/>
    <tableColumn id="30" xr3:uid="{00000000-0010-0000-0400-00001E000000}" uniqueName="30" name="28" queryTableFieldId="30"/>
    <tableColumn id="31" xr3:uid="{00000000-0010-0000-0400-00001F000000}" uniqueName="31" name="29" queryTableFieldId="31"/>
    <tableColumn id="32" xr3:uid="{00000000-0010-0000-0400-000020000000}" uniqueName="32" name="30" queryTableFieldId="32"/>
    <tableColumn id="33" xr3:uid="{00000000-0010-0000-0400-000021000000}" uniqueName="33" name="31" queryTableFieldId="33"/>
    <tableColumn id="34" xr3:uid="{00000000-0010-0000-0400-000022000000}" uniqueName="34" name="Total" queryTableFieldId="34"/>
    <tableColumn id="35" xr3:uid="{00000000-0010-0000-0400-000023000000}" uniqueName="35" name="SourceFile" queryTableFieldId="3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LIS_Histori" displayName="LIS_Histori" ref="A1:AI891" tableType="queryTable" totalsRowShown="0">
  <autoFilter ref="A1:AI891" xr:uid="{00000000-0009-0000-0100-000001000000}"/>
  <tableColumns count="35">
    <tableColumn id="1" xr3:uid="{00000000-0010-0000-0500-000001000000}" uniqueName="1" name="Grup" queryTableFieldId="1" dataDxfId="41"/>
    <tableColumn id="2" xr3:uid="{00000000-0010-0000-0500-000002000000}" uniqueName="2" name="Nama Test" queryTableFieldId="2" dataDxfId="40"/>
    <tableColumn id="3" xr3:uid="{00000000-0010-0000-0500-000003000000}" uniqueName="3" name="1" queryTableFieldId="3"/>
    <tableColumn id="4" xr3:uid="{00000000-0010-0000-0500-000004000000}" uniqueName="4" name="2" queryTableFieldId="4"/>
    <tableColumn id="5" xr3:uid="{00000000-0010-0000-0500-000005000000}" uniqueName="5" name="3" queryTableFieldId="5"/>
    <tableColumn id="6" xr3:uid="{00000000-0010-0000-0500-000006000000}" uniqueName="6" name="4" queryTableFieldId="6"/>
    <tableColumn id="7" xr3:uid="{00000000-0010-0000-0500-000007000000}" uniqueName="7" name="5" queryTableFieldId="7"/>
    <tableColumn id="8" xr3:uid="{00000000-0010-0000-0500-000008000000}" uniqueName="8" name="6" queryTableFieldId="8"/>
    <tableColumn id="9" xr3:uid="{00000000-0010-0000-0500-000009000000}" uniqueName="9" name="7" queryTableFieldId="9"/>
    <tableColumn id="10" xr3:uid="{00000000-0010-0000-0500-00000A000000}" uniqueName="10" name="8" queryTableFieldId="10"/>
    <tableColumn id="11" xr3:uid="{00000000-0010-0000-0500-00000B000000}" uniqueName="11" name="9" queryTableFieldId="11"/>
    <tableColumn id="12" xr3:uid="{00000000-0010-0000-0500-00000C000000}" uniqueName="12" name="10" queryTableFieldId="12"/>
    <tableColumn id="13" xr3:uid="{00000000-0010-0000-0500-00000D000000}" uniqueName="13" name="11" queryTableFieldId="13"/>
    <tableColumn id="14" xr3:uid="{00000000-0010-0000-0500-00000E000000}" uniqueName="14" name="12" queryTableFieldId="14"/>
    <tableColumn id="15" xr3:uid="{00000000-0010-0000-0500-00000F000000}" uniqueName="15" name="13" queryTableFieldId="15"/>
    <tableColumn id="16" xr3:uid="{00000000-0010-0000-0500-000010000000}" uniqueName="16" name="14" queryTableFieldId="16"/>
    <tableColumn id="17" xr3:uid="{00000000-0010-0000-0500-000011000000}" uniqueName="17" name="15" queryTableFieldId="17"/>
    <tableColumn id="18" xr3:uid="{00000000-0010-0000-0500-000012000000}" uniqueName="18" name="16" queryTableFieldId="18"/>
    <tableColumn id="19" xr3:uid="{00000000-0010-0000-0500-000013000000}" uniqueName="19" name="17" queryTableFieldId="19"/>
    <tableColumn id="20" xr3:uid="{00000000-0010-0000-0500-000014000000}" uniqueName="20" name="18" queryTableFieldId="20"/>
    <tableColumn id="21" xr3:uid="{00000000-0010-0000-0500-000015000000}" uniqueName="21" name="19" queryTableFieldId="21"/>
    <tableColumn id="22" xr3:uid="{00000000-0010-0000-0500-000016000000}" uniqueName="22" name="20" queryTableFieldId="22"/>
    <tableColumn id="23" xr3:uid="{00000000-0010-0000-0500-000017000000}" uniqueName="23" name="21" queryTableFieldId="23"/>
    <tableColumn id="24" xr3:uid="{00000000-0010-0000-0500-000018000000}" uniqueName="24" name="22" queryTableFieldId="24"/>
    <tableColumn id="25" xr3:uid="{00000000-0010-0000-0500-000019000000}" uniqueName="25" name="23" queryTableFieldId="25"/>
    <tableColumn id="26" xr3:uid="{00000000-0010-0000-0500-00001A000000}" uniqueName="26" name="24" queryTableFieldId="26"/>
    <tableColumn id="27" xr3:uid="{00000000-0010-0000-0500-00001B000000}" uniqueName="27" name="25" queryTableFieldId="27"/>
    <tableColumn id="28" xr3:uid="{00000000-0010-0000-0500-00001C000000}" uniqueName="28" name="26" queryTableFieldId="28"/>
    <tableColumn id="29" xr3:uid="{00000000-0010-0000-0500-00001D000000}" uniqueName="29" name="27" queryTableFieldId="29"/>
    <tableColumn id="30" xr3:uid="{00000000-0010-0000-0500-00001E000000}" uniqueName="30" name="28" queryTableFieldId="30"/>
    <tableColumn id="31" xr3:uid="{00000000-0010-0000-0500-00001F000000}" uniqueName="31" name="29" queryTableFieldId="31"/>
    <tableColumn id="32" xr3:uid="{00000000-0010-0000-0500-000020000000}" uniqueName="32" name="30" queryTableFieldId="32"/>
    <tableColumn id="33" xr3:uid="{00000000-0010-0000-0500-000021000000}" uniqueName="33" name="31" queryTableFieldId="33"/>
    <tableColumn id="34" xr3:uid="{00000000-0010-0000-0500-000022000000}" uniqueName="34" name="Total" queryTableFieldId="34"/>
    <tableColumn id="35" xr3:uid="{00000000-0010-0000-0500-000023000000}" uniqueName="35" name="SourceFile" queryTableFieldId="3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4" displayName="Table4" ref="A1:C248" totalsRowShown="0">
  <autoFilter ref="A1:C248" xr:uid="{00000000-0009-0000-0100-000004000000}"/>
  <tableColumns count="3">
    <tableColumn id="1" xr3:uid="{00000000-0010-0000-0600-000001000000}" name="Nama Test LIS" dataDxfId="39"/>
    <tableColumn id="2" xr3:uid="{00000000-0010-0000-0600-000002000000}" name="Nama Reagen Monitoring" dataDxfId="38"/>
    <tableColumn id="3" xr3:uid="{00000000-0010-0000-0600-000003000000}" name="Status Mapping" data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Mapping_Test" displayName="Mapping_Test" ref="A1:C248" tableType="queryTable" totalsRowShown="0">
  <autoFilter ref="A1:C248" xr:uid="{00000000-0009-0000-0100-000005000000}"/>
  <tableColumns count="3">
    <tableColumn id="1" xr3:uid="{00000000-0010-0000-0700-000001000000}" uniqueName="1" name="Nama Test LIS" queryTableFieldId="1" dataDxfId="36"/>
    <tableColumn id="2" xr3:uid="{00000000-0010-0000-0700-000002000000}" uniqueName="2" name="Nama Reagen Monitoring" queryTableFieldId="2" dataDxfId="35"/>
    <tableColumn id="3" xr3:uid="{00000000-0010-0000-0700-000003000000}" uniqueName="3" name="Status Mapping" queryTableFieldId="3" dataDxf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84"/>
  <sheetViews>
    <sheetView workbookViewId="0">
      <selection activeCell="A8" sqref="A8:XFD8"/>
    </sheetView>
  </sheetViews>
  <sheetFormatPr defaultColWidth="9" defaultRowHeight="12.75"/>
  <cols>
    <col min="1" max="1" width="26.7109375" customWidth="1"/>
    <col min="2" max="10" width="4.28515625" customWidth="1"/>
    <col min="11" max="32" width="5.28515625" customWidth="1"/>
    <col min="33" max="33" width="7.85546875" customWidth="1"/>
    <col min="34" max="39" width="11.28515625" customWidth="1"/>
    <col min="40" max="65" width="12.28515625" customWidth="1"/>
  </cols>
  <sheetData>
    <row r="1" spans="1:3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</row>
    <row r="2" spans="1:33">
      <c r="A2" t="s">
        <v>92</v>
      </c>
      <c r="C2">
        <v>1</v>
      </c>
      <c r="I2">
        <v>2</v>
      </c>
      <c r="K2">
        <v>1</v>
      </c>
      <c r="L2">
        <v>1</v>
      </c>
      <c r="P2">
        <v>1</v>
      </c>
      <c r="R2">
        <v>2</v>
      </c>
      <c r="X2">
        <v>1</v>
      </c>
      <c r="Y2">
        <v>1</v>
      </c>
      <c r="AE2">
        <v>1</v>
      </c>
      <c r="AG2">
        <v>11</v>
      </c>
    </row>
    <row r="3" spans="1:33">
      <c r="A3" t="s">
        <v>94</v>
      </c>
      <c r="C3">
        <v>1</v>
      </c>
      <c r="K3">
        <v>1</v>
      </c>
      <c r="L3">
        <v>1</v>
      </c>
      <c r="P3">
        <v>1</v>
      </c>
      <c r="R3">
        <v>2</v>
      </c>
      <c r="X3">
        <v>1</v>
      </c>
      <c r="Y3">
        <v>1</v>
      </c>
      <c r="AE3">
        <v>1</v>
      </c>
      <c r="AG3">
        <v>9</v>
      </c>
    </row>
    <row r="4" spans="1:33">
      <c r="A4" t="s">
        <v>111</v>
      </c>
      <c r="C4">
        <v>2</v>
      </c>
      <c r="G4">
        <v>3</v>
      </c>
      <c r="I4">
        <v>1</v>
      </c>
      <c r="J4">
        <v>1</v>
      </c>
      <c r="K4">
        <v>1</v>
      </c>
      <c r="L4">
        <v>2</v>
      </c>
      <c r="N4">
        <v>3</v>
      </c>
      <c r="P4">
        <v>3</v>
      </c>
      <c r="R4">
        <v>1</v>
      </c>
      <c r="W4">
        <v>2</v>
      </c>
      <c r="X4">
        <v>1</v>
      </c>
      <c r="Z4">
        <v>2</v>
      </c>
      <c r="AB4">
        <v>2</v>
      </c>
      <c r="AD4">
        <v>2</v>
      </c>
      <c r="AE4">
        <v>2</v>
      </c>
      <c r="AG4">
        <v>28</v>
      </c>
    </row>
    <row r="5" spans="1:33">
      <c r="A5" t="s">
        <v>44</v>
      </c>
      <c r="C5">
        <v>5</v>
      </c>
      <c r="D5">
        <v>4</v>
      </c>
      <c r="E5">
        <v>7</v>
      </c>
      <c r="F5">
        <v>3</v>
      </c>
      <c r="G5">
        <v>4</v>
      </c>
      <c r="I5">
        <v>2</v>
      </c>
      <c r="J5">
        <v>1</v>
      </c>
      <c r="K5">
        <v>1</v>
      </c>
      <c r="L5">
        <v>3</v>
      </c>
      <c r="M5">
        <v>3</v>
      </c>
      <c r="N5">
        <v>1</v>
      </c>
      <c r="R5">
        <v>1</v>
      </c>
      <c r="S5">
        <v>1</v>
      </c>
      <c r="T5">
        <v>1</v>
      </c>
      <c r="U5">
        <v>3</v>
      </c>
      <c r="W5">
        <v>3</v>
      </c>
      <c r="X5">
        <v>1</v>
      </c>
      <c r="Y5">
        <v>1</v>
      </c>
      <c r="Z5">
        <v>3</v>
      </c>
      <c r="AA5">
        <v>1</v>
      </c>
      <c r="AB5">
        <v>1</v>
      </c>
      <c r="AD5">
        <v>2</v>
      </c>
      <c r="AE5">
        <v>3</v>
      </c>
      <c r="AG5">
        <v>55</v>
      </c>
    </row>
    <row r="6" spans="1:33">
      <c r="A6" t="s">
        <v>60</v>
      </c>
      <c r="E6">
        <v>2</v>
      </c>
      <c r="F6">
        <v>1</v>
      </c>
      <c r="I6">
        <v>1</v>
      </c>
      <c r="N6">
        <v>2</v>
      </c>
      <c r="AG6">
        <v>6</v>
      </c>
    </row>
    <row r="7" spans="1:33">
      <c r="A7" t="s">
        <v>61</v>
      </c>
      <c r="C7">
        <v>5</v>
      </c>
      <c r="D7">
        <v>2</v>
      </c>
      <c r="E7">
        <v>1</v>
      </c>
      <c r="F7">
        <v>1</v>
      </c>
      <c r="G7">
        <v>1</v>
      </c>
      <c r="I7">
        <v>2</v>
      </c>
      <c r="J7">
        <v>1</v>
      </c>
      <c r="K7">
        <v>1</v>
      </c>
      <c r="L7">
        <v>1</v>
      </c>
      <c r="M7">
        <v>5</v>
      </c>
      <c r="N7">
        <v>2</v>
      </c>
      <c r="P7">
        <v>3</v>
      </c>
      <c r="R7">
        <v>3</v>
      </c>
      <c r="S7">
        <v>1</v>
      </c>
      <c r="U7">
        <v>1</v>
      </c>
      <c r="W7">
        <v>7</v>
      </c>
      <c r="X7">
        <v>1</v>
      </c>
      <c r="Y7">
        <v>3</v>
      </c>
      <c r="AD7">
        <v>2</v>
      </c>
      <c r="AG7">
        <v>43</v>
      </c>
    </row>
    <row r="8" spans="1:33">
      <c r="A8" t="s">
        <v>58</v>
      </c>
      <c r="C8">
        <v>2</v>
      </c>
      <c r="D8">
        <v>2</v>
      </c>
      <c r="E8">
        <v>2</v>
      </c>
      <c r="F8">
        <v>2</v>
      </c>
      <c r="G8">
        <v>7</v>
      </c>
      <c r="I8">
        <v>5</v>
      </c>
      <c r="J8">
        <v>4</v>
      </c>
      <c r="K8">
        <v>1</v>
      </c>
      <c r="L8">
        <v>3</v>
      </c>
      <c r="M8">
        <v>2</v>
      </c>
      <c r="N8">
        <v>4</v>
      </c>
      <c r="P8">
        <v>5</v>
      </c>
      <c r="R8">
        <v>3</v>
      </c>
      <c r="S8">
        <v>3</v>
      </c>
      <c r="T8">
        <v>4</v>
      </c>
      <c r="U8">
        <v>2</v>
      </c>
      <c r="W8">
        <v>2</v>
      </c>
      <c r="X8">
        <v>7</v>
      </c>
      <c r="Y8">
        <v>1</v>
      </c>
      <c r="Z8">
        <v>1</v>
      </c>
      <c r="AA8">
        <v>4</v>
      </c>
      <c r="AB8">
        <v>2</v>
      </c>
      <c r="AD8">
        <v>2</v>
      </c>
      <c r="AE8">
        <v>3</v>
      </c>
      <c r="AG8">
        <v>73</v>
      </c>
    </row>
    <row r="9" spans="1:33">
      <c r="A9" t="s">
        <v>83</v>
      </c>
      <c r="E9">
        <v>1</v>
      </c>
      <c r="F9">
        <v>1</v>
      </c>
      <c r="AB9">
        <v>1</v>
      </c>
      <c r="AG9">
        <v>3</v>
      </c>
    </row>
    <row r="10" spans="1:33">
      <c r="A10" t="s">
        <v>87</v>
      </c>
      <c r="E10">
        <v>2</v>
      </c>
      <c r="G10">
        <v>1</v>
      </c>
      <c r="I10">
        <v>1</v>
      </c>
      <c r="R10">
        <v>1</v>
      </c>
      <c r="T10">
        <v>1</v>
      </c>
      <c r="U10">
        <v>1</v>
      </c>
      <c r="AG10">
        <v>7</v>
      </c>
    </row>
    <row r="11" spans="1:33">
      <c r="A11" t="s">
        <v>82</v>
      </c>
      <c r="E11">
        <v>1</v>
      </c>
      <c r="I11">
        <v>1</v>
      </c>
      <c r="S11">
        <v>1</v>
      </c>
      <c r="W11">
        <v>1</v>
      </c>
      <c r="X11">
        <v>1</v>
      </c>
      <c r="AD11">
        <v>1</v>
      </c>
      <c r="AG11">
        <v>6</v>
      </c>
    </row>
    <row r="12" spans="1:33">
      <c r="A12" t="s">
        <v>88</v>
      </c>
      <c r="E12">
        <v>1</v>
      </c>
      <c r="G12">
        <v>1</v>
      </c>
      <c r="T12">
        <v>1</v>
      </c>
      <c r="AG12">
        <v>3</v>
      </c>
    </row>
    <row r="13" spans="1:33">
      <c r="A13" t="s">
        <v>86</v>
      </c>
      <c r="C13">
        <v>2</v>
      </c>
      <c r="I13">
        <v>1</v>
      </c>
      <c r="J13">
        <v>2</v>
      </c>
      <c r="K13">
        <v>1</v>
      </c>
      <c r="L13">
        <v>1</v>
      </c>
      <c r="M13">
        <v>1</v>
      </c>
      <c r="N13">
        <v>2</v>
      </c>
      <c r="R13">
        <v>2</v>
      </c>
      <c r="S13">
        <v>2</v>
      </c>
      <c r="T13">
        <v>1</v>
      </c>
      <c r="U13">
        <v>1</v>
      </c>
      <c r="W13">
        <v>1</v>
      </c>
      <c r="Y13">
        <v>1</v>
      </c>
      <c r="Z13">
        <v>3</v>
      </c>
      <c r="AA13">
        <v>2</v>
      </c>
      <c r="AB13">
        <v>1</v>
      </c>
      <c r="AD13">
        <v>3</v>
      </c>
      <c r="AE13">
        <v>3</v>
      </c>
      <c r="AG13">
        <v>30</v>
      </c>
    </row>
    <row r="14" spans="1:33">
      <c r="A14" t="s">
        <v>84</v>
      </c>
      <c r="C14">
        <v>1</v>
      </c>
      <c r="AA14">
        <v>2</v>
      </c>
      <c r="AE14">
        <v>1</v>
      </c>
      <c r="AG14">
        <v>4</v>
      </c>
    </row>
    <row r="15" spans="1:33">
      <c r="A15" t="s">
        <v>119</v>
      </c>
      <c r="I15">
        <v>1</v>
      </c>
      <c r="AE15">
        <v>1</v>
      </c>
      <c r="AG15">
        <v>2</v>
      </c>
    </row>
    <row r="16" spans="1:33">
      <c r="A16" t="s">
        <v>131</v>
      </c>
      <c r="M16">
        <v>1</v>
      </c>
      <c r="AG16">
        <v>1</v>
      </c>
    </row>
    <row r="17" spans="1:33">
      <c r="A17" t="s">
        <v>89</v>
      </c>
      <c r="D17">
        <v>1</v>
      </c>
      <c r="G17">
        <v>1</v>
      </c>
      <c r="I17">
        <v>1</v>
      </c>
      <c r="K17">
        <v>2</v>
      </c>
      <c r="M17">
        <v>1</v>
      </c>
      <c r="N17">
        <v>3</v>
      </c>
      <c r="R17">
        <v>1</v>
      </c>
      <c r="U17">
        <v>1</v>
      </c>
      <c r="W17">
        <v>2</v>
      </c>
      <c r="Z17">
        <v>1</v>
      </c>
      <c r="AA17">
        <v>1</v>
      </c>
      <c r="AB17">
        <v>2</v>
      </c>
      <c r="AD17">
        <v>1</v>
      </c>
      <c r="AG17">
        <v>18</v>
      </c>
    </row>
    <row r="18" spans="1:33">
      <c r="A18" t="s">
        <v>121</v>
      </c>
      <c r="D18">
        <v>1</v>
      </c>
      <c r="E18">
        <v>2</v>
      </c>
      <c r="G18">
        <v>2</v>
      </c>
      <c r="I18">
        <v>2</v>
      </c>
      <c r="J18">
        <v>1</v>
      </c>
      <c r="N18">
        <v>1</v>
      </c>
      <c r="U18">
        <v>1</v>
      </c>
      <c r="W18">
        <v>1</v>
      </c>
      <c r="X18">
        <v>2</v>
      </c>
      <c r="AD18">
        <v>2</v>
      </c>
      <c r="AE18">
        <v>1</v>
      </c>
      <c r="AG18">
        <v>16</v>
      </c>
    </row>
    <row r="19" spans="1:33">
      <c r="A19" t="s">
        <v>80</v>
      </c>
      <c r="D19">
        <v>1</v>
      </c>
      <c r="R19">
        <v>3</v>
      </c>
      <c r="T19">
        <v>1</v>
      </c>
      <c r="U19">
        <v>3</v>
      </c>
      <c r="X19">
        <v>2</v>
      </c>
      <c r="Y19">
        <v>1</v>
      </c>
      <c r="Z19">
        <v>1</v>
      </c>
      <c r="AA19">
        <v>1</v>
      </c>
      <c r="AB19">
        <v>5</v>
      </c>
      <c r="AD19">
        <v>1</v>
      </c>
      <c r="AE19">
        <v>1</v>
      </c>
      <c r="AG19">
        <v>20</v>
      </c>
    </row>
    <row r="20" spans="1:33">
      <c r="A20" t="s">
        <v>120</v>
      </c>
      <c r="E20">
        <v>1</v>
      </c>
      <c r="G20">
        <v>2</v>
      </c>
      <c r="P20">
        <v>5</v>
      </c>
      <c r="U20">
        <v>1</v>
      </c>
      <c r="X20">
        <v>2</v>
      </c>
      <c r="Z20">
        <v>1</v>
      </c>
      <c r="AG20">
        <v>12</v>
      </c>
    </row>
    <row r="21" spans="1:33">
      <c r="A21" t="s">
        <v>117</v>
      </c>
      <c r="D21">
        <v>1</v>
      </c>
      <c r="F21">
        <v>1</v>
      </c>
      <c r="G21">
        <v>1</v>
      </c>
      <c r="W21">
        <v>1</v>
      </c>
      <c r="AB21">
        <v>1</v>
      </c>
      <c r="AD21">
        <v>1</v>
      </c>
      <c r="AG21">
        <v>6</v>
      </c>
    </row>
    <row r="22" spans="1:33">
      <c r="A22" t="s">
        <v>71</v>
      </c>
      <c r="C22">
        <v>1</v>
      </c>
      <c r="F22">
        <v>1</v>
      </c>
      <c r="J22">
        <v>1</v>
      </c>
      <c r="K22">
        <v>1</v>
      </c>
      <c r="L22">
        <v>1</v>
      </c>
      <c r="P22">
        <v>1</v>
      </c>
      <c r="R22">
        <v>1</v>
      </c>
      <c r="AD22">
        <v>1</v>
      </c>
      <c r="AG22">
        <v>8</v>
      </c>
    </row>
    <row r="23" spans="1:33">
      <c r="A23" t="s">
        <v>116</v>
      </c>
      <c r="M23">
        <v>2</v>
      </c>
      <c r="P23">
        <v>1</v>
      </c>
      <c r="S23">
        <v>1</v>
      </c>
      <c r="T23">
        <v>2</v>
      </c>
      <c r="U23">
        <v>1</v>
      </c>
      <c r="Y23">
        <v>2</v>
      </c>
      <c r="AG23">
        <v>9</v>
      </c>
    </row>
    <row r="24" spans="1:33">
      <c r="A24" t="s">
        <v>128</v>
      </c>
      <c r="C24">
        <v>2</v>
      </c>
      <c r="E24">
        <v>1</v>
      </c>
      <c r="K24">
        <v>1</v>
      </c>
      <c r="N24">
        <v>1</v>
      </c>
      <c r="P24">
        <v>1</v>
      </c>
      <c r="R24">
        <v>1</v>
      </c>
      <c r="T24">
        <v>1</v>
      </c>
      <c r="Y24">
        <v>2</v>
      </c>
      <c r="AA24">
        <v>1</v>
      </c>
      <c r="AB24">
        <v>1</v>
      </c>
      <c r="AG24">
        <v>12</v>
      </c>
    </row>
    <row r="25" spans="1:33">
      <c r="A25" t="s">
        <v>122</v>
      </c>
      <c r="C25">
        <v>1</v>
      </c>
      <c r="D25">
        <v>2</v>
      </c>
      <c r="E25">
        <v>3</v>
      </c>
      <c r="F25">
        <v>1</v>
      </c>
      <c r="G25">
        <v>4</v>
      </c>
      <c r="I25">
        <v>1</v>
      </c>
      <c r="J25">
        <v>2</v>
      </c>
      <c r="K25">
        <v>1</v>
      </c>
      <c r="R25">
        <v>2</v>
      </c>
      <c r="T25">
        <v>1</v>
      </c>
      <c r="U25">
        <v>2</v>
      </c>
      <c r="W25">
        <v>3</v>
      </c>
      <c r="Y25">
        <v>1</v>
      </c>
      <c r="AB25">
        <v>1</v>
      </c>
      <c r="AD25">
        <v>2</v>
      </c>
      <c r="AE25">
        <v>2</v>
      </c>
      <c r="AG25">
        <v>29</v>
      </c>
    </row>
    <row r="26" spans="1:33">
      <c r="A26" t="s">
        <v>123</v>
      </c>
      <c r="C26">
        <v>2</v>
      </c>
      <c r="E26">
        <v>2</v>
      </c>
      <c r="F26">
        <v>1</v>
      </c>
      <c r="G26">
        <v>2</v>
      </c>
      <c r="I26">
        <v>1</v>
      </c>
      <c r="K26">
        <v>1</v>
      </c>
      <c r="P26">
        <v>1</v>
      </c>
      <c r="R26">
        <v>3</v>
      </c>
      <c r="U26">
        <v>1</v>
      </c>
      <c r="W26">
        <v>2</v>
      </c>
      <c r="Y26">
        <v>2</v>
      </c>
      <c r="AB26">
        <v>1</v>
      </c>
      <c r="AD26">
        <v>1</v>
      </c>
      <c r="AE26">
        <v>2</v>
      </c>
      <c r="AG26">
        <v>22</v>
      </c>
    </row>
    <row r="27" spans="1:33">
      <c r="A27" t="s">
        <v>124</v>
      </c>
      <c r="D27">
        <v>1</v>
      </c>
      <c r="E27">
        <v>3</v>
      </c>
      <c r="F27">
        <v>3</v>
      </c>
      <c r="G27">
        <v>2</v>
      </c>
      <c r="J27">
        <v>3</v>
      </c>
      <c r="N27">
        <v>1</v>
      </c>
      <c r="R27">
        <v>1</v>
      </c>
      <c r="S27">
        <v>3</v>
      </c>
      <c r="T27">
        <v>1</v>
      </c>
      <c r="U27">
        <v>2</v>
      </c>
      <c r="W27">
        <v>3</v>
      </c>
      <c r="X27">
        <v>3</v>
      </c>
      <c r="Y27">
        <v>1</v>
      </c>
      <c r="AA27">
        <v>1</v>
      </c>
      <c r="AB27">
        <v>1</v>
      </c>
      <c r="AE27">
        <v>3</v>
      </c>
      <c r="AG27">
        <v>32</v>
      </c>
    </row>
    <row r="28" spans="1:33">
      <c r="A28" t="s">
        <v>125</v>
      </c>
      <c r="F28">
        <v>1</v>
      </c>
      <c r="I28">
        <v>1</v>
      </c>
      <c r="P28">
        <v>1</v>
      </c>
      <c r="R28">
        <v>1</v>
      </c>
      <c r="W28">
        <v>2</v>
      </c>
      <c r="AE28">
        <v>1</v>
      </c>
      <c r="AG28">
        <v>7</v>
      </c>
    </row>
    <row r="29" spans="1:33">
      <c r="A29" t="s">
        <v>126</v>
      </c>
      <c r="F29">
        <v>1</v>
      </c>
      <c r="G29">
        <v>1</v>
      </c>
      <c r="I29">
        <v>1</v>
      </c>
      <c r="J29">
        <v>2</v>
      </c>
      <c r="K29">
        <v>1</v>
      </c>
      <c r="U29">
        <v>1</v>
      </c>
      <c r="W29">
        <v>1</v>
      </c>
      <c r="AD29">
        <v>1</v>
      </c>
      <c r="AE29">
        <v>1</v>
      </c>
      <c r="AG29">
        <v>10</v>
      </c>
    </row>
    <row r="30" spans="1:33">
      <c r="A30" t="s">
        <v>127</v>
      </c>
      <c r="F30">
        <v>1</v>
      </c>
      <c r="K30">
        <v>1</v>
      </c>
      <c r="P30">
        <v>1</v>
      </c>
      <c r="R30">
        <v>1</v>
      </c>
      <c r="U30">
        <v>1</v>
      </c>
      <c r="AD30">
        <v>1</v>
      </c>
      <c r="AE30">
        <v>1</v>
      </c>
      <c r="AG30">
        <v>7</v>
      </c>
    </row>
    <row r="31" spans="1:33">
      <c r="A31" t="s">
        <v>133</v>
      </c>
      <c r="D31">
        <v>1</v>
      </c>
      <c r="E31">
        <v>1</v>
      </c>
      <c r="G31">
        <v>2</v>
      </c>
      <c r="I31">
        <v>2</v>
      </c>
      <c r="J31">
        <v>2</v>
      </c>
      <c r="M31">
        <v>1</v>
      </c>
      <c r="N31">
        <v>2</v>
      </c>
      <c r="S31">
        <v>1</v>
      </c>
      <c r="X31">
        <v>1</v>
      </c>
      <c r="AA31">
        <v>1</v>
      </c>
      <c r="AG31">
        <v>14</v>
      </c>
    </row>
    <row r="32" spans="1:33">
      <c r="A32" t="s">
        <v>112</v>
      </c>
      <c r="C32">
        <v>2</v>
      </c>
      <c r="D32">
        <v>2</v>
      </c>
      <c r="E32">
        <v>2</v>
      </c>
      <c r="F32">
        <v>1</v>
      </c>
      <c r="G32">
        <v>1</v>
      </c>
      <c r="I32">
        <v>2</v>
      </c>
      <c r="J32">
        <v>2</v>
      </c>
      <c r="M32">
        <v>3</v>
      </c>
      <c r="N32">
        <v>3</v>
      </c>
      <c r="R32">
        <v>2</v>
      </c>
      <c r="S32">
        <v>1</v>
      </c>
      <c r="W32">
        <v>2</v>
      </c>
      <c r="Z32">
        <v>2</v>
      </c>
      <c r="AA32">
        <v>3</v>
      </c>
      <c r="AD32">
        <v>2</v>
      </c>
      <c r="AE32">
        <v>1</v>
      </c>
      <c r="AG32">
        <v>31</v>
      </c>
    </row>
    <row r="33" spans="1:33">
      <c r="A33" t="s">
        <v>66</v>
      </c>
      <c r="C33">
        <v>1</v>
      </c>
      <c r="E33">
        <v>3</v>
      </c>
      <c r="G33">
        <v>1</v>
      </c>
      <c r="N33">
        <v>2</v>
      </c>
      <c r="R33">
        <v>3</v>
      </c>
      <c r="T33">
        <v>1</v>
      </c>
      <c r="U33">
        <v>2</v>
      </c>
      <c r="X33">
        <v>2</v>
      </c>
      <c r="AB33">
        <v>2</v>
      </c>
      <c r="AD33">
        <v>1</v>
      </c>
      <c r="AE33">
        <v>2</v>
      </c>
      <c r="AG33">
        <v>20</v>
      </c>
    </row>
    <row r="34" spans="1:33">
      <c r="A34" t="s">
        <v>115</v>
      </c>
      <c r="E34">
        <v>2</v>
      </c>
      <c r="G34">
        <v>1</v>
      </c>
      <c r="M34">
        <v>1</v>
      </c>
      <c r="N34">
        <v>1</v>
      </c>
      <c r="P34">
        <v>1</v>
      </c>
      <c r="U34">
        <v>1</v>
      </c>
      <c r="Z34">
        <v>1</v>
      </c>
      <c r="AB34">
        <v>12</v>
      </c>
      <c r="AE34">
        <v>1</v>
      </c>
      <c r="AG34">
        <v>21</v>
      </c>
    </row>
    <row r="35" spans="1:33">
      <c r="A35" t="s">
        <v>110</v>
      </c>
      <c r="E35">
        <v>1</v>
      </c>
      <c r="G35">
        <v>2</v>
      </c>
      <c r="K35">
        <v>1</v>
      </c>
      <c r="N35">
        <v>2</v>
      </c>
      <c r="S35">
        <v>1</v>
      </c>
      <c r="W35">
        <v>2</v>
      </c>
      <c r="X35">
        <v>1</v>
      </c>
      <c r="Z35">
        <v>1</v>
      </c>
      <c r="AB35">
        <v>1</v>
      </c>
      <c r="AE35">
        <v>2</v>
      </c>
      <c r="AG35">
        <v>14</v>
      </c>
    </row>
    <row r="36" spans="1:33">
      <c r="A36" t="s">
        <v>81</v>
      </c>
      <c r="E36">
        <v>2</v>
      </c>
      <c r="F36">
        <v>1</v>
      </c>
      <c r="G36">
        <v>2</v>
      </c>
      <c r="I36">
        <v>1</v>
      </c>
      <c r="M36">
        <v>1</v>
      </c>
      <c r="N36">
        <v>2</v>
      </c>
      <c r="P36">
        <v>1</v>
      </c>
      <c r="W36">
        <v>3</v>
      </c>
      <c r="X36">
        <v>1</v>
      </c>
      <c r="Y36">
        <v>1</v>
      </c>
      <c r="Z36">
        <v>2</v>
      </c>
      <c r="AG36">
        <v>17</v>
      </c>
    </row>
    <row r="37" spans="1:33">
      <c r="A37" t="s">
        <v>101</v>
      </c>
      <c r="E37">
        <v>3</v>
      </c>
      <c r="G37">
        <v>3</v>
      </c>
      <c r="I37">
        <v>1</v>
      </c>
      <c r="J37">
        <v>1</v>
      </c>
      <c r="L37">
        <v>1</v>
      </c>
      <c r="M37">
        <v>1</v>
      </c>
      <c r="N37">
        <v>1</v>
      </c>
      <c r="P37">
        <v>1</v>
      </c>
      <c r="T37">
        <v>1</v>
      </c>
      <c r="X37">
        <v>2</v>
      </c>
      <c r="AA37">
        <v>1</v>
      </c>
      <c r="AB37">
        <v>3</v>
      </c>
      <c r="AE37">
        <v>1</v>
      </c>
      <c r="AG37">
        <v>20</v>
      </c>
    </row>
    <row r="38" spans="1:33">
      <c r="A38" t="s">
        <v>100</v>
      </c>
      <c r="D38">
        <v>1</v>
      </c>
      <c r="E38">
        <v>2</v>
      </c>
      <c r="K38">
        <v>3</v>
      </c>
      <c r="M38">
        <v>1</v>
      </c>
      <c r="P38">
        <v>1</v>
      </c>
      <c r="AB38">
        <v>12</v>
      </c>
      <c r="AE38">
        <v>1</v>
      </c>
      <c r="AG38">
        <v>21</v>
      </c>
    </row>
    <row r="39" spans="1:33">
      <c r="A39" t="s">
        <v>99</v>
      </c>
      <c r="E39">
        <v>2</v>
      </c>
      <c r="G39">
        <v>1</v>
      </c>
      <c r="I39">
        <v>1</v>
      </c>
      <c r="L39">
        <v>1</v>
      </c>
      <c r="M39">
        <v>1</v>
      </c>
      <c r="N39">
        <v>1</v>
      </c>
      <c r="AA39">
        <v>1</v>
      </c>
      <c r="AB39">
        <v>1</v>
      </c>
      <c r="AG39">
        <v>9</v>
      </c>
    </row>
    <row r="40" spans="1:33">
      <c r="A40" t="s">
        <v>78</v>
      </c>
      <c r="C40">
        <v>12</v>
      </c>
      <c r="D40">
        <v>3</v>
      </c>
      <c r="E40">
        <v>38</v>
      </c>
      <c r="G40">
        <v>1</v>
      </c>
      <c r="I40">
        <v>6</v>
      </c>
      <c r="J40">
        <v>2</v>
      </c>
      <c r="K40">
        <v>1</v>
      </c>
      <c r="M40">
        <v>10</v>
      </c>
      <c r="N40">
        <v>1</v>
      </c>
      <c r="P40">
        <v>7</v>
      </c>
      <c r="R40">
        <v>6</v>
      </c>
      <c r="S40">
        <v>6</v>
      </c>
      <c r="W40">
        <v>8</v>
      </c>
      <c r="X40">
        <v>4</v>
      </c>
      <c r="Y40">
        <v>6</v>
      </c>
      <c r="AD40">
        <v>1</v>
      </c>
      <c r="AE40">
        <v>6</v>
      </c>
      <c r="AG40">
        <v>118</v>
      </c>
    </row>
    <row r="41" spans="1:33">
      <c r="A41" t="s">
        <v>167</v>
      </c>
      <c r="C41">
        <v>5</v>
      </c>
      <c r="D41">
        <v>1</v>
      </c>
      <c r="E41">
        <v>23</v>
      </c>
      <c r="G41">
        <v>1</v>
      </c>
      <c r="I41">
        <v>2</v>
      </c>
      <c r="J41">
        <v>14</v>
      </c>
      <c r="K41">
        <v>14</v>
      </c>
      <c r="L41">
        <v>10</v>
      </c>
      <c r="M41">
        <v>32</v>
      </c>
      <c r="P41">
        <v>25</v>
      </c>
      <c r="R41">
        <v>14</v>
      </c>
      <c r="S41">
        <v>4</v>
      </c>
      <c r="T41">
        <v>7</v>
      </c>
      <c r="W41">
        <v>13</v>
      </c>
      <c r="X41">
        <v>10</v>
      </c>
      <c r="Y41">
        <v>12</v>
      </c>
      <c r="Z41">
        <v>1</v>
      </c>
      <c r="AA41">
        <v>1</v>
      </c>
      <c r="AD41">
        <v>3</v>
      </c>
      <c r="AE41">
        <v>14</v>
      </c>
      <c r="AG41">
        <v>206</v>
      </c>
    </row>
    <row r="42" spans="1:33">
      <c r="A42" t="s">
        <v>39</v>
      </c>
      <c r="C42">
        <v>5</v>
      </c>
      <c r="D42">
        <v>1</v>
      </c>
      <c r="E42">
        <v>22</v>
      </c>
      <c r="G42">
        <v>1</v>
      </c>
      <c r="I42">
        <v>2</v>
      </c>
      <c r="J42">
        <v>14</v>
      </c>
      <c r="K42">
        <v>14</v>
      </c>
      <c r="L42">
        <v>10</v>
      </c>
      <c r="M42">
        <v>32</v>
      </c>
      <c r="P42">
        <v>25</v>
      </c>
      <c r="R42">
        <v>14</v>
      </c>
      <c r="S42">
        <v>4</v>
      </c>
      <c r="T42">
        <v>7</v>
      </c>
      <c r="W42">
        <v>13</v>
      </c>
      <c r="X42">
        <v>10</v>
      </c>
      <c r="Y42">
        <v>12</v>
      </c>
      <c r="AA42">
        <v>1</v>
      </c>
      <c r="AD42">
        <v>3</v>
      </c>
      <c r="AE42">
        <v>14</v>
      </c>
      <c r="AG42">
        <v>204</v>
      </c>
    </row>
    <row r="43" spans="1:33">
      <c r="A43" t="s">
        <v>32</v>
      </c>
      <c r="C43">
        <v>5</v>
      </c>
      <c r="D43">
        <v>5</v>
      </c>
      <c r="E43">
        <v>22</v>
      </c>
      <c r="G43">
        <v>3</v>
      </c>
      <c r="I43">
        <v>4</v>
      </c>
      <c r="J43">
        <v>14</v>
      </c>
      <c r="K43">
        <v>15</v>
      </c>
      <c r="L43">
        <v>10</v>
      </c>
      <c r="M43">
        <v>32</v>
      </c>
      <c r="N43">
        <v>1</v>
      </c>
      <c r="P43">
        <v>25</v>
      </c>
      <c r="R43">
        <v>15</v>
      </c>
      <c r="S43">
        <v>4</v>
      </c>
      <c r="T43">
        <v>7</v>
      </c>
      <c r="U43">
        <v>2</v>
      </c>
      <c r="W43">
        <v>13</v>
      </c>
      <c r="X43">
        <v>10</v>
      </c>
      <c r="Y43">
        <v>13</v>
      </c>
      <c r="AA43">
        <v>1</v>
      </c>
      <c r="AB43">
        <v>1</v>
      </c>
      <c r="AD43">
        <v>6</v>
      </c>
      <c r="AE43">
        <v>15</v>
      </c>
      <c r="AG43">
        <v>223</v>
      </c>
    </row>
    <row r="44" spans="1:33">
      <c r="A44" t="s">
        <v>34</v>
      </c>
      <c r="C44">
        <v>7</v>
      </c>
      <c r="D44">
        <v>3</v>
      </c>
      <c r="E44">
        <v>23</v>
      </c>
      <c r="F44">
        <v>1</v>
      </c>
      <c r="G44">
        <v>28</v>
      </c>
      <c r="I44">
        <v>3</v>
      </c>
      <c r="J44">
        <v>15</v>
      </c>
      <c r="K44">
        <v>14</v>
      </c>
      <c r="L44">
        <v>12</v>
      </c>
      <c r="M44">
        <v>35</v>
      </c>
      <c r="N44">
        <v>3</v>
      </c>
      <c r="P44">
        <v>29</v>
      </c>
      <c r="R44">
        <v>19</v>
      </c>
      <c r="S44">
        <v>7</v>
      </c>
      <c r="T44">
        <v>12</v>
      </c>
      <c r="U44">
        <v>6</v>
      </c>
      <c r="W44">
        <v>14</v>
      </c>
      <c r="X44">
        <v>14</v>
      </c>
      <c r="Y44">
        <v>13</v>
      </c>
      <c r="Z44">
        <v>4</v>
      </c>
      <c r="AA44">
        <v>7</v>
      </c>
      <c r="AB44">
        <v>4</v>
      </c>
      <c r="AD44">
        <v>14</v>
      </c>
      <c r="AE44">
        <v>25</v>
      </c>
      <c r="AG44">
        <v>312</v>
      </c>
    </row>
    <row r="45" spans="1:33">
      <c r="A45" t="s">
        <v>33</v>
      </c>
      <c r="C45">
        <v>7</v>
      </c>
      <c r="D45">
        <v>3</v>
      </c>
      <c r="E45">
        <v>23</v>
      </c>
      <c r="F45">
        <v>1</v>
      </c>
      <c r="G45">
        <v>28</v>
      </c>
      <c r="I45">
        <v>3</v>
      </c>
      <c r="J45">
        <v>15</v>
      </c>
      <c r="K45">
        <v>14</v>
      </c>
      <c r="L45">
        <v>12</v>
      </c>
      <c r="M45">
        <v>35</v>
      </c>
      <c r="N45">
        <v>3</v>
      </c>
      <c r="P45">
        <v>29</v>
      </c>
      <c r="R45">
        <v>19</v>
      </c>
      <c r="S45">
        <v>7</v>
      </c>
      <c r="T45">
        <v>12</v>
      </c>
      <c r="U45">
        <v>6</v>
      </c>
      <c r="W45">
        <v>14</v>
      </c>
      <c r="X45">
        <v>13</v>
      </c>
      <c r="Y45">
        <v>13</v>
      </c>
      <c r="Z45">
        <v>4</v>
      </c>
      <c r="AA45">
        <v>7</v>
      </c>
      <c r="AB45">
        <v>4</v>
      </c>
      <c r="AD45">
        <v>14</v>
      </c>
      <c r="AE45">
        <v>25</v>
      </c>
      <c r="AG45">
        <v>311</v>
      </c>
    </row>
    <row r="46" spans="1:33">
      <c r="A46" t="s">
        <v>40</v>
      </c>
      <c r="I46">
        <v>4</v>
      </c>
      <c r="K46">
        <v>1</v>
      </c>
      <c r="L46">
        <v>9</v>
      </c>
      <c r="P46">
        <v>1</v>
      </c>
      <c r="W46">
        <v>1</v>
      </c>
      <c r="X46">
        <v>1</v>
      </c>
      <c r="Y46">
        <v>1</v>
      </c>
      <c r="Z46">
        <v>2</v>
      </c>
      <c r="AB46">
        <v>1</v>
      </c>
      <c r="AD46">
        <v>1</v>
      </c>
      <c r="AG46">
        <v>22</v>
      </c>
    </row>
    <row r="47" spans="1:33">
      <c r="A47" t="s">
        <v>50</v>
      </c>
      <c r="C47">
        <v>4</v>
      </c>
      <c r="D47">
        <v>1</v>
      </c>
      <c r="E47">
        <v>22</v>
      </c>
      <c r="G47">
        <v>1</v>
      </c>
      <c r="I47">
        <v>2</v>
      </c>
      <c r="J47">
        <v>3</v>
      </c>
      <c r="K47">
        <v>1</v>
      </c>
      <c r="M47">
        <v>4</v>
      </c>
      <c r="P47">
        <v>3</v>
      </c>
      <c r="R47">
        <v>4</v>
      </c>
      <c r="S47">
        <v>2</v>
      </c>
      <c r="W47">
        <v>4</v>
      </c>
      <c r="X47">
        <v>1</v>
      </c>
      <c r="Y47">
        <v>2</v>
      </c>
      <c r="AD47">
        <v>1</v>
      </c>
      <c r="AE47">
        <v>2</v>
      </c>
      <c r="AG47">
        <v>57</v>
      </c>
    </row>
    <row r="48" spans="1:33">
      <c r="A48" t="s">
        <v>30</v>
      </c>
      <c r="C48">
        <v>4</v>
      </c>
      <c r="D48">
        <v>1</v>
      </c>
      <c r="E48">
        <v>23</v>
      </c>
      <c r="G48">
        <v>1</v>
      </c>
      <c r="I48">
        <v>3</v>
      </c>
      <c r="J48">
        <v>2</v>
      </c>
      <c r="K48">
        <v>1</v>
      </c>
      <c r="M48">
        <v>5</v>
      </c>
      <c r="P48">
        <v>4</v>
      </c>
      <c r="R48">
        <v>4</v>
      </c>
      <c r="S48">
        <v>2</v>
      </c>
      <c r="W48">
        <v>4</v>
      </c>
      <c r="X48">
        <v>2</v>
      </c>
      <c r="Y48">
        <v>2</v>
      </c>
      <c r="AD48">
        <v>1</v>
      </c>
      <c r="AE48">
        <v>2</v>
      </c>
      <c r="AG48">
        <v>61</v>
      </c>
    </row>
    <row r="49" spans="1:33">
      <c r="A49" t="s">
        <v>41</v>
      </c>
      <c r="C49">
        <v>5</v>
      </c>
      <c r="D49">
        <v>1</v>
      </c>
      <c r="E49">
        <v>1</v>
      </c>
      <c r="F49">
        <v>1</v>
      </c>
      <c r="G49">
        <v>27</v>
      </c>
      <c r="I49">
        <v>2</v>
      </c>
      <c r="J49">
        <v>13</v>
      </c>
      <c r="K49">
        <v>13</v>
      </c>
      <c r="L49">
        <v>12</v>
      </c>
      <c r="M49">
        <v>31</v>
      </c>
      <c r="N49">
        <v>3</v>
      </c>
      <c r="P49">
        <v>29</v>
      </c>
      <c r="R49">
        <v>19</v>
      </c>
      <c r="S49">
        <v>5</v>
      </c>
      <c r="T49">
        <v>12</v>
      </c>
      <c r="U49">
        <v>6</v>
      </c>
      <c r="W49">
        <v>13</v>
      </c>
      <c r="X49">
        <v>13</v>
      </c>
      <c r="Y49">
        <v>10</v>
      </c>
      <c r="Z49">
        <v>5</v>
      </c>
      <c r="AA49">
        <v>7</v>
      </c>
      <c r="AB49">
        <v>5</v>
      </c>
      <c r="AD49">
        <v>14</v>
      </c>
      <c r="AE49">
        <v>24</v>
      </c>
      <c r="AG49">
        <v>271</v>
      </c>
    </row>
    <row r="50" spans="1:33">
      <c r="A50" t="s">
        <v>37</v>
      </c>
      <c r="C50">
        <v>5</v>
      </c>
      <c r="D50">
        <v>2</v>
      </c>
      <c r="E50">
        <v>23</v>
      </c>
      <c r="F50">
        <v>1</v>
      </c>
      <c r="G50">
        <v>28</v>
      </c>
      <c r="I50">
        <v>2</v>
      </c>
      <c r="J50">
        <v>3</v>
      </c>
      <c r="K50">
        <v>1</v>
      </c>
      <c r="L50">
        <v>2</v>
      </c>
      <c r="M50">
        <v>6</v>
      </c>
      <c r="N50">
        <v>4</v>
      </c>
      <c r="P50">
        <v>7</v>
      </c>
      <c r="R50">
        <v>9</v>
      </c>
      <c r="S50">
        <v>5</v>
      </c>
      <c r="T50">
        <v>5</v>
      </c>
      <c r="U50">
        <v>6</v>
      </c>
      <c r="W50">
        <v>4</v>
      </c>
      <c r="X50">
        <v>5</v>
      </c>
      <c r="Y50">
        <v>3</v>
      </c>
      <c r="Z50">
        <v>4</v>
      </c>
      <c r="AA50">
        <v>6</v>
      </c>
      <c r="AB50">
        <v>4</v>
      </c>
      <c r="AD50">
        <v>12</v>
      </c>
      <c r="AE50">
        <v>14</v>
      </c>
      <c r="AG50">
        <v>161</v>
      </c>
    </row>
    <row r="51" spans="1:33">
      <c r="A51" t="s">
        <v>42</v>
      </c>
      <c r="C51">
        <v>1</v>
      </c>
      <c r="D51">
        <v>1</v>
      </c>
      <c r="E51">
        <v>1</v>
      </c>
      <c r="F51">
        <v>1</v>
      </c>
      <c r="G51">
        <v>27</v>
      </c>
      <c r="J51">
        <v>1</v>
      </c>
      <c r="L51">
        <v>2</v>
      </c>
      <c r="M51">
        <v>2</v>
      </c>
      <c r="N51">
        <v>4</v>
      </c>
      <c r="P51">
        <v>4</v>
      </c>
      <c r="R51">
        <v>5</v>
      </c>
      <c r="S51">
        <v>3</v>
      </c>
      <c r="T51">
        <v>5</v>
      </c>
      <c r="U51">
        <v>6</v>
      </c>
      <c r="W51">
        <v>1</v>
      </c>
      <c r="X51">
        <v>4</v>
      </c>
      <c r="Z51">
        <v>4</v>
      </c>
      <c r="AA51">
        <v>6</v>
      </c>
      <c r="AB51">
        <v>4</v>
      </c>
      <c r="AD51">
        <v>11</v>
      </c>
      <c r="AE51">
        <v>12</v>
      </c>
      <c r="AG51">
        <v>105</v>
      </c>
    </row>
    <row r="52" spans="1:33">
      <c r="A52" t="s">
        <v>43</v>
      </c>
      <c r="C52">
        <v>1</v>
      </c>
      <c r="D52">
        <v>1</v>
      </c>
      <c r="E52">
        <v>1</v>
      </c>
      <c r="F52">
        <v>1</v>
      </c>
      <c r="G52">
        <v>27</v>
      </c>
      <c r="J52">
        <v>1</v>
      </c>
      <c r="L52">
        <v>2</v>
      </c>
      <c r="M52">
        <v>2</v>
      </c>
      <c r="N52">
        <v>29</v>
      </c>
      <c r="P52">
        <v>4</v>
      </c>
      <c r="R52">
        <v>5</v>
      </c>
      <c r="S52">
        <v>3</v>
      </c>
      <c r="T52">
        <v>5</v>
      </c>
      <c r="U52">
        <v>6</v>
      </c>
      <c r="X52">
        <v>4</v>
      </c>
      <c r="Z52">
        <v>4</v>
      </c>
      <c r="AA52">
        <v>6</v>
      </c>
      <c r="AB52">
        <v>4</v>
      </c>
      <c r="AD52">
        <v>11</v>
      </c>
      <c r="AE52">
        <v>12</v>
      </c>
      <c r="AG52">
        <v>129</v>
      </c>
    </row>
    <row r="53" spans="1:33">
      <c r="A53" t="s">
        <v>51</v>
      </c>
      <c r="C53">
        <v>1</v>
      </c>
      <c r="D53">
        <v>1</v>
      </c>
      <c r="E53">
        <v>1</v>
      </c>
      <c r="F53">
        <v>1</v>
      </c>
      <c r="G53">
        <v>27</v>
      </c>
      <c r="J53">
        <v>1</v>
      </c>
      <c r="L53">
        <v>2</v>
      </c>
      <c r="M53">
        <v>2</v>
      </c>
      <c r="N53">
        <v>4</v>
      </c>
      <c r="P53">
        <v>4</v>
      </c>
      <c r="R53">
        <v>5</v>
      </c>
      <c r="S53">
        <v>3</v>
      </c>
      <c r="T53">
        <v>5</v>
      </c>
      <c r="U53">
        <v>6</v>
      </c>
      <c r="W53">
        <v>1</v>
      </c>
      <c r="X53">
        <v>4</v>
      </c>
      <c r="Y53">
        <v>1</v>
      </c>
      <c r="Z53">
        <v>4</v>
      </c>
      <c r="AA53">
        <v>6</v>
      </c>
      <c r="AB53">
        <v>3</v>
      </c>
      <c r="AD53">
        <v>11</v>
      </c>
      <c r="AE53">
        <v>12</v>
      </c>
      <c r="AG53">
        <v>105</v>
      </c>
    </row>
    <row r="54" spans="1:33">
      <c r="A54" t="s">
        <v>77</v>
      </c>
      <c r="C54">
        <v>4</v>
      </c>
      <c r="D54">
        <v>1</v>
      </c>
      <c r="E54">
        <v>22</v>
      </c>
      <c r="G54">
        <v>1</v>
      </c>
      <c r="I54">
        <v>2</v>
      </c>
      <c r="J54">
        <v>2</v>
      </c>
      <c r="K54">
        <v>1</v>
      </c>
      <c r="M54">
        <v>4</v>
      </c>
      <c r="P54">
        <v>3</v>
      </c>
      <c r="R54">
        <v>4</v>
      </c>
      <c r="S54">
        <v>2</v>
      </c>
      <c r="W54">
        <v>4</v>
      </c>
      <c r="X54">
        <v>1</v>
      </c>
      <c r="Y54">
        <v>2</v>
      </c>
      <c r="AD54">
        <v>1</v>
      </c>
      <c r="AE54">
        <v>2</v>
      </c>
      <c r="AG54">
        <v>56</v>
      </c>
    </row>
    <row r="55" spans="1:33">
      <c r="A55" t="s">
        <v>96</v>
      </c>
      <c r="C55">
        <v>4</v>
      </c>
      <c r="G55">
        <v>1</v>
      </c>
      <c r="I55">
        <v>2</v>
      </c>
      <c r="M55">
        <v>4</v>
      </c>
      <c r="P55">
        <v>3</v>
      </c>
      <c r="R55">
        <v>3</v>
      </c>
      <c r="W55">
        <v>4</v>
      </c>
      <c r="X55">
        <v>1</v>
      </c>
      <c r="Y55">
        <v>1</v>
      </c>
      <c r="AD55">
        <v>1</v>
      </c>
      <c r="AG55">
        <v>24</v>
      </c>
    </row>
    <row r="56" spans="1:33">
      <c r="A56" t="s">
        <v>45</v>
      </c>
      <c r="C56">
        <v>4</v>
      </c>
      <c r="D56">
        <v>2</v>
      </c>
      <c r="E56">
        <v>22</v>
      </c>
      <c r="F56">
        <v>1</v>
      </c>
      <c r="G56">
        <v>1</v>
      </c>
      <c r="I56">
        <v>2</v>
      </c>
      <c r="J56">
        <v>3</v>
      </c>
      <c r="K56">
        <v>1</v>
      </c>
      <c r="M56">
        <v>4</v>
      </c>
      <c r="N56">
        <v>1</v>
      </c>
      <c r="P56">
        <v>3</v>
      </c>
      <c r="R56">
        <v>4</v>
      </c>
      <c r="S56">
        <v>2</v>
      </c>
      <c r="T56">
        <v>1</v>
      </c>
      <c r="W56">
        <v>4</v>
      </c>
      <c r="X56">
        <v>1</v>
      </c>
      <c r="Y56">
        <v>2</v>
      </c>
      <c r="AD56">
        <v>1</v>
      </c>
      <c r="AE56">
        <v>2</v>
      </c>
      <c r="AG56">
        <v>61</v>
      </c>
    </row>
    <row r="57" spans="1:33">
      <c r="A57" t="s">
        <v>52</v>
      </c>
      <c r="C57">
        <v>11</v>
      </c>
      <c r="D57">
        <v>3</v>
      </c>
      <c r="E57">
        <v>45</v>
      </c>
      <c r="F57">
        <v>1</v>
      </c>
      <c r="G57">
        <v>29</v>
      </c>
      <c r="I57">
        <v>5</v>
      </c>
      <c r="J57">
        <v>17</v>
      </c>
      <c r="K57">
        <v>15</v>
      </c>
      <c r="L57">
        <v>12</v>
      </c>
      <c r="M57">
        <v>39</v>
      </c>
      <c r="N57">
        <v>3</v>
      </c>
      <c r="P57">
        <v>32</v>
      </c>
      <c r="R57">
        <v>23</v>
      </c>
      <c r="S57">
        <v>9</v>
      </c>
      <c r="T57">
        <v>12</v>
      </c>
      <c r="U57">
        <v>6</v>
      </c>
      <c r="W57">
        <v>18</v>
      </c>
      <c r="X57">
        <v>14</v>
      </c>
      <c r="Y57">
        <v>14</v>
      </c>
      <c r="Z57">
        <v>4</v>
      </c>
      <c r="AA57">
        <v>7</v>
      </c>
      <c r="AB57">
        <v>4</v>
      </c>
      <c r="AD57">
        <v>15</v>
      </c>
      <c r="AE57">
        <v>27</v>
      </c>
      <c r="AG57">
        <v>365</v>
      </c>
    </row>
    <row r="58" spans="1:33">
      <c r="A58" t="s">
        <v>38</v>
      </c>
      <c r="C58">
        <v>7</v>
      </c>
      <c r="D58">
        <v>2</v>
      </c>
      <c r="E58">
        <v>23</v>
      </c>
      <c r="F58">
        <v>1</v>
      </c>
      <c r="G58">
        <v>28</v>
      </c>
      <c r="I58">
        <v>3</v>
      </c>
      <c r="J58">
        <v>15</v>
      </c>
      <c r="K58">
        <v>14</v>
      </c>
      <c r="L58">
        <v>12</v>
      </c>
      <c r="M58">
        <v>35</v>
      </c>
      <c r="N58">
        <v>3</v>
      </c>
      <c r="P58">
        <v>29</v>
      </c>
      <c r="R58">
        <v>19</v>
      </c>
      <c r="S58">
        <v>7</v>
      </c>
      <c r="T58">
        <v>12</v>
      </c>
      <c r="U58">
        <v>6</v>
      </c>
      <c r="W58">
        <v>14</v>
      </c>
      <c r="X58">
        <v>14</v>
      </c>
      <c r="Y58">
        <v>12</v>
      </c>
      <c r="Z58">
        <v>4</v>
      </c>
      <c r="AA58">
        <v>7</v>
      </c>
      <c r="AB58">
        <v>4</v>
      </c>
      <c r="AD58">
        <v>14</v>
      </c>
      <c r="AE58">
        <v>25</v>
      </c>
      <c r="AG58">
        <v>310</v>
      </c>
    </row>
    <row r="59" spans="1:33">
      <c r="A59" t="s">
        <v>53</v>
      </c>
      <c r="C59">
        <v>1</v>
      </c>
      <c r="D59">
        <v>1</v>
      </c>
      <c r="F59">
        <v>1</v>
      </c>
      <c r="G59">
        <v>27</v>
      </c>
      <c r="J59">
        <v>1</v>
      </c>
      <c r="L59">
        <v>2</v>
      </c>
      <c r="M59">
        <v>2</v>
      </c>
      <c r="N59">
        <v>3</v>
      </c>
      <c r="P59">
        <v>4</v>
      </c>
      <c r="R59">
        <v>5</v>
      </c>
      <c r="S59">
        <v>3</v>
      </c>
      <c r="T59">
        <v>5</v>
      </c>
      <c r="U59">
        <v>5</v>
      </c>
      <c r="W59">
        <v>1</v>
      </c>
      <c r="X59">
        <v>4</v>
      </c>
      <c r="Z59">
        <v>4</v>
      </c>
      <c r="AA59">
        <v>6</v>
      </c>
      <c r="AB59">
        <v>3</v>
      </c>
      <c r="AD59">
        <v>11</v>
      </c>
      <c r="AE59">
        <v>11</v>
      </c>
      <c r="AG59">
        <v>100</v>
      </c>
    </row>
    <row r="60" spans="1:33">
      <c r="A60" t="s">
        <v>36</v>
      </c>
      <c r="C60">
        <v>2</v>
      </c>
      <c r="E60">
        <v>1</v>
      </c>
      <c r="G60">
        <v>2</v>
      </c>
      <c r="K60">
        <v>1</v>
      </c>
      <c r="M60">
        <v>2</v>
      </c>
      <c r="N60">
        <v>1</v>
      </c>
      <c r="P60">
        <v>3</v>
      </c>
      <c r="R60">
        <v>5</v>
      </c>
      <c r="U60">
        <v>1</v>
      </c>
      <c r="X60">
        <v>2</v>
      </c>
      <c r="Z60">
        <v>2</v>
      </c>
      <c r="AA60">
        <v>4</v>
      </c>
      <c r="AB60">
        <v>1</v>
      </c>
      <c r="AG60">
        <v>27</v>
      </c>
    </row>
    <row r="61" spans="1:33">
      <c r="A61" t="s">
        <v>47</v>
      </c>
      <c r="C61">
        <v>2</v>
      </c>
      <c r="E61">
        <v>1</v>
      </c>
      <c r="J61">
        <v>1</v>
      </c>
      <c r="K61">
        <v>1</v>
      </c>
      <c r="M61">
        <v>1</v>
      </c>
      <c r="N61">
        <v>1</v>
      </c>
      <c r="P61">
        <v>2</v>
      </c>
      <c r="R61">
        <v>1</v>
      </c>
      <c r="T61">
        <v>1</v>
      </c>
      <c r="U61">
        <v>1</v>
      </c>
      <c r="AB61">
        <v>1</v>
      </c>
      <c r="AG61">
        <v>13</v>
      </c>
    </row>
    <row r="62" spans="1:33">
      <c r="A62" t="s">
        <v>48</v>
      </c>
      <c r="C62">
        <v>5</v>
      </c>
      <c r="D62">
        <v>1</v>
      </c>
      <c r="E62">
        <v>23</v>
      </c>
      <c r="G62">
        <v>2</v>
      </c>
      <c r="I62">
        <v>2</v>
      </c>
      <c r="J62">
        <v>2</v>
      </c>
      <c r="K62">
        <v>1</v>
      </c>
      <c r="M62">
        <v>4</v>
      </c>
      <c r="N62">
        <v>1</v>
      </c>
      <c r="P62">
        <v>3</v>
      </c>
      <c r="R62">
        <v>5</v>
      </c>
      <c r="S62">
        <v>2</v>
      </c>
      <c r="W62">
        <v>5</v>
      </c>
      <c r="X62">
        <v>1</v>
      </c>
      <c r="Y62">
        <v>3</v>
      </c>
      <c r="AA62">
        <v>1</v>
      </c>
      <c r="AD62">
        <v>1</v>
      </c>
      <c r="AE62">
        <v>2</v>
      </c>
      <c r="AG62">
        <v>64</v>
      </c>
    </row>
    <row r="63" spans="1:33">
      <c r="A63" t="s">
        <v>46</v>
      </c>
      <c r="C63">
        <v>5</v>
      </c>
      <c r="D63">
        <v>1</v>
      </c>
      <c r="E63">
        <v>22</v>
      </c>
      <c r="G63">
        <v>2</v>
      </c>
      <c r="I63">
        <v>3</v>
      </c>
      <c r="J63">
        <v>2</v>
      </c>
      <c r="K63">
        <v>1</v>
      </c>
      <c r="L63">
        <v>1</v>
      </c>
      <c r="M63">
        <v>4</v>
      </c>
      <c r="N63">
        <v>2</v>
      </c>
      <c r="P63">
        <v>3</v>
      </c>
      <c r="R63">
        <v>4</v>
      </c>
      <c r="S63">
        <v>3</v>
      </c>
      <c r="T63">
        <v>1</v>
      </c>
      <c r="W63">
        <v>4</v>
      </c>
      <c r="X63">
        <v>1</v>
      </c>
      <c r="Y63">
        <v>3</v>
      </c>
      <c r="Z63">
        <v>1</v>
      </c>
      <c r="AA63">
        <v>1</v>
      </c>
      <c r="AB63">
        <v>1</v>
      </c>
      <c r="AD63">
        <v>2</v>
      </c>
      <c r="AE63">
        <v>3</v>
      </c>
      <c r="AG63">
        <v>70</v>
      </c>
    </row>
    <row r="64" spans="1:33">
      <c r="A64" t="s">
        <v>35</v>
      </c>
      <c r="E64">
        <v>1</v>
      </c>
      <c r="I64">
        <v>1</v>
      </c>
      <c r="J64">
        <v>2</v>
      </c>
      <c r="M64">
        <v>1</v>
      </c>
      <c r="N64">
        <v>2</v>
      </c>
      <c r="P64">
        <v>2</v>
      </c>
      <c r="U64">
        <v>1</v>
      </c>
      <c r="W64">
        <v>1</v>
      </c>
      <c r="Y64">
        <v>1</v>
      </c>
      <c r="Z64">
        <v>3</v>
      </c>
      <c r="AB64">
        <v>1</v>
      </c>
      <c r="AG64">
        <v>16</v>
      </c>
    </row>
    <row r="65" spans="1:33">
      <c r="A65" t="s">
        <v>67</v>
      </c>
      <c r="C65">
        <v>1</v>
      </c>
      <c r="I65">
        <v>2</v>
      </c>
      <c r="J65">
        <v>4</v>
      </c>
      <c r="L65">
        <v>1</v>
      </c>
      <c r="M65">
        <v>2</v>
      </c>
      <c r="R65">
        <v>2</v>
      </c>
      <c r="S65">
        <v>4</v>
      </c>
      <c r="T65">
        <v>2</v>
      </c>
      <c r="W65">
        <v>2</v>
      </c>
      <c r="X65">
        <v>1</v>
      </c>
      <c r="Y65">
        <v>3</v>
      </c>
      <c r="AA65">
        <v>1</v>
      </c>
      <c r="AD65">
        <v>4</v>
      </c>
      <c r="AG65">
        <v>29</v>
      </c>
    </row>
    <row r="66" spans="1:33">
      <c r="A66" t="s">
        <v>108</v>
      </c>
      <c r="C66">
        <v>6</v>
      </c>
      <c r="D66">
        <v>3</v>
      </c>
      <c r="E66">
        <v>1</v>
      </c>
      <c r="F66">
        <v>3</v>
      </c>
      <c r="G66">
        <v>4</v>
      </c>
      <c r="I66">
        <v>3</v>
      </c>
      <c r="J66">
        <v>6</v>
      </c>
      <c r="K66">
        <v>4</v>
      </c>
      <c r="L66">
        <v>4</v>
      </c>
      <c r="M66">
        <v>5</v>
      </c>
      <c r="N66">
        <v>5</v>
      </c>
      <c r="P66">
        <v>7</v>
      </c>
      <c r="R66">
        <v>3</v>
      </c>
      <c r="S66">
        <v>2</v>
      </c>
      <c r="T66">
        <v>2</v>
      </c>
      <c r="U66">
        <v>3</v>
      </c>
      <c r="W66">
        <v>5</v>
      </c>
      <c r="X66">
        <v>6</v>
      </c>
      <c r="Y66">
        <v>4</v>
      </c>
      <c r="Z66">
        <v>3</v>
      </c>
      <c r="AA66">
        <v>4</v>
      </c>
      <c r="AB66">
        <v>7</v>
      </c>
      <c r="AD66">
        <v>1</v>
      </c>
      <c r="AE66">
        <v>5</v>
      </c>
      <c r="AG66">
        <v>96</v>
      </c>
    </row>
    <row r="67" spans="1:33">
      <c r="A67" t="s">
        <v>129</v>
      </c>
      <c r="C67">
        <v>3</v>
      </c>
      <c r="D67">
        <v>3</v>
      </c>
      <c r="E67">
        <v>4</v>
      </c>
      <c r="F67">
        <v>1</v>
      </c>
      <c r="G67">
        <v>1</v>
      </c>
      <c r="I67">
        <v>2</v>
      </c>
      <c r="J67">
        <v>3</v>
      </c>
      <c r="K67">
        <v>5</v>
      </c>
      <c r="L67">
        <v>3</v>
      </c>
      <c r="M67">
        <v>2</v>
      </c>
      <c r="P67">
        <v>4</v>
      </c>
      <c r="R67">
        <v>6</v>
      </c>
      <c r="S67">
        <v>2</v>
      </c>
      <c r="T67">
        <v>2</v>
      </c>
      <c r="U67">
        <v>4</v>
      </c>
      <c r="W67">
        <v>1</v>
      </c>
      <c r="X67">
        <v>1</v>
      </c>
      <c r="Y67">
        <v>3</v>
      </c>
      <c r="Z67">
        <v>1</v>
      </c>
      <c r="AA67">
        <v>4</v>
      </c>
      <c r="AB67">
        <v>3</v>
      </c>
      <c r="AD67">
        <v>1</v>
      </c>
      <c r="AE67">
        <v>5</v>
      </c>
      <c r="AG67">
        <v>64</v>
      </c>
    </row>
    <row r="68" spans="1:33">
      <c r="A68" t="s">
        <v>118</v>
      </c>
      <c r="C68">
        <v>2</v>
      </c>
      <c r="D68">
        <v>1</v>
      </c>
      <c r="E68">
        <v>1</v>
      </c>
      <c r="F68">
        <v>1</v>
      </c>
      <c r="G68">
        <v>1</v>
      </c>
      <c r="K68">
        <v>3</v>
      </c>
      <c r="M68">
        <v>1</v>
      </c>
      <c r="P68">
        <v>1</v>
      </c>
      <c r="T68">
        <v>1</v>
      </c>
      <c r="W68">
        <v>1</v>
      </c>
      <c r="AG68">
        <v>13</v>
      </c>
    </row>
    <row r="69" spans="1:33">
      <c r="A69" t="s">
        <v>90</v>
      </c>
      <c r="C69">
        <v>1</v>
      </c>
      <c r="F69">
        <v>1</v>
      </c>
      <c r="M69">
        <v>1</v>
      </c>
      <c r="T69">
        <v>3</v>
      </c>
      <c r="Y69">
        <v>1</v>
      </c>
      <c r="AE69">
        <v>2</v>
      </c>
      <c r="AG69">
        <v>9</v>
      </c>
    </row>
    <row r="70" spans="1:33">
      <c r="A70" t="s">
        <v>130</v>
      </c>
      <c r="C70">
        <v>2</v>
      </c>
      <c r="D70">
        <v>1</v>
      </c>
      <c r="E70">
        <v>1</v>
      </c>
      <c r="G70">
        <v>1</v>
      </c>
      <c r="I70">
        <v>2</v>
      </c>
      <c r="R70">
        <v>1</v>
      </c>
      <c r="T70">
        <v>1</v>
      </c>
      <c r="U70">
        <v>1</v>
      </c>
      <c r="W70">
        <v>1</v>
      </c>
      <c r="X70">
        <v>1</v>
      </c>
      <c r="Y70">
        <v>1</v>
      </c>
      <c r="AA70">
        <v>1</v>
      </c>
      <c r="AB70">
        <v>1</v>
      </c>
      <c r="AD70">
        <v>1</v>
      </c>
      <c r="AG70">
        <v>16</v>
      </c>
    </row>
    <row r="71" spans="1:33">
      <c r="A71" t="s">
        <v>91</v>
      </c>
      <c r="M71">
        <v>1</v>
      </c>
      <c r="U71">
        <v>1</v>
      </c>
      <c r="Z71">
        <v>1</v>
      </c>
      <c r="AG71">
        <v>3</v>
      </c>
    </row>
    <row r="72" spans="1:33">
      <c r="A72" t="s">
        <v>93</v>
      </c>
      <c r="C72">
        <v>1</v>
      </c>
      <c r="F72">
        <v>1</v>
      </c>
      <c r="S72">
        <v>1</v>
      </c>
      <c r="U72">
        <v>1</v>
      </c>
      <c r="Y72">
        <v>2</v>
      </c>
      <c r="AG72">
        <v>6</v>
      </c>
    </row>
    <row r="73" spans="1:33">
      <c r="A73" t="s">
        <v>104</v>
      </c>
      <c r="C73">
        <v>3</v>
      </c>
      <c r="E73">
        <v>1</v>
      </c>
      <c r="F73">
        <v>1</v>
      </c>
      <c r="G73">
        <v>1</v>
      </c>
      <c r="I73">
        <v>3</v>
      </c>
      <c r="J73">
        <v>2</v>
      </c>
      <c r="L73">
        <v>1</v>
      </c>
      <c r="M73">
        <v>3</v>
      </c>
      <c r="P73">
        <v>2</v>
      </c>
      <c r="R73">
        <v>2</v>
      </c>
      <c r="S73">
        <v>2</v>
      </c>
      <c r="T73">
        <v>1</v>
      </c>
      <c r="U73">
        <v>2</v>
      </c>
      <c r="W73">
        <v>2</v>
      </c>
      <c r="X73">
        <v>3</v>
      </c>
      <c r="Y73">
        <v>2</v>
      </c>
      <c r="AA73">
        <v>1</v>
      </c>
      <c r="AD73">
        <v>2</v>
      </c>
      <c r="AG73">
        <v>34</v>
      </c>
    </row>
    <row r="74" spans="1:33">
      <c r="A74" t="s">
        <v>103</v>
      </c>
      <c r="C74">
        <v>1</v>
      </c>
      <c r="E74">
        <v>1</v>
      </c>
      <c r="G74">
        <v>1</v>
      </c>
      <c r="I74">
        <v>2</v>
      </c>
      <c r="J74">
        <v>2</v>
      </c>
      <c r="R74">
        <v>1</v>
      </c>
      <c r="U74">
        <v>1</v>
      </c>
      <c r="W74">
        <v>1</v>
      </c>
      <c r="X74">
        <v>1</v>
      </c>
      <c r="Y74">
        <v>2</v>
      </c>
      <c r="AA74">
        <v>1</v>
      </c>
      <c r="AD74">
        <v>2</v>
      </c>
      <c r="AG74">
        <v>16</v>
      </c>
    </row>
    <row r="75" spans="1:33">
      <c r="A75" t="s">
        <v>113</v>
      </c>
      <c r="C75">
        <v>1</v>
      </c>
      <c r="E75">
        <v>1</v>
      </c>
      <c r="F75">
        <v>1</v>
      </c>
      <c r="G75">
        <v>2</v>
      </c>
      <c r="I75">
        <v>1</v>
      </c>
      <c r="J75">
        <v>4</v>
      </c>
      <c r="L75">
        <v>4</v>
      </c>
      <c r="M75">
        <v>3</v>
      </c>
      <c r="P75">
        <v>2</v>
      </c>
      <c r="R75">
        <v>2</v>
      </c>
      <c r="S75">
        <v>2</v>
      </c>
      <c r="T75">
        <v>1</v>
      </c>
      <c r="U75">
        <v>1</v>
      </c>
      <c r="W75">
        <v>5</v>
      </c>
      <c r="X75">
        <v>1</v>
      </c>
      <c r="Y75">
        <v>3</v>
      </c>
      <c r="AA75">
        <v>1</v>
      </c>
      <c r="AD75">
        <v>1</v>
      </c>
      <c r="AG75">
        <v>36</v>
      </c>
    </row>
    <row r="76" spans="1:33">
      <c r="A76" t="s">
        <v>114</v>
      </c>
      <c r="J76">
        <v>2</v>
      </c>
      <c r="W76">
        <v>1</v>
      </c>
      <c r="AA76">
        <v>2</v>
      </c>
      <c r="AD76">
        <v>1</v>
      </c>
      <c r="AG76">
        <v>6</v>
      </c>
    </row>
    <row r="77" spans="1:33">
      <c r="A77" t="s">
        <v>102</v>
      </c>
      <c r="C77">
        <v>3</v>
      </c>
      <c r="D77">
        <v>1</v>
      </c>
      <c r="F77">
        <v>1</v>
      </c>
      <c r="G77">
        <v>3</v>
      </c>
      <c r="I77">
        <v>2</v>
      </c>
      <c r="J77">
        <v>2</v>
      </c>
      <c r="L77">
        <v>1</v>
      </c>
      <c r="N77">
        <v>1</v>
      </c>
      <c r="R77">
        <v>1</v>
      </c>
      <c r="T77">
        <v>1</v>
      </c>
      <c r="U77">
        <v>2</v>
      </c>
      <c r="W77">
        <v>2</v>
      </c>
      <c r="X77">
        <v>1</v>
      </c>
      <c r="Y77">
        <v>3</v>
      </c>
      <c r="Z77">
        <v>1</v>
      </c>
      <c r="AA77">
        <v>1</v>
      </c>
      <c r="AG77">
        <v>26</v>
      </c>
    </row>
    <row r="78" spans="1:33">
      <c r="A78" t="s">
        <v>85</v>
      </c>
      <c r="C78">
        <v>1</v>
      </c>
      <c r="G78">
        <v>2</v>
      </c>
      <c r="I78">
        <v>1</v>
      </c>
      <c r="K78">
        <v>1</v>
      </c>
      <c r="T78">
        <v>1</v>
      </c>
      <c r="U78">
        <v>1</v>
      </c>
      <c r="W78">
        <v>2</v>
      </c>
      <c r="Y78">
        <v>1</v>
      </c>
      <c r="AG78">
        <v>10</v>
      </c>
    </row>
    <row r="79" spans="1:33">
      <c r="A79" t="s">
        <v>107</v>
      </c>
      <c r="C79">
        <v>1</v>
      </c>
      <c r="D79">
        <v>4</v>
      </c>
      <c r="E79">
        <v>15</v>
      </c>
      <c r="F79">
        <v>3</v>
      </c>
      <c r="G79">
        <v>4</v>
      </c>
      <c r="J79">
        <v>2</v>
      </c>
      <c r="K79">
        <v>1</v>
      </c>
      <c r="M79">
        <v>3</v>
      </c>
      <c r="P79">
        <v>5</v>
      </c>
      <c r="R79">
        <v>3</v>
      </c>
      <c r="S79">
        <v>1</v>
      </c>
      <c r="W79">
        <v>2</v>
      </c>
      <c r="X79">
        <v>2</v>
      </c>
      <c r="AB79">
        <v>3</v>
      </c>
      <c r="AD79">
        <v>7</v>
      </c>
      <c r="AE79">
        <v>4</v>
      </c>
      <c r="AG79">
        <v>60</v>
      </c>
    </row>
    <row r="80" spans="1:33">
      <c r="A80" t="s">
        <v>105</v>
      </c>
      <c r="C80">
        <v>1</v>
      </c>
      <c r="D80">
        <v>3</v>
      </c>
      <c r="E80">
        <v>15</v>
      </c>
      <c r="F80">
        <v>2</v>
      </c>
      <c r="G80">
        <v>2</v>
      </c>
      <c r="J80">
        <v>3</v>
      </c>
      <c r="K80">
        <v>1</v>
      </c>
      <c r="L80">
        <v>1</v>
      </c>
      <c r="M80">
        <v>3</v>
      </c>
      <c r="N80">
        <v>2</v>
      </c>
      <c r="P80">
        <v>1</v>
      </c>
      <c r="R80">
        <v>3</v>
      </c>
      <c r="U80">
        <v>1</v>
      </c>
      <c r="W80">
        <v>2</v>
      </c>
      <c r="Z80">
        <v>1</v>
      </c>
      <c r="AD80">
        <v>1</v>
      </c>
      <c r="AG80">
        <v>42</v>
      </c>
    </row>
    <row r="81" spans="1:33">
      <c r="A81" t="s">
        <v>106</v>
      </c>
      <c r="C81">
        <v>1</v>
      </c>
      <c r="D81">
        <v>3</v>
      </c>
      <c r="E81">
        <v>15</v>
      </c>
      <c r="G81">
        <v>1</v>
      </c>
      <c r="J81">
        <v>3</v>
      </c>
      <c r="K81">
        <v>1</v>
      </c>
      <c r="L81">
        <v>1</v>
      </c>
      <c r="M81">
        <v>3</v>
      </c>
      <c r="N81">
        <v>1</v>
      </c>
      <c r="P81">
        <v>2</v>
      </c>
      <c r="R81">
        <v>3</v>
      </c>
      <c r="U81">
        <v>1</v>
      </c>
      <c r="W81">
        <v>2</v>
      </c>
      <c r="AD81">
        <v>1</v>
      </c>
      <c r="AG81">
        <v>38</v>
      </c>
    </row>
    <row r="82" spans="1:33">
      <c r="A82" t="s">
        <v>72</v>
      </c>
      <c r="C82">
        <v>5</v>
      </c>
      <c r="D82">
        <v>1</v>
      </c>
      <c r="E82">
        <v>2</v>
      </c>
      <c r="G82">
        <v>1</v>
      </c>
      <c r="I82">
        <v>3</v>
      </c>
      <c r="J82">
        <v>12</v>
      </c>
      <c r="K82">
        <v>13</v>
      </c>
      <c r="L82">
        <v>10</v>
      </c>
      <c r="M82">
        <v>30</v>
      </c>
      <c r="N82">
        <v>1</v>
      </c>
      <c r="P82">
        <v>24</v>
      </c>
      <c r="R82">
        <v>16</v>
      </c>
      <c r="S82">
        <v>2</v>
      </c>
      <c r="T82">
        <v>9</v>
      </c>
      <c r="U82">
        <v>2</v>
      </c>
      <c r="W82">
        <v>13</v>
      </c>
      <c r="X82">
        <v>12</v>
      </c>
      <c r="Y82">
        <v>10</v>
      </c>
      <c r="Z82">
        <v>1</v>
      </c>
      <c r="AA82">
        <v>1</v>
      </c>
      <c r="AB82">
        <v>2</v>
      </c>
      <c r="AD82">
        <v>5</v>
      </c>
      <c r="AE82">
        <v>15</v>
      </c>
      <c r="AG82">
        <v>190</v>
      </c>
    </row>
    <row r="83" spans="1:33">
      <c r="A83" t="s">
        <v>74</v>
      </c>
      <c r="D83">
        <v>1</v>
      </c>
      <c r="F83">
        <v>1</v>
      </c>
      <c r="G83">
        <v>1</v>
      </c>
      <c r="M83">
        <v>1</v>
      </c>
      <c r="U83">
        <v>3</v>
      </c>
      <c r="W83">
        <v>1</v>
      </c>
      <c r="X83">
        <v>1</v>
      </c>
      <c r="AD83">
        <v>2</v>
      </c>
      <c r="AE83">
        <v>1</v>
      </c>
      <c r="AG83">
        <v>12</v>
      </c>
    </row>
    <row r="84" spans="1:33">
      <c r="A84" t="s">
        <v>75</v>
      </c>
      <c r="J84">
        <v>1</v>
      </c>
      <c r="K84">
        <v>1</v>
      </c>
      <c r="U84">
        <v>1</v>
      </c>
      <c r="AG8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BN1048563"/>
  <sheetViews>
    <sheetView tabSelected="1" zoomScale="85" zoomScaleNormal="85" workbookViewId="0">
      <pane xSplit="3" ySplit="3" topLeftCell="D4" activePane="bottomRight" state="frozen"/>
      <selection activeCell="O147" sqref="O147:S150"/>
      <selection pane="topRight" activeCell="O147" sqref="O147:S150"/>
      <selection pane="bottomLeft" activeCell="O147" sqref="O147:S150"/>
      <selection pane="bottomRight" activeCell="O147" sqref="O147:S150"/>
    </sheetView>
  </sheetViews>
  <sheetFormatPr defaultColWidth="12.5703125" defaultRowHeight="15" customHeight="1"/>
  <cols>
    <col min="1" max="1" width="4.140625" customWidth="1"/>
    <col min="2" max="2" width="4.5703125" customWidth="1"/>
    <col min="3" max="3" width="26.140625" customWidth="1"/>
    <col min="4" max="4" width="8.140625" customWidth="1"/>
    <col min="5" max="5" width="12.42578125" hidden="1" customWidth="1"/>
    <col min="6" max="6" width="12.85546875" hidden="1" customWidth="1"/>
    <col min="7" max="7" width="9.5703125" customWidth="1"/>
    <col min="8" max="8" width="4.7109375" style="5" customWidth="1"/>
    <col min="9" max="38" width="4.7109375" style="6" customWidth="1"/>
    <col min="39" max="39" width="6.7109375" style="6" customWidth="1"/>
    <col min="40" max="40" width="12.42578125" customWidth="1"/>
    <col min="41" max="41" width="12.28515625" customWidth="1"/>
    <col min="42" max="42" width="7.85546875" customWidth="1"/>
    <col min="43" max="43" width="8.140625" customWidth="1"/>
    <col min="44" max="44" width="12.85546875" style="70" customWidth="1"/>
    <col min="45" max="45" width="4.5703125" style="71" customWidth="1"/>
    <col min="46" max="46" width="12.7109375" style="72" customWidth="1"/>
    <col min="47" max="47" width="4.42578125" style="71" customWidth="1"/>
    <col min="48" max="48" width="15.7109375" style="72" customWidth="1"/>
    <col min="49" max="49" width="13.85546875" style="72" customWidth="1"/>
    <col min="50" max="52" width="13.85546875" customWidth="1"/>
    <col min="53" max="53" width="10.42578125" customWidth="1"/>
    <col min="54" max="56" width="9.140625" customWidth="1"/>
    <col min="57" max="57" width="76.42578125" customWidth="1"/>
    <col min="58" max="58" width="15.42578125" customWidth="1"/>
  </cols>
  <sheetData>
    <row r="1" spans="1:66" ht="30.75" hidden="1" customHeight="1">
      <c r="A1" s="214"/>
      <c r="B1" s="215"/>
      <c r="C1" s="215"/>
      <c r="D1" s="214"/>
      <c r="E1" s="215"/>
      <c r="F1" s="215"/>
      <c r="G1" s="21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2"/>
      <c r="AN1" s="12"/>
      <c r="AO1" s="12"/>
      <c r="AP1" s="12"/>
      <c r="AQ1" s="12"/>
      <c r="AR1" s="83"/>
      <c r="AS1" s="83"/>
      <c r="AT1" s="84"/>
      <c r="AU1" s="83"/>
      <c r="AV1" s="85"/>
      <c r="AW1" s="85"/>
      <c r="AX1" s="12"/>
      <c r="AY1" s="12"/>
      <c r="AZ1" s="12"/>
      <c r="BA1" s="12"/>
      <c r="BB1" s="26"/>
      <c r="BC1" s="26"/>
      <c r="BD1" s="26"/>
      <c r="BE1" s="26"/>
      <c r="BF1" s="26"/>
    </row>
    <row r="2" spans="1:66" ht="24.75" customHeight="1">
      <c r="A2" s="252" t="s">
        <v>0</v>
      </c>
      <c r="B2" s="257"/>
      <c r="C2" s="254" t="s">
        <v>1</v>
      </c>
      <c r="D2" s="255" t="s">
        <v>2</v>
      </c>
      <c r="E2" s="255" t="s">
        <v>3</v>
      </c>
      <c r="F2" s="255" t="s">
        <v>4</v>
      </c>
      <c r="G2" s="271" t="s">
        <v>168</v>
      </c>
      <c r="H2" s="283" t="s">
        <v>169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72" t="s">
        <v>98</v>
      </c>
      <c r="AN2" s="256" t="s">
        <v>5</v>
      </c>
      <c r="AO2" s="256" t="s">
        <v>6</v>
      </c>
      <c r="AP2" s="265" t="s">
        <v>7</v>
      </c>
      <c r="AQ2" s="284"/>
      <c r="AR2" s="285" t="s">
        <v>457</v>
      </c>
      <c r="AS2" s="286"/>
      <c r="AT2" s="285" t="s">
        <v>457</v>
      </c>
      <c r="AU2" s="286"/>
      <c r="AV2" s="287" t="s">
        <v>8</v>
      </c>
      <c r="AW2" s="288"/>
      <c r="AX2" s="253" t="s">
        <v>9</v>
      </c>
      <c r="AY2" s="266"/>
      <c r="AZ2" s="267"/>
      <c r="BA2" s="249" t="s">
        <v>10</v>
      </c>
      <c r="BB2" s="251" t="s">
        <v>11</v>
      </c>
      <c r="BC2" s="27"/>
      <c r="BD2" s="27"/>
      <c r="BE2" s="27"/>
      <c r="BF2" s="27"/>
    </row>
    <row r="3" spans="1:66" ht="24.75" customHeight="1">
      <c r="A3" s="258"/>
      <c r="B3" s="259"/>
      <c r="C3" s="250"/>
      <c r="D3" s="250"/>
      <c r="E3" s="250"/>
      <c r="F3" s="250"/>
      <c r="G3" s="250"/>
      <c r="H3" s="8">
        <v>1</v>
      </c>
      <c r="I3" s="8">
        <v>2</v>
      </c>
      <c r="J3" s="8">
        <v>3</v>
      </c>
      <c r="K3" s="8">
        <v>4</v>
      </c>
      <c r="L3" s="79">
        <v>5</v>
      </c>
      <c r="M3" s="80">
        <v>6</v>
      </c>
      <c r="N3" s="80">
        <v>7</v>
      </c>
      <c r="O3" s="81">
        <v>8</v>
      </c>
      <c r="P3" s="80">
        <v>9</v>
      </c>
      <c r="Q3" s="80">
        <v>10</v>
      </c>
      <c r="R3" s="81">
        <v>11</v>
      </c>
      <c r="S3" s="79">
        <v>12</v>
      </c>
      <c r="T3" s="80">
        <v>13</v>
      </c>
      <c r="U3" s="80">
        <v>14</v>
      </c>
      <c r="V3" s="80">
        <v>15</v>
      </c>
      <c r="W3" s="80">
        <v>16</v>
      </c>
      <c r="X3" s="80">
        <v>17</v>
      </c>
      <c r="Y3" s="80">
        <v>18</v>
      </c>
      <c r="Z3" s="79">
        <v>19</v>
      </c>
      <c r="AA3" s="80">
        <v>20</v>
      </c>
      <c r="AB3" s="80">
        <v>21</v>
      </c>
      <c r="AC3" s="80">
        <v>22</v>
      </c>
      <c r="AD3" s="80">
        <v>23</v>
      </c>
      <c r="AE3" s="80">
        <v>24</v>
      </c>
      <c r="AF3" s="80">
        <v>25</v>
      </c>
      <c r="AG3" s="79">
        <v>26</v>
      </c>
      <c r="AH3" s="131">
        <v>27</v>
      </c>
      <c r="AI3" s="82">
        <v>28</v>
      </c>
      <c r="AJ3" s="131">
        <v>29</v>
      </c>
      <c r="AK3" s="80">
        <v>30</v>
      </c>
      <c r="AL3" s="80">
        <v>31</v>
      </c>
      <c r="AM3" s="273"/>
      <c r="AN3" s="268"/>
      <c r="AO3" s="268"/>
      <c r="AP3" s="16" t="s">
        <v>12</v>
      </c>
      <c r="AQ3" s="15" t="s">
        <v>13</v>
      </c>
      <c r="AR3" s="86" t="s">
        <v>14</v>
      </c>
      <c r="AS3" s="17" t="s">
        <v>54</v>
      </c>
      <c r="AT3" s="86" t="s">
        <v>15</v>
      </c>
      <c r="AU3" s="17" t="s">
        <v>54</v>
      </c>
      <c r="AV3" s="87" t="s">
        <v>16</v>
      </c>
      <c r="AW3" s="98" t="s">
        <v>17</v>
      </c>
      <c r="AX3" s="28" t="s">
        <v>18</v>
      </c>
      <c r="AY3" s="28" t="s">
        <v>19</v>
      </c>
      <c r="AZ3" s="28" t="s">
        <v>20</v>
      </c>
      <c r="BA3" s="264"/>
      <c r="BB3" s="250"/>
      <c r="BC3" s="27"/>
      <c r="BD3" s="27"/>
      <c r="BE3" s="27"/>
      <c r="BF3" s="27"/>
    </row>
    <row r="4" spans="1:66" ht="22.5" customHeight="1">
      <c r="A4" s="262">
        <f t="shared" ref="A4:A39" si="0">AO4</f>
        <v>16</v>
      </c>
      <c r="B4" s="263"/>
      <c r="C4" s="74" t="s">
        <v>99</v>
      </c>
      <c r="D4" s="75">
        <v>30</v>
      </c>
      <c r="E4" s="75">
        <v>22</v>
      </c>
      <c r="F4" s="75">
        <v>19</v>
      </c>
      <c r="G4" s="41">
        <v>29</v>
      </c>
      <c r="H4" s="10" cm="1">
        <f t="array" ref="H4">IFERROR(INDEX(PQ_Juli!$B$2:$AF$1048,MATCH($C4,PQ_Juli!$A$2:$A$1048,0),MATCH(H$3&amp;"",PQ_Juli!$B$1:$AF$1&amp;"",0)),0)</f>
        <v>0</v>
      </c>
      <c r="I4" s="10" cm="1">
        <f t="array" ref="I4">IFERROR(INDEX(PQ_Juli!$B$2:$AF$1048,MATCH($C4,PQ_Juli!$A$2:$A$1048,0),MATCH(I$3&amp;"",PQ_Juli!$B$1:$AF$1&amp;"",0)),0)</f>
        <v>0</v>
      </c>
      <c r="J4" s="10" cm="1">
        <f t="array" ref="J4">IFERROR(INDEX(PQ_Juli!$B$2:$AF$1048,MATCH($C4,PQ_Juli!$A$2:$A$1048,0),MATCH(J$3&amp;"",PQ_Juli!$B$1:$AF$1&amp;"",0)),0)</f>
        <v>1</v>
      </c>
      <c r="K4" s="10" cm="1">
        <f t="array" ref="K4">IFERROR(INDEX(PQ_Juli!$B$2:$AF$1048,MATCH($C4,PQ_Juli!$A$2:$A$1048,0),MATCH(K$3&amp;"",PQ_Juli!$B$1:$AF$1&amp;"",0)),0)</f>
        <v>0</v>
      </c>
      <c r="L4" s="11"/>
      <c r="M4" s="10" cm="1">
        <f t="array" ref="M4">IFERROR(INDEX(PQ_Juli!$B$2:$AF$1048,MATCH($C4,PQ_Juli!$A$2:$A$1048,0),MATCH(M$3&amp;"",PQ_Juli!$B$1:$AF$1&amp;"",0)),0)</f>
        <v>0</v>
      </c>
      <c r="N4" s="10" cm="1">
        <f t="array" ref="N4">IFERROR(INDEX(PQ_Juli!$B$2:$AF$1048,MATCH($C4,PQ_Juli!$A$2:$A$1048,0),MATCH(N$3&amp;"",PQ_Juli!$B$1:$AF$1&amp;"",0)),0)</f>
        <v>1</v>
      </c>
      <c r="O4" s="10" cm="1">
        <f t="array" ref="O4">IFERROR(INDEX(PQ_Juli!$B$2:$AF$1048,MATCH($C4,PQ_Juli!$A$2:$A$1048,0),MATCH(O$3&amp;"",PQ_Juli!$B$1:$AF$1&amp;"",0)),0)</f>
        <v>0</v>
      </c>
      <c r="P4" s="10" cm="1">
        <f t="array" ref="P4">IFERROR(INDEX(PQ_Juli!$B$2:$AF$1048,MATCH($C4,PQ_Juli!$A$2:$A$1048,0),MATCH(P$3&amp;"",PQ_Juli!$B$1:$AF$1&amp;"",0)),0)</f>
        <v>0</v>
      </c>
      <c r="Q4" s="10" cm="1">
        <f t="array" ref="Q4">IFERROR(INDEX(PQ_Juli!$B$2:$AF$1048,MATCH($C4,PQ_Juli!$A$2:$A$1048,0),MATCH(Q$3&amp;"",PQ_Juli!$B$1:$AF$1&amp;"",0)),0)</f>
        <v>1</v>
      </c>
      <c r="R4" s="10" cm="1">
        <f t="array" ref="R4">IFERROR(INDEX(PQ_Juli!$B$2:$AF$1048,MATCH($C4,PQ_Juli!$A$2:$A$1048,0),MATCH(R$3&amp;"",PQ_Juli!$B$1:$AF$1&amp;"",0)),0)</f>
        <v>0</v>
      </c>
      <c r="S4" s="11"/>
      <c r="T4" s="10" cm="1">
        <f t="array" ref="T4">IFERROR(INDEX(PQ_Juli!$B$2:$AF$1048,MATCH($C4,PQ_Juli!$A$2:$A$1048,0),MATCH(T$3&amp;"",PQ_Juli!$B$1:$AF$1&amp;"",0)),0)</f>
        <v>1</v>
      </c>
      <c r="U4" s="10" cm="1">
        <f t="array" ref="U4">IFERROR(INDEX(PQ_Juli!$B$2:$AF$1048,MATCH($C4,PQ_Juli!$A$2:$A$1048,0),MATCH(U$3&amp;"",PQ_Juli!$B$1:$AF$1&amp;"",0)),0)</f>
        <v>0</v>
      </c>
      <c r="V4" s="10" cm="1">
        <f t="array" ref="V4">IFERROR(INDEX(PQ_Juli!$B$2:$AF$1048,MATCH($C4,PQ_Juli!$A$2:$A$1048,0),MATCH(V$3&amp;"",PQ_Juli!$B$1:$AF$1&amp;"",0)),0)</f>
        <v>0</v>
      </c>
      <c r="W4" s="10" cm="1">
        <f t="array" ref="W4">IFERROR(INDEX(PQ_Juli!$B$2:$AF$1048,MATCH($C4,PQ_Juli!$A$2:$A$1048,0),MATCH(W$3&amp;"",PQ_Juli!$B$1:$AF$1&amp;"",0)),0)</f>
        <v>1</v>
      </c>
      <c r="X4" s="10" cm="1">
        <f t="array" ref="X4">IFERROR(INDEX(PQ_Juli!$B$2:$AF$1048,MATCH($C4,PQ_Juli!$A$2:$A$1048,0),MATCH(X$3&amp;"",PQ_Juli!$B$1:$AF$1&amp;"",0)),0)</f>
        <v>1</v>
      </c>
      <c r="Y4" s="10" cm="1">
        <f t="array" ref="Y4">IFERROR(INDEX(PQ_Juli!$B$2:$AF$1048,MATCH($C4,PQ_Juli!$A$2:$A$1048,0),MATCH(Y$3&amp;"",PQ_Juli!$B$1:$AF$1&amp;"",0)),0)</f>
        <v>0</v>
      </c>
      <c r="Z4" s="11"/>
      <c r="AA4" s="10" cm="1">
        <f t="array" ref="AA4">IFERROR(INDEX(PQ_Juli!$B$2:$AF$1048,MATCH($C4,PQ_Juli!$A$2:$A$1048,0),MATCH(AA$3&amp;"",PQ_Juli!$B$1:$AF$1&amp;"",0)),0)</f>
        <v>0</v>
      </c>
      <c r="AB4" s="10" cm="1">
        <f t="array" ref="AB4">IFERROR(INDEX(PQ_Juli!$B$2:$AF$1048,MATCH($C4,PQ_Juli!$A$2:$A$1048,0),MATCH(AB$3&amp;"",PQ_Juli!$B$1:$AF$1&amp;"",0)),0)</f>
        <v>1</v>
      </c>
      <c r="AC4" s="10" cm="1">
        <f t="array" ref="AC4">IFERROR(INDEX(PQ_Juli!$B$2:$AF$1048,MATCH($C4,PQ_Juli!$A$2:$A$1048,0),MATCH(AC$3&amp;"",PQ_Juli!$B$1:$AF$1&amp;"",0)),0)</f>
        <v>0</v>
      </c>
      <c r="AD4" s="10" cm="1">
        <f t="array" ref="AD4">IFERROR(INDEX(PQ_Juli!$B$2:$AF$1048,MATCH($C4,PQ_Juli!$A$2:$A$1048,0),MATCH(AD$3&amp;"",PQ_Juli!$B$1:$AF$1&amp;"",0)),0)</f>
        <v>0</v>
      </c>
      <c r="AE4" s="10" cm="1">
        <f t="array" ref="AE4">IFERROR(INDEX(PQ_Juli!$B$2:$AF$1048,MATCH($C4,PQ_Juli!$A$2:$A$1048,0),MATCH(AE$3&amp;"",PQ_Juli!$B$1:$AF$1&amp;"",0)),0)</f>
        <v>1</v>
      </c>
      <c r="AF4" s="10" cm="1">
        <f t="array" ref="AF4">IFERROR(INDEX(PQ_Juli!$B$2:$AF$1048,MATCH($C4,PQ_Juli!$A$2:$A$1048,0),MATCH(AF$3&amp;"",PQ_Juli!$B$1:$AF$1&amp;"",0)),0)</f>
        <v>0</v>
      </c>
      <c r="AG4" s="11"/>
      <c r="AH4" s="10" cm="1">
        <f t="array" ref="AH4">IFERROR(INDEX(PQ_Juli!$B$2:$AF$1048,MATCH($C4,PQ_Juli!$A$2:$A$1048,0),MATCH(AH$3&amp;"",PQ_Juli!$B$1:$AF$1&amp;"",0)),0)</f>
        <v>0</v>
      </c>
      <c r="AI4" s="10" cm="1">
        <f t="array" ref="AI4">IFERROR(INDEX(PQ_Juli!$B$2:$AF$1048,MATCH($C4,PQ_Juli!$A$2:$A$1048,0),MATCH(AI$3&amp;"",PQ_Juli!$B$1:$AF$1&amp;"",0)),0)</f>
        <v>1</v>
      </c>
      <c r="AJ4" s="10" cm="1">
        <f t="array" ref="AJ4">IFERROR(INDEX(PQ_Juli!$B$2:$AF$1048,MATCH($C4,PQ_Juli!$A$2:$A$1048,0),MATCH(AJ$3&amp;"",PQ_Juli!$B$1:$AF$1&amp;"",0)),0)</f>
        <v>0</v>
      </c>
      <c r="AK4" s="10" cm="1">
        <f t="array" ref="AK4">IFERROR(INDEX(PQ_Juli!$B$2:$AF$1048,MATCH($C4,PQ_Juli!$A$2:$A$1048,0),MATCH(AK$3&amp;"",PQ_Juli!$B$1:$AF$1&amp;"",0)),0)</f>
        <v>0</v>
      </c>
      <c r="AL4" s="10" cm="1">
        <f t="array" ref="AL4">IFERROR(INDEX(PQ_Juli!$B$2:$AF$1048,MATCH($C4,PQ_Juli!$A$2:$A$1048,0),MATCH(AL$3&amp;"",PQ_Juli!$B$1:$AF$1&amp;"",0)),0)</f>
        <v>1</v>
      </c>
      <c r="AM4" s="13">
        <v>3</v>
      </c>
      <c r="AN4" s="14">
        <f>SUM(H4:AL4)+AM4</f>
        <v>13</v>
      </c>
      <c r="AO4" s="18">
        <f t="shared" ref="AO4:AO35" si="1">(G4-AN4)+AZ4</f>
        <v>16</v>
      </c>
      <c r="AP4" s="19">
        <v>20</v>
      </c>
      <c r="AQ4" s="19" t="s">
        <v>21</v>
      </c>
      <c r="AR4" s="88"/>
      <c r="AS4" s="89"/>
      <c r="AT4" s="90"/>
      <c r="AU4" s="89"/>
      <c r="AV4" s="91"/>
      <c r="AW4" s="91"/>
      <c r="AX4" s="29">
        <f>IFERROR(IF(AV4="",0,$D4*AS4),0)</f>
        <v>0</v>
      </c>
      <c r="AY4" s="29">
        <f>IFERROR(IF(AW4="",0,$D4*AU4),0)</f>
        <v>0</v>
      </c>
      <c r="AZ4" s="18">
        <f t="shared" ref="AZ4:AZ68" si="2">AX4+AY4</f>
        <v>0</v>
      </c>
      <c r="BA4" s="18">
        <f t="shared" ref="BA4:BA35" si="3">(G4-AN4)+AZ4</f>
        <v>16</v>
      </c>
      <c r="BB4" s="21"/>
      <c r="BC4" s="30"/>
      <c r="BD4" s="30"/>
      <c r="BE4" s="30"/>
      <c r="BF4" s="30"/>
      <c r="BN4" s="41">
        <v>4</v>
      </c>
    </row>
    <row r="5" spans="1:66" ht="22.5" customHeight="1">
      <c r="A5" s="260">
        <f t="shared" si="0"/>
        <v>68</v>
      </c>
      <c r="B5" s="261"/>
      <c r="C5" s="74" t="s">
        <v>100</v>
      </c>
      <c r="D5" s="75">
        <v>30</v>
      </c>
      <c r="E5" s="75">
        <v>21</v>
      </c>
      <c r="F5" s="75">
        <v>21</v>
      </c>
      <c r="G5" s="41">
        <v>25</v>
      </c>
      <c r="H5" s="10" cm="1">
        <f t="array" ref="H5">IFERROR(INDEX(PQ_Juli!$B$2:$AF$1048,MATCH($C5,PQ_Juli!$A$2:$A$1048,0),MATCH(H$3&amp;"",PQ_Juli!$B$1:$AF$1&amp;"",0)),0)</f>
        <v>2</v>
      </c>
      <c r="I5" s="10" cm="1">
        <f t="array" ref="I5">IFERROR(INDEX(PQ_Juli!$B$2:$AF$1048,MATCH($C5,PQ_Juli!$A$2:$A$1048,0),MATCH(I$3&amp;"",PQ_Juli!$B$1:$AF$1&amp;"",0)),0)</f>
        <v>2</v>
      </c>
      <c r="J5" s="10" cm="1">
        <f t="array" ref="J5">IFERROR(INDEX(PQ_Juli!$B$2:$AF$1048,MATCH($C5,PQ_Juli!$A$2:$A$1048,0),MATCH(J$3&amp;"",PQ_Juli!$B$1:$AF$1&amp;"",0)),0)</f>
        <v>3</v>
      </c>
      <c r="K5" s="10" cm="1">
        <f t="array" ref="K5">IFERROR(INDEX(PQ_Juli!$B$2:$AF$1048,MATCH($C5,PQ_Juli!$A$2:$A$1048,0),MATCH(K$3&amp;"",PQ_Juli!$B$1:$AF$1&amp;"",0)),0)</f>
        <v>0</v>
      </c>
      <c r="L5" s="11"/>
      <c r="M5" s="10" cm="1">
        <f t="array" ref="M5">IFERROR(INDEX(PQ_Juli!$B$2:$AF$1048,MATCH($C5,PQ_Juli!$A$2:$A$1048,0),MATCH(M$3&amp;"",PQ_Juli!$B$1:$AF$1&amp;"",0)),0)</f>
        <v>0</v>
      </c>
      <c r="N5" s="10" cm="1">
        <f t="array" ref="N5">IFERROR(INDEX(PQ_Juli!$B$2:$AF$1048,MATCH($C5,PQ_Juli!$A$2:$A$1048,0),MATCH(N$3&amp;"",PQ_Juli!$B$1:$AF$1&amp;"",0)),0)</f>
        <v>1</v>
      </c>
      <c r="O5" s="10" cm="1">
        <f t="array" ref="O5">IFERROR(INDEX(PQ_Juli!$B$2:$AF$1048,MATCH($C5,PQ_Juli!$A$2:$A$1048,0),MATCH(O$3&amp;"",PQ_Juli!$B$1:$AF$1&amp;"",0)),0)</f>
        <v>0</v>
      </c>
      <c r="P5" s="10" cm="1">
        <f t="array" ref="P5">IFERROR(INDEX(PQ_Juli!$B$2:$AF$1048,MATCH($C5,PQ_Juli!$A$2:$A$1048,0),MATCH(P$3&amp;"",PQ_Juli!$B$1:$AF$1&amp;"",0)),0)</f>
        <v>0</v>
      </c>
      <c r="Q5" s="10" cm="1">
        <f t="array" ref="Q5">IFERROR(INDEX(PQ_Juli!$B$2:$AF$1048,MATCH($C5,PQ_Juli!$A$2:$A$1048,0),MATCH(Q$3&amp;"",PQ_Juli!$B$1:$AF$1&amp;"",0)),0)</f>
        <v>1</v>
      </c>
      <c r="R5" s="10" cm="1">
        <f t="array" ref="R5">IFERROR(INDEX(PQ_Juli!$B$2:$AF$1048,MATCH($C5,PQ_Juli!$A$2:$A$1048,0),MATCH(R$3&amp;"",PQ_Juli!$B$1:$AF$1&amp;"",0)),0)</f>
        <v>0</v>
      </c>
      <c r="S5" s="11"/>
      <c r="T5" s="10" cm="1">
        <f t="array" ref="T5">IFERROR(INDEX(PQ_Juli!$B$2:$AF$1048,MATCH($C5,PQ_Juli!$A$2:$A$1048,0),MATCH(T$3&amp;"",PQ_Juli!$B$1:$AF$1&amp;"",0)),0)</f>
        <v>0</v>
      </c>
      <c r="U5" s="10" cm="1">
        <f t="array" ref="U5">IFERROR(INDEX(PQ_Juli!$B$2:$AF$1048,MATCH($C5,PQ_Juli!$A$2:$A$1048,0),MATCH(U$3&amp;"",PQ_Juli!$B$1:$AF$1&amp;"",0)),0)</f>
        <v>0</v>
      </c>
      <c r="V5" s="10" cm="1">
        <f t="array" ref="V5">IFERROR(INDEX(PQ_Juli!$B$2:$AF$1048,MATCH($C5,PQ_Juli!$A$2:$A$1048,0),MATCH(V$3&amp;"",PQ_Juli!$B$1:$AF$1&amp;"",0)),0)</f>
        <v>0</v>
      </c>
      <c r="W5" s="10" cm="1">
        <f t="array" ref="W5">IFERROR(INDEX(PQ_Juli!$B$2:$AF$1048,MATCH($C5,PQ_Juli!$A$2:$A$1048,0),MATCH(W$3&amp;"",PQ_Juli!$B$1:$AF$1&amp;"",0)),0)</f>
        <v>3</v>
      </c>
      <c r="X5" s="10" cm="1">
        <f t="array" ref="X5">IFERROR(INDEX(PQ_Juli!$B$2:$AF$1048,MATCH($C5,PQ_Juli!$A$2:$A$1048,0),MATCH(X$3&amp;"",PQ_Juli!$B$1:$AF$1&amp;"",0)),0)</f>
        <v>0</v>
      </c>
      <c r="Y5" s="10" cm="1">
        <f t="array" ref="Y5">IFERROR(INDEX(PQ_Juli!$B$2:$AF$1048,MATCH($C5,PQ_Juli!$A$2:$A$1048,0),MATCH(Y$3&amp;"",PQ_Juli!$B$1:$AF$1&amp;"",0)),0)</f>
        <v>0</v>
      </c>
      <c r="Z5" s="11"/>
      <c r="AA5" s="10" cm="1">
        <f t="array" ref="AA5">IFERROR(INDEX(PQ_Juli!$B$2:$AF$1048,MATCH($C5,PQ_Juli!$A$2:$A$1048,0),MATCH(AA$3&amp;"",PQ_Juli!$B$1:$AF$1&amp;"",0)),0)</f>
        <v>0</v>
      </c>
      <c r="AB5" s="10" cm="1">
        <f t="array" ref="AB5">IFERROR(INDEX(PQ_Juli!$B$2:$AF$1048,MATCH($C5,PQ_Juli!$A$2:$A$1048,0),MATCH(AB$3&amp;"",PQ_Juli!$B$1:$AF$1&amp;"",0)),0)</f>
        <v>1</v>
      </c>
      <c r="AC5" s="10" cm="1">
        <f t="array" ref="AC5">IFERROR(INDEX(PQ_Juli!$B$2:$AF$1048,MATCH($C5,PQ_Juli!$A$2:$A$1048,0),MATCH(AC$3&amp;"",PQ_Juli!$B$1:$AF$1&amp;"",0)),0)</f>
        <v>0</v>
      </c>
      <c r="AD5" s="10" cm="1">
        <f t="array" ref="AD5">IFERROR(INDEX(PQ_Juli!$B$2:$AF$1048,MATCH($C5,PQ_Juli!$A$2:$A$1048,0),MATCH(AD$3&amp;"",PQ_Juli!$B$1:$AF$1&amp;"",0)),0)</f>
        <v>1</v>
      </c>
      <c r="AE5" s="10" cm="1">
        <f t="array" ref="AE5">IFERROR(INDEX(PQ_Juli!$B$2:$AF$1048,MATCH($C5,PQ_Juli!$A$2:$A$1048,0),MATCH(AE$3&amp;"",PQ_Juli!$B$1:$AF$1&amp;"",0)),0)</f>
        <v>0</v>
      </c>
      <c r="AF5" s="10" cm="1">
        <f t="array" ref="AF5">IFERROR(INDEX(PQ_Juli!$B$2:$AF$1048,MATCH($C5,PQ_Juli!$A$2:$A$1048,0),MATCH(AF$3&amp;"",PQ_Juli!$B$1:$AF$1&amp;"",0)),0)</f>
        <v>0</v>
      </c>
      <c r="AG5" s="11"/>
      <c r="AH5" s="10" cm="1">
        <f t="array" ref="AH5">IFERROR(INDEX(PQ_Juli!$B$2:$AF$1048,MATCH($C5,PQ_Juli!$A$2:$A$1048,0),MATCH(AH$3&amp;"",PQ_Juli!$B$1:$AF$1&amp;"",0)),0)</f>
        <v>0</v>
      </c>
      <c r="AI5" s="10" cm="1">
        <f t="array" ref="AI5">IFERROR(INDEX(PQ_Juli!$B$2:$AF$1048,MATCH($C5,PQ_Juli!$A$2:$A$1048,0),MATCH(AI$3&amp;"",PQ_Juli!$B$1:$AF$1&amp;"",0)),0)</f>
        <v>0</v>
      </c>
      <c r="AJ5" s="10" cm="1">
        <f t="array" ref="AJ5">IFERROR(INDEX(PQ_Juli!$B$2:$AF$1048,MATCH($C5,PQ_Juli!$A$2:$A$1048,0),MATCH(AJ$3&amp;"",PQ_Juli!$B$1:$AF$1&amp;"",0)),0)</f>
        <v>0</v>
      </c>
      <c r="AK5" s="10" cm="1">
        <f t="array" ref="AK5">IFERROR(INDEX(PQ_Juli!$B$2:$AF$1048,MATCH($C5,PQ_Juli!$A$2:$A$1048,0),MATCH(AK$3&amp;"",PQ_Juli!$B$1:$AF$1&amp;"",0)),0)</f>
        <v>0</v>
      </c>
      <c r="AL5" s="10" cm="1">
        <f t="array" ref="AL5">IFERROR(INDEX(PQ_Juli!$B$2:$AF$1048,MATCH($C5,PQ_Juli!$A$2:$A$1048,0),MATCH(AL$3&amp;"",PQ_Juli!$B$1:$AF$1&amp;"",0)),0)</f>
        <v>0</v>
      </c>
      <c r="AM5" s="13">
        <v>3</v>
      </c>
      <c r="AN5" s="14">
        <f t="shared" ref="AN5:AN68" si="4">SUM(H5:AL5)+AM5</f>
        <v>17</v>
      </c>
      <c r="AO5" s="18">
        <f t="shared" si="1"/>
        <v>68</v>
      </c>
      <c r="AP5" s="19">
        <v>20</v>
      </c>
      <c r="AQ5" s="19" t="s">
        <v>21</v>
      </c>
      <c r="AR5" s="92">
        <v>46210</v>
      </c>
      <c r="AS5" s="29">
        <v>1</v>
      </c>
      <c r="AT5" s="91">
        <v>46232</v>
      </c>
      <c r="AU5" s="29">
        <v>1</v>
      </c>
      <c r="AV5" s="91">
        <v>46213</v>
      </c>
      <c r="AW5" s="91">
        <v>46234</v>
      </c>
      <c r="AX5" s="29">
        <f t="shared" ref="AX5:AX68" si="5">IFERROR(IF(AV5="",0,$D5*AS5),0)</f>
        <v>30</v>
      </c>
      <c r="AY5" s="29">
        <f t="shared" ref="AY5:AY68" si="6">IFERROR(IF(AW5="",0,$D5*AU5),0)</f>
        <v>30</v>
      </c>
      <c r="AZ5" s="18">
        <f t="shared" si="2"/>
        <v>60</v>
      </c>
      <c r="BA5" s="18">
        <f t="shared" si="3"/>
        <v>68</v>
      </c>
      <c r="BB5" s="21"/>
      <c r="BC5" s="30"/>
      <c r="BD5" s="30"/>
      <c r="BE5" s="37" t="s">
        <v>22</v>
      </c>
      <c r="BF5" s="37"/>
      <c r="BN5" s="41">
        <v>37</v>
      </c>
    </row>
    <row r="6" spans="1:66" ht="22.5" customHeight="1">
      <c r="A6" s="262" t="e">
        <f t="shared" si="0"/>
        <v>#REF!</v>
      </c>
      <c r="B6" s="263"/>
      <c r="C6" s="74" t="s">
        <v>101</v>
      </c>
      <c r="D6" s="75">
        <v>30</v>
      </c>
      <c r="E6" s="75">
        <v>41</v>
      </c>
      <c r="F6" s="75">
        <v>30</v>
      </c>
      <c r="G6" s="41" t="e">
        <f>#REF!</f>
        <v>#REF!</v>
      </c>
      <c r="H6" s="10" cm="1">
        <f t="array" ref="H6">IFERROR(INDEX(PQ_Juli!$B$2:$AF$1048,MATCH($C6,PQ_Juli!$A$2:$A$1048,0),MATCH(H$3&amp;"",PQ_Juli!$B$1:$AF$1&amp;"",0)),0)</f>
        <v>2</v>
      </c>
      <c r="I6" s="10" cm="1">
        <f t="array" ref="I6">IFERROR(INDEX(PQ_Juli!$B$2:$AF$1048,MATCH($C6,PQ_Juli!$A$2:$A$1048,0),MATCH(I$3&amp;"",PQ_Juli!$B$1:$AF$1&amp;"",0)),0)</f>
        <v>0</v>
      </c>
      <c r="J6" s="10" cm="1">
        <f t="array" ref="J6">IFERROR(INDEX(PQ_Juli!$B$2:$AF$1048,MATCH($C6,PQ_Juli!$A$2:$A$1048,0),MATCH(J$3&amp;"",PQ_Juli!$B$1:$AF$1&amp;"",0)),0)</f>
        <v>1</v>
      </c>
      <c r="K6" s="10" cm="1">
        <f t="array" ref="K6">IFERROR(INDEX(PQ_Juli!$B$2:$AF$1048,MATCH($C6,PQ_Juli!$A$2:$A$1048,0),MATCH(K$3&amp;"",PQ_Juli!$B$1:$AF$1&amp;"",0)),0)</f>
        <v>1</v>
      </c>
      <c r="L6" s="11"/>
      <c r="M6" s="10" cm="1">
        <f t="array" ref="M6">IFERROR(INDEX(PQ_Juli!$B$2:$AF$1048,MATCH($C6,PQ_Juli!$A$2:$A$1048,0),MATCH(M$3&amp;"",PQ_Juli!$B$1:$AF$1&amp;"",0)),0)</f>
        <v>0</v>
      </c>
      <c r="N6" s="10" cm="1">
        <f t="array" ref="N6">IFERROR(INDEX(PQ_Juli!$B$2:$AF$1048,MATCH($C6,PQ_Juli!$A$2:$A$1048,0),MATCH(N$3&amp;"",PQ_Juli!$B$1:$AF$1&amp;"",0)),0)</f>
        <v>0</v>
      </c>
      <c r="O6" s="10" cm="1">
        <f t="array" ref="O6">IFERROR(INDEX(PQ_Juli!$B$2:$AF$1048,MATCH($C6,PQ_Juli!$A$2:$A$1048,0),MATCH(O$3&amp;"",PQ_Juli!$B$1:$AF$1&amp;"",0)),0)</f>
        <v>0</v>
      </c>
      <c r="P6" s="10" cm="1">
        <f t="array" ref="P6">IFERROR(INDEX(PQ_Juli!$B$2:$AF$1048,MATCH($C6,PQ_Juli!$A$2:$A$1048,0),MATCH(P$3&amp;"",PQ_Juli!$B$1:$AF$1&amp;"",0)),0)</f>
        <v>0</v>
      </c>
      <c r="Q6" s="10" cm="1">
        <f t="array" ref="Q6">IFERROR(INDEX(PQ_Juli!$B$2:$AF$1048,MATCH($C6,PQ_Juli!$A$2:$A$1048,0),MATCH(Q$3&amp;"",PQ_Juli!$B$1:$AF$1&amp;"",0)),0)</f>
        <v>2</v>
      </c>
      <c r="R6" s="10" cm="1">
        <f t="array" ref="R6">IFERROR(INDEX(PQ_Juli!$B$2:$AF$1048,MATCH($C6,PQ_Juli!$A$2:$A$1048,0),MATCH(R$3&amp;"",PQ_Juli!$B$1:$AF$1&amp;"",0)),0)</f>
        <v>0</v>
      </c>
      <c r="S6" s="11"/>
      <c r="T6" s="10" cm="1">
        <f t="array" ref="T6">IFERROR(INDEX(PQ_Juli!$B$2:$AF$1048,MATCH($C6,PQ_Juli!$A$2:$A$1048,0),MATCH(T$3&amp;"",PQ_Juli!$B$1:$AF$1&amp;"",0)),0)</f>
        <v>2</v>
      </c>
      <c r="U6" s="10" cm="1">
        <f t="array" ref="U6">IFERROR(INDEX(PQ_Juli!$B$2:$AF$1048,MATCH($C6,PQ_Juli!$A$2:$A$1048,0),MATCH(U$3&amp;"",PQ_Juli!$B$1:$AF$1&amp;"",0)),0)</f>
        <v>0</v>
      </c>
      <c r="V6" s="10" cm="1">
        <f t="array" ref="V6">IFERROR(INDEX(PQ_Juli!$B$2:$AF$1048,MATCH($C6,PQ_Juli!$A$2:$A$1048,0),MATCH(V$3&amp;"",PQ_Juli!$B$1:$AF$1&amp;"",0)),0)</f>
        <v>0</v>
      </c>
      <c r="W6" s="10" cm="1">
        <f t="array" ref="W6">IFERROR(INDEX(PQ_Juli!$B$2:$AF$1048,MATCH($C6,PQ_Juli!$A$2:$A$1048,0),MATCH(W$3&amp;"",PQ_Juli!$B$1:$AF$1&amp;"",0)),0)</f>
        <v>2</v>
      </c>
      <c r="X6" s="10" cm="1">
        <f t="array" ref="X6">IFERROR(INDEX(PQ_Juli!$B$2:$AF$1048,MATCH($C6,PQ_Juli!$A$2:$A$1048,0),MATCH(X$3&amp;"",PQ_Juli!$B$1:$AF$1&amp;"",0)),0)</f>
        <v>0</v>
      </c>
      <c r="Y6" s="10" cm="1">
        <f t="array" ref="Y6">IFERROR(INDEX(PQ_Juli!$B$2:$AF$1048,MATCH($C6,PQ_Juli!$A$2:$A$1048,0),MATCH(Y$3&amp;"",PQ_Juli!$B$1:$AF$1&amp;"",0)),0)</f>
        <v>0</v>
      </c>
      <c r="Z6" s="11"/>
      <c r="AA6" s="10" cm="1">
        <f t="array" ref="AA6">IFERROR(INDEX(PQ_Juli!$B$2:$AF$1048,MATCH($C6,PQ_Juli!$A$2:$A$1048,0),MATCH(AA$3&amp;"",PQ_Juli!$B$1:$AF$1&amp;"",0)),0)</f>
        <v>0</v>
      </c>
      <c r="AB6" s="10" cm="1">
        <f t="array" ref="AB6">IFERROR(INDEX(PQ_Juli!$B$2:$AF$1048,MATCH($C6,PQ_Juli!$A$2:$A$1048,0),MATCH(AB$3&amp;"",PQ_Juli!$B$1:$AF$1&amp;"",0)),0)</f>
        <v>1</v>
      </c>
      <c r="AC6" s="10" cm="1">
        <f t="array" ref="AC6">IFERROR(INDEX(PQ_Juli!$B$2:$AF$1048,MATCH($C6,PQ_Juli!$A$2:$A$1048,0),MATCH(AC$3&amp;"",PQ_Juli!$B$1:$AF$1&amp;"",0)),0)</f>
        <v>0</v>
      </c>
      <c r="AD6" s="10" cm="1">
        <f t="array" ref="AD6">IFERROR(INDEX(PQ_Juli!$B$2:$AF$1048,MATCH($C6,PQ_Juli!$A$2:$A$1048,0),MATCH(AD$3&amp;"",PQ_Juli!$B$1:$AF$1&amp;"",0)),0)</f>
        <v>0</v>
      </c>
      <c r="AE6" s="10" cm="1">
        <f t="array" ref="AE6">IFERROR(INDEX(PQ_Juli!$B$2:$AF$1048,MATCH($C6,PQ_Juli!$A$2:$A$1048,0),MATCH(AE$3&amp;"",PQ_Juli!$B$1:$AF$1&amp;"",0)),0)</f>
        <v>1</v>
      </c>
      <c r="AF6" s="10" cm="1">
        <f t="array" ref="AF6">IFERROR(INDEX(PQ_Juli!$B$2:$AF$1048,MATCH($C6,PQ_Juli!$A$2:$A$1048,0),MATCH(AF$3&amp;"",PQ_Juli!$B$1:$AF$1&amp;"",0)),0)</f>
        <v>0</v>
      </c>
      <c r="AG6" s="11"/>
      <c r="AH6" s="10" cm="1">
        <f t="array" ref="AH6">IFERROR(INDEX(PQ_Juli!$B$2:$AF$1048,MATCH($C6,PQ_Juli!$A$2:$A$1048,0),MATCH(AH$3&amp;"",PQ_Juli!$B$1:$AF$1&amp;"",0)),0)</f>
        <v>0</v>
      </c>
      <c r="AI6" s="10" cm="1">
        <f t="array" ref="AI6">IFERROR(INDEX(PQ_Juli!$B$2:$AF$1048,MATCH($C6,PQ_Juli!$A$2:$A$1048,0),MATCH(AI$3&amp;"",PQ_Juli!$B$1:$AF$1&amp;"",0)),0)</f>
        <v>1</v>
      </c>
      <c r="AJ6" s="10" cm="1">
        <f t="array" ref="AJ6">IFERROR(INDEX(PQ_Juli!$B$2:$AF$1048,MATCH($C6,PQ_Juli!$A$2:$A$1048,0),MATCH(AJ$3&amp;"",PQ_Juli!$B$1:$AF$1&amp;"",0)),0)</f>
        <v>0</v>
      </c>
      <c r="AK6" s="10" cm="1">
        <f t="array" ref="AK6">IFERROR(INDEX(PQ_Juli!$B$2:$AF$1048,MATCH($C6,PQ_Juli!$A$2:$A$1048,0),MATCH(AK$3&amp;"",PQ_Juli!$B$1:$AF$1&amp;"",0)),0)</f>
        <v>0</v>
      </c>
      <c r="AL6" s="10" cm="1">
        <f t="array" ref="AL6">IFERROR(INDEX(PQ_Juli!$B$2:$AF$1048,MATCH($C6,PQ_Juli!$A$2:$A$1048,0),MATCH(AL$3&amp;"",PQ_Juli!$B$1:$AF$1&amp;"",0)),0)</f>
        <v>1</v>
      </c>
      <c r="AM6" s="13">
        <v>3</v>
      </c>
      <c r="AN6" s="14">
        <f t="shared" si="4"/>
        <v>17</v>
      </c>
      <c r="AO6" s="18" t="e">
        <f t="shared" si="1"/>
        <v>#REF!</v>
      </c>
      <c r="AP6" s="19">
        <v>20</v>
      </c>
      <c r="AQ6" s="19" t="s">
        <v>21</v>
      </c>
      <c r="AR6" s="92"/>
      <c r="AS6" s="29"/>
      <c r="AT6" s="93"/>
      <c r="AU6" s="29"/>
      <c r="AV6" s="91"/>
      <c r="AW6" s="91"/>
      <c r="AX6" s="29">
        <f t="shared" si="5"/>
        <v>0</v>
      </c>
      <c r="AY6" s="29">
        <f t="shared" si="6"/>
        <v>0</v>
      </c>
      <c r="AZ6" s="18">
        <f t="shared" si="2"/>
        <v>0</v>
      </c>
      <c r="BA6" s="18" t="e">
        <f t="shared" si="3"/>
        <v>#REF!</v>
      </c>
      <c r="BB6" s="21"/>
      <c r="BC6" s="30"/>
      <c r="BD6" s="30"/>
      <c r="BE6" s="30"/>
      <c r="BF6" s="30"/>
      <c r="BN6" s="41">
        <v>46</v>
      </c>
    </row>
    <row r="7" spans="1:66" ht="22.5" customHeight="1">
      <c r="A7" s="262" t="e">
        <f t="shared" si="0"/>
        <v>#REF!</v>
      </c>
      <c r="B7" s="263"/>
      <c r="C7" s="74" t="s">
        <v>102</v>
      </c>
      <c r="D7" s="75">
        <v>30</v>
      </c>
      <c r="E7" s="75">
        <v>11</v>
      </c>
      <c r="F7" s="75">
        <v>15</v>
      </c>
      <c r="G7" s="41" t="e">
        <f>#REF!</f>
        <v>#REF!</v>
      </c>
      <c r="H7" s="10" cm="1">
        <f t="array" ref="H7">IFERROR(INDEX(PQ_Juli!$B$2:$AF$1048,MATCH($C7,PQ_Juli!$A$2:$A$1048,0),MATCH(H$3&amp;"",PQ_Juli!$B$1:$AF$1&amp;"",0)),0)</f>
        <v>0</v>
      </c>
      <c r="I7" s="10" cm="1">
        <f t="array" ref="I7">IFERROR(INDEX(PQ_Juli!$B$2:$AF$1048,MATCH($C7,PQ_Juli!$A$2:$A$1048,0),MATCH(I$3&amp;"",PQ_Juli!$B$1:$AF$1&amp;"",0)),0)</f>
        <v>4</v>
      </c>
      <c r="J7" s="10" cm="1">
        <f t="array" ref="J7">IFERROR(INDEX(PQ_Juli!$B$2:$AF$1048,MATCH($C7,PQ_Juli!$A$2:$A$1048,0),MATCH(J$3&amp;"",PQ_Juli!$B$1:$AF$1&amp;"",0)),0)</f>
        <v>0</v>
      </c>
      <c r="K7" s="10" cm="1">
        <f t="array" ref="K7">IFERROR(INDEX(PQ_Juli!$B$2:$AF$1048,MATCH($C7,PQ_Juli!$A$2:$A$1048,0),MATCH(K$3&amp;"",PQ_Juli!$B$1:$AF$1&amp;"",0)),0)</f>
        <v>1</v>
      </c>
      <c r="L7" s="11"/>
      <c r="M7" s="10" cm="1">
        <f t="array" ref="M7">IFERROR(INDEX(PQ_Juli!$B$2:$AF$1048,MATCH($C7,PQ_Juli!$A$2:$A$1048,0),MATCH(M$3&amp;"",PQ_Juli!$B$1:$AF$1&amp;"",0)),0)</f>
        <v>1</v>
      </c>
      <c r="N7" s="10" cm="1">
        <f t="array" ref="N7">IFERROR(INDEX(PQ_Juli!$B$2:$AF$1048,MATCH($C7,PQ_Juli!$A$2:$A$1048,0),MATCH(N$3&amp;"",PQ_Juli!$B$1:$AF$1&amp;"",0)),0)</f>
        <v>0</v>
      </c>
      <c r="O7" s="10" cm="1">
        <f t="array" ref="O7">IFERROR(INDEX(PQ_Juli!$B$2:$AF$1048,MATCH($C7,PQ_Juli!$A$2:$A$1048,0),MATCH(O$3&amp;"",PQ_Juli!$B$1:$AF$1&amp;"",0)),0)</f>
        <v>0</v>
      </c>
      <c r="P7" s="10" cm="1">
        <f t="array" ref="P7">IFERROR(INDEX(PQ_Juli!$B$2:$AF$1048,MATCH($C7,PQ_Juli!$A$2:$A$1048,0),MATCH(P$3&amp;"",PQ_Juli!$B$1:$AF$1&amp;"",0)),0)</f>
        <v>1</v>
      </c>
      <c r="Q7" s="10" cm="1">
        <f t="array" ref="Q7">IFERROR(INDEX(PQ_Juli!$B$2:$AF$1048,MATCH($C7,PQ_Juli!$A$2:$A$1048,0),MATCH(Q$3&amp;"",PQ_Juli!$B$1:$AF$1&amp;"",0)),0)</f>
        <v>0</v>
      </c>
      <c r="R7" s="10" cm="1">
        <f t="array" ref="R7">IFERROR(INDEX(PQ_Juli!$B$2:$AF$1048,MATCH($C7,PQ_Juli!$A$2:$A$1048,0),MATCH(R$3&amp;"",PQ_Juli!$B$1:$AF$1&amp;"",0)),0)</f>
        <v>1</v>
      </c>
      <c r="S7" s="11"/>
      <c r="T7" s="10" cm="1">
        <f t="array" ref="T7">IFERROR(INDEX(PQ_Juli!$B$2:$AF$1048,MATCH($C7,PQ_Juli!$A$2:$A$1048,0),MATCH(T$3&amp;"",PQ_Juli!$B$1:$AF$1&amp;"",0)),0)</f>
        <v>2</v>
      </c>
      <c r="U7" s="10" cm="1">
        <f t="array" ref="U7">IFERROR(INDEX(PQ_Juli!$B$2:$AF$1048,MATCH($C7,PQ_Juli!$A$2:$A$1048,0),MATCH(U$3&amp;"",PQ_Juli!$B$1:$AF$1&amp;"",0)),0)</f>
        <v>0</v>
      </c>
      <c r="V7" s="10" cm="1">
        <f t="array" ref="V7">IFERROR(INDEX(PQ_Juli!$B$2:$AF$1048,MATCH($C7,PQ_Juli!$A$2:$A$1048,0),MATCH(V$3&amp;"",PQ_Juli!$B$1:$AF$1&amp;"",0)),0)</f>
        <v>3</v>
      </c>
      <c r="W7" s="10" cm="1">
        <f t="array" ref="W7">IFERROR(INDEX(PQ_Juli!$B$2:$AF$1048,MATCH($C7,PQ_Juli!$A$2:$A$1048,0),MATCH(W$3&amp;"",PQ_Juli!$B$1:$AF$1&amp;"",0)),0)</f>
        <v>1</v>
      </c>
      <c r="X7" s="10" cm="1">
        <f t="array" ref="X7">IFERROR(INDEX(PQ_Juli!$B$2:$AF$1048,MATCH($C7,PQ_Juli!$A$2:$A$1048,0),MATCH(X$3&amp;"",PQ_Juli!$B$1:$AF$1&amp;"",0)),0)</f>
        <v>4</v>
      </c>
      <c r="Y7" s="10" cm="1">
        <f t="array" ref="Y7">IFERROR(INDEX(PQ_Juli!$B$2:$AF$1048,MATCH($C7,PQ_Juli!$A$2:$A$1048,0),MATCH(Y$3&amp;"",PQ_Juli!$B$1:$AF$1&amp;"",0)),0)</f>
        <v>0</v>
      </c>
      <c r="Z7" s="11"/>
      <c r="AA7" s="10" cm="1">
        <f t="array" ref="AA7">IFERROR(INDEX(PQ_Juli!$B$2:$AF$1048,MATCH($C7,PQ_Juli!$A$2:$A$1048,0),MATCH(AA$3&amp;"",PQ_Juli!$B$1:$AF$1&amp;"",0)),0)</f>
        <v>2</v>
      </c>
      <c r="AB7" s="10" cm="1">
        <f t="array" ref="AB7">IFERROR(INDEX(PQ_Juli!$B$2:$AF$1048,MATCH($C7,PQ_Juli!$A$2:$A$1048,0),MATCH(AB$3&amp;"",PQ_Juli!$B$1:$AF$1&amp;"",0)),0)</f>
        <v>0</v>
      </c>
      <c r="AC7" s="10" cm="1">
        <f t="array" ref="AC7">IFERROR(INDEX(PQ_Juli!$B$2:$AF$1048,MATCH($C7,PQ_Juli!$A$2:$A$1048,0),MATCH(AC$3&amp;"",PQ_Juli!$B$1:$AF$1&amp;"",0)),0)</f>
        <v>1</v>
      </c>
      <c r="AD7" s="10" cm="1">
        <f t="array" ref="AD7">IFERROR(INDEX(PQ_Juli!$B$2:$AF$1048,MATCH($C7,PQ_Juli!$A$2:$A$1048,0),MATCH(AD$3&amp;"",PQ_Juli!$B$1:$AF$1&amp;"",0)),0)</f>
        <v>1</v>
      </c>
      <c r="AE7" s="10" cm="1">
        <f t="array" ref="AE7">IFERROR(INDEX(PQ_Juli!$B$2:$AF$1048,MATCH($C7,PQ_Juli!$A$2:$A$1048,0),MATCH(AE$3&amp;"",PQ_Juli!$B$1:$AF$1&amp;"",0)),0)</f>
        <v>0</v>
      </c>
      <c r="AF7" s="10" cm="1">
        <f t="array" ref="AF7">IFERROR(INDEX(PQ_Juli!$B$2:$AF$1048,MATCH($C7,PQ_Juli!$A$2:$A$1048,0),MATCH(AF$3&amp;"",PQ_Juli!$B$1:$AF$1&amp;"",0)),0)</f>
        <v>0</v>
      </c>
      <c r="AG7" s="11"/>
      <c r="AH7" s="10" cm="1">
        <f t="array" ref="AH7">IFERROR(INDEX(PQ_Juli!$B$2:$AF$1048,MATCH($C7,PQ_Juli!$A$2:$A$1048,0),MATCH(AH$3&amp;"",PQ_Juli!$B$1:$AF$1&amp;"",0)),0)</f>
        <v>2</v>
      </c>
      <c r="AI7" s="10" cm="1">
        <f t="array" ref="AI7">IFERROR(INDEX(PQ_Juli!$B$2:$AF$1048,MATCH($C7,PQ_Juli!$A$2:$A$1048,0),MATCH(AI$3&amp;"",PQ_Juli!$B$1:$AF$1&amp;"",0)),0)</f>
        <v>0</v>
      </c>
      <c r="AJ7" s="10" cm="1">
        <f t="array" ref="AJ7">IFERROR(INDEX(PQ_Juli!$B$2:$AF$1048,MATCH($C7,PQ_Juli!$A$2:$A$1048,0),MATCH(AJ$3&amp;"",PQ_Juli!$B$1:$AF$1&amp;"",0)),0)</f>
        <v>0</v>
      </c>
      <c r="AK7" s="10" cm="1">
        <f t="array" ref="AK7">IFERROR(INDEX(PQ_Juli!$B$2:$AF$1048,MATCH($C7,PQ_Juli!$A$2:$A$1048,0),MATCH(AK$3&amp;"",PQ_Juli!$B$1:$AF$1&amp;"",0)),0)</f>
        <v>1</v>
      </c>
      <c r="AL7" s="10" cm="1">
        <f t="array" ref="AL7">IFERROR(INDEX(PQ_Juli!$B$2:$AF$1048,MATCH($C7,PQ_Juli!$A$2:$A$1048,0),MATCH(AL$3&amp;"",PQ_Juli!$B$1:$AF$1&amp;"",0)),0)</f>
        <v>2</v>
      </c>
      <c r="AM7" s="13">
        <v>3</v>
      </c>
      <c r="AN7" s="14">
        <f t="shared" si="4"/>
        <v>30</v>
      </c>
      <c r="AO7" s="18" t="e">
        <f t="shared" si="1"/>
        <v>#REF!</v>
      </c>
      <c r="AP7" s="19">
        <v>20</v>
      </c>
      <c r="AQ7" s="19" t="s">
        <v>21</v>
      </c>
      <c r="AR7" s="92">
        <v>46225</v>
      </c>
      <c r="AS7" s="29">
        <v>1</v>
      </c>
      <c r="AT7" s="93"/>
      <c r="AU7" s="29"/>
      <c r="AV7" s="91">
        <v>46231</v>
      </c>
      <c r="AW7" s="93"/>
      <c r="AX7" s="29">
        <f t="shared" si="5"/>
        <v>30</v>
      </c>
      <c r="AY7" s="29">
        <f t="shared" si="6"/>
        <v>0</v>
      </c>
      <c r="AZ7" s="18">
        <f t="shared" si="2"/>
        <v>30</v>
      </c>
      <c r="BA7" s="18" t="e">
        <f t="shared" si="3"/>
        <v>#REF!</v>
      </c>
      <c r="BB7" s="21"/>
      <c r="BC7" s="30"/>
      <c r="BD7" s="18" t="s">
        <v>23</v>
      </c>
      <c r="BE7" s="18" t="s">
        <v>24</v>
      </c>
      <c r="BF7" s="30"/>
      <c r="BN7" s="41">
        <v>2</v>
      </c>
    </row>
    <row r="8" spans="1:66" ht="22.5" customHeight="1">
      <c r="A8" s="260" t="e">
        <f t="shared" si="0"/>
        <v>#REF!</v>
      </c>
      <c r="B8" s="261"/>
      <c r="C8" s="74" t="s">
        <v>103</v>
      </c>
      <c r="D8" s="75">
        <v>60</v>
      </c>
      <c r="E8" s="75">
        <v>6</v>
      </c>
      <c r="F8" s="75">
        <v>10</v>
      </c>
      <c r="G8" s="41" t="e">
        <f>#REF!</f>
        <v>#REF!</v>
      </c>
      <c r="H8" s="10" cm="1">
        <f t="array" ref="H8">IFERROR(INDEX(PQ_Juli!$B$2:$AF$1048,MATCH($C8,PQ_Juli!$A$2:$A$1048,0),MATCH(H$3&amp;"",PQ_Juli!$B$1:$AF$1&amp;"",0)),0)</f>
        <v>0</v>
      </c>
      <c r="I8" s="10" cm="1">
        <f t="array" ref="I8">IFERROR(INDEX(PQ_Juli!$B$2:$AF$1048,MATCH($C8,PQ_Juli!$A$2:$A$1048,0),MATCH(I$3&amp;"",PQ_Juli!$B$1:$AF$1&amp;"",0)),0)</f>
        <v>0</v>
      </c>
      <c r="J8" s="10" cm="1">
        <f t="array" ref="J8">IFERROR(INDEX(PQ_Juli!$B$2:$AF$1048,MATCH($C8,PQ_Juli!$A$2:$A$1048,0),MATCH(J$3&amp;"",PQ_Juli!$B$1:$AF$1&amp;"",0)),0)</f>
        <v>0</v>
      </c>
      <c r="K8" s="10" cm="1">
        <f t="array" ref="K8">IFERROR(INDEX(PQ_Juli!$B$2:$AF$1048,MATCH($C8,PQ_Juli!$A$2:$A$1048,0),MATCH(K$3&amp;"",PQ_Juli!$B$1:$AF$1&amp;"",0)),0)</f>
        <v>1</v>
      </c>
      <c r="L8" s="11"/>
      <c r="M8" s="10" cm="1">
        <f t="array" ref="M8">IFERROR(INDEX(PQ_Juli!$B$2:$AF$1048,MATCH($C8,PQ_Juli!$A$2:$A$1048,0),MATCH(M$3&amp;"",PQ_Juli!$B$1:$AF$1&amp;"",0)),0)</f>
        <v>0</v>
      </c>
      <c r="N8" s="10" cm="1">
        <f t="array" ref="N8">IFERROR(INDEX(PQ_Juli!$B$2:$AF$1048,MATCH($C8,PQ_Juli!$A$2:$A$1048,0),MATCH(N$3&amp;"",PQ_Juli!$B$1:$AF$1&amp;"",0)),0)</f>
        <v>0</v>
      </c>
      <c r="O8" s="10" cm="1">
        <f t="array" ref="O8">IFERROR(INDEX(PQ_Juli!$B$2:$AF$1048,MATCH($C8,PQ_Juli!$A$2:$A$1048,0),MATCH(O$3&amp;"",PQ_Juli!$B$1:$AF$1&amp;"",0)),0)</f>
        <v>0</v>
      </c>
      <c r="P8" s="10" cm="1">
        <f t="array" ref="P8">IFERROR(INDEX(PQ_Juli!$B$2:$AF$1048,MATCH($C8,PQ_Juli!$A$2:$A$1048,0),MATCH(P$3&amp;"",PQ_Juli!$B$1:$AF$1&amp;"",0)),0)</f>
        <v>0</v>
      </c>
      <c r="Q8" s="10" cm="1">
        <f t="array" ref="Q8">IFERROR(INDEX(PQ_Juli!$B$2:$AF$1048,MATCH($C8,PQ_Juli!$A$2:$A$1048,0),MATCH(Q$3&amp;"",PQ_Juli!$B$1:$AF$1&amp;"",0)),0)</f>
        <v>1</v>
      </c>
      <c r="R8" s="10" cm="1">
        <f t="array" ref="R8">IFERROR(INDEX(PQ_Juli!$B$2:$AF$1048,MATCH($C8,PQ_Juli!$A$2:$A$1048,0),MATCH(R$3&amp;"",PQ_Juli!$B$1:$AF$1&amp;"",0)),0)</f>
        <v>2</v>
      </c>
      <c r="S8" s="11"/>
      <c r="T8" s="10" cm="1">
        <f t="array" ref="T8">IFERROR(INDEX(PQ_Juli!$B$2:$AF$1048,MATCH($C8,PQ_Juli!$A$2:$A$1048,0),MATCH(T$3&amp;"",PQ_Juli!$B$1:$AF$1&amp;"",0)),0)</f>
        <v>1</v>
      </c>
      <c r="U8" s="10" cm="1">
        <f t="array" ref="U8">IFERROR(INDEX(PQ_Juli!$B$2:$AF$1048,MATCH($C8,PQ_Juli!$A$2:$A$1048,0),MATCH(U$3&amp;"",PQ_Juli!$B$1:$AF$1&amp;"",0)),0)</f>
        <v>0</v>
      </c>
      <c r="V8" s="10" cm="1">
        <f t="array" ref="V8">IFERROR(INDEX(PQ_Juli!$B$2:$AF$1048,MATCH($C8,PQ_Juli!$A$2:$A$1048,0),MATCH(V$3&amp;"",PQ_Juli!$B$1:$AF$1&amp;"",0)),0)</f>
        <v>2</v>
      </c>
      <c r="W8" s="10" cm="1">
        <f t="array" ref="W8">IFERROR(INDEX(PQ_Juli!$B$2:$AF$1048,MATCH($C8,PQ_Juli!$A$2:$A$1048,0),MATCH(W$3&amp;"",PQ_Juli!$B$1:$AF$1&amp;"",0)),0)</f>
        <v>1</v>
      </c>
      <c r="X8" s="10" cm="1">
        <f t="array" ref="X8">IFERROR(INDEX(PQ_Juli!$B$2:$AF$1048,MATCH($C8,PQ_Juli!$A$2:$A$1048,0),MATCH(X$3&amp;"",PQ_Juli!$B$1:$AF$1&amp;"",0)),0)</f>
        <v>2</v>
      </c>
      <c r="Y8" s="10" cm="1">
        <f t="array" ref="Y8">IFERROR(INDEX(PQ_Juli!$B$2:$AF$1048,MATCH($C8,PQ_Juli!$A$2:$A$1048,0),MATCH(Y$3&amp;"",PQ_Juli!$B$1:$AF$1&amp;"",0)),0)</f>
        <v>0</v>
      </c>
      <c r="Z8" s="11"/>
      <c r="AA8" s="10" cm="1">
        <f t="array" ref="AA8">IFERROR(INDEX(PQ_Juli!$B$2:$AF$1048,MATCH($C8,PQ_Juli!$A$2:$A$1048,0),MATCH(AA$3&amp;"",PQ_Juli!$B$1:$AF$1&amp;"",0)),0)</f>
        <v>1</v>
      </c>
      <c r="AB8" s="10" cm="1">
        <f t="array" ref="AB8">IFERROR(INDEX(PQ_Juli!$B$2:$AF$1048,MATCH($C8,PQ_Juli!$A$2:$A$1048,0),MATCH(AB$3&amp;"",PQ_Juli!$B$1:$AF$1&amp;"",0)),0)</f>
        <v>0</v>
      </c>
      <c r="AC8" s="10" cm="1">
        <f t="array" ref="AC8">IFERROR(INDEX(PQ_Juli!$B$2:$AF$1048,MATCH($C8,PQ_Juli!$A$2:$A$1048,0),MATCH(AC$3&amp;"",PQ_Juli!$B$1:$AF$1&amp;"",0)),0)</f>
        <v>3</v>
      </c>
      <c r="AD8" s="10" cm="1">
        <f t="array" ref="AD8">IFERROR(INDEX(PQ_Juli!$B$2:$AF$1048,MATCH($C8,PQ_Juli!$A$2:$A$1048,0),MATCH(AD$3&amp;"",PQ_Juli!$B$1:$AF$1&amp;"",0)),0)</f>
        <v>1</v>
      </c>
      <c r="AE8" s="10" cm="1">
        <f t="array" ref="AE8">IFERROR(INDEX(PQ_Juli!$B$2:$AF$1048,MATCH($C8,PQ_Juli!$A$2:$A$1048,0),MATCH(AE$3&amp;"",PQ_Juli!$B$1:$AF$1&amp;"",0)),0)</f>
        <v>0</v>
      </c>
      <c r="AF8" s="10" cm="1">
        <f t="array" ref="AF8">IFERROR(INDEX(PQ_Juli!$B$2:$AF$1048,MATCH($C8,PQ_Juli!$A$2:$A$1048,0),MATCH(AF$3&amp;"",PQ_Juli!$B$1:$AF$1&amp;"",0)),0)</f>
        <v>1</v>
      </c>
      <c r="AG8" s="11"/>
      <c r="AH8" s="10" cm="1">
        <f t="array" ref="AH8">IFERROR(INDEX(PQ_Juli!$B$2:$AF$1048,MATCH($C8,PQ_Juli!$A$2:$A$1048,0),MATCH(AH$3&amp;"",PQ_Juli!$B$1:$AF$1&amp;"",0)),0)</f>
        <v>0</v>
      </c>
      <c r="AI8" s="10" cm="1">
        <f t="array" ref="AI8">IFERROR(INDEX(PQ_Juli!$B$2:$AF$1048,MATCH($C8,PQ_Juli!$A$2:$A$1048,0),MATCH(AI$3&amp;"",PQ_Juli!$B$1:$AF$1&amp;"",0)),0)</f>
        <v>1</v>
      </c>
      <c r="AJ8" s="10" cm="1">
        <f t="array" ref="AJ8">IFERROR(INDEX(PQ_Juli!$B$2:$AF$1048,MATCH($C8,PQ_Juli!$A$2:$A$1048,0),MATCH(AJ$3&amp;"",PQ_Juli!$B$1:$AF$1&amp;"",0)),0)</f>
        <v>0</v>
      </c>
      <c r="AK8" s="10" cm="1">
        <f t="array" ref="AK8">IFERROR(INDEX(PQ_Juli!$B$2:$AF$1048,MATCH($C8,PQ_Juli!$A$2:$A$1048,0),MATCH(AK$3&amp;"",PQ_Juli!$B$1:$AF$1&amp;"",0)),0)</f>
        <v>0</v>
      </c>
      <c r="AL8" s="10" cm="1">
        <f t="array" ref="AL8">IFERROR(INDEX(PQ_Juli!$B$2:$AF$1048,MATCH($C8,PQ_Juli!$A$2:$A$1048,0),MATCH(AL$3&amp;"",PQ_Juli!$B$1:$AF$1&amp;"",0)),0)</f>
        <v>1</v>
      </c>
      <c r="AM8" s="13">
        <v>3</v>
      </c>
      <c r="AN8" s="14">
        <f t="shared" si="4"/>
        <v>21</v>
      </c>
      <c r="AO8" s="18" t="e">
        <f t="shared" si="1"/>
        <v>#REF!</v>
      </c>
      <c r="AP8" s="19">
        <v>20</v>
      </c>
      <c r="AQ8" s="19" t="s">
        <v>21</v>
      </c>
      <c r="AR8" s="94"/>
      <c r="AS8" s="95"/>
      <c r="AT8" s="92"/>
      <c r="AU8" s="29"/>
      <c r="AV8" s="92"/>
      <c r="AW8" s="92"/>
      <c r="AX8" s="29">
        <f t="shared" si="5"/>
        <v>0</v>
      </c>
      <c r="AY8" s="29">
        <f t="shared" si="6"/>
        <v>0</v>
      </c>
      <c r="AZ8" s="18">
        <f t="shared" si="2"/>
        <v>0</v>
      </c>
      <c r="BA8" s="18" t="e">
        <f t="shared" si="3"/>
        <v>#REF!</v>
      </c>
      <c r="BB8" s="21"/>
      <c r="BC8" s="30"/>
      <c r="BD8" s="31"/>
      <c r="BE8" s="38" t="s">
        <v>25</v>
      </c>
      <c r="BF8" s="30"/>
      <c r="BN8" s="41">
        <v>19</v>
      </c>
    </row>
    <row r="9" spans="1:66" ht="22.5" customHeight="1">
      <c r="A9" s="262">
        <f t="shared" si="0"/>
        <v>63</v>
      </c>
      <c r="B9" s="263"/>
      <c r="C9" s="74" t="s">
        <v>104</v>
      </c>
      <c r="D9" s="75">
        <v>60</v>
      </c>
      <c r="E9" s="75">
        <v>7</v>
      </c>
      <c r="F9" s="75">
        <v>14</v>
      </c>
      <c r="G9" s="41">
        <v>44</v>
      </c>
      <c r="H9" s="10" cm="1">
        <f t="array" ref="H9">IFERROR(INDEX(PQ_Juli!$B$2:$AF$1048,MATCH($C9,PQ_Juli!$A$2:$A$1048,0),MATCH(H$3&amp;"",PQ_Juli!$B$1:$AF$1&amp;"",0)),0)</f>
        <v>0</v>
      </c>
      <c r="I9" s="10" cm="1">
        <f t="array" ref="I9">IFERROR(INDEX(PQ_Juli!$B$2:$AF$1048,MATCH($C9,PQ_Juli!$A$2:$A$1048,0),MATCH(I$3&amp;"",PQ_Juli!$B$1:$AF$1&amp;"",0)),0)</f>
        <v>2</v>
      </c>
      <c r="J9" s="10" cm="1">
        <f t="array" ref="J9">IFERROR(INDEX(PQ_Juli!$B$2:$AF$1048,MATCH($C9,PQ_Juli!$A$2:$A$1048,0),MATCH(J$3&amp;"",PQ_Juli!$B$1:$AF$1&amp;"",0)),0)</f>
        <v>1</v>
      </c>
      <c r="K9" s="10" cm="1">
        <f t="array" ref="K9">IFERROR(INDEX(PQ_Juli!$B$2:$AF$1048,MATCH($C9,PQ_Juli!$A$2:$A$1048,0),MATCH(K$3&amp;"",PQ_Juli!$B$1:$AF$1&amp;"",0)),0)</f>
        <v>0</v>
      </c>
      <c r="L9" s="11"/>
      <c r="M9" s="10" cm="1">
        <f t="array" ref="M9">IFERROR(INDEX(PQ_Juli!$B$2:$AF$1048,MATCH($C9,PQ_Juli!$A$2:$A$1048,0),MATCH(M$3&amp;"",PQ_Juli!$B$1:$AF$1&amp;"",0)),0)</f>
        <v>1</v>
      </c>
      <c r="N9" s="10" cm="1">
        <f t="array" ref="N9">IFERROR(INDEX(PQ_Juli!$B$2:$AF$1048,MATCH($C9,PQ_Juli!$A$2:$A$1048,0),MATCH(N$3&amp;"",PQ_Juli!$B$1:$AF$1&amp;"",0)),0)</f>
        <v>2</v>
      </c>
      <c r="O9" s="10" cm="1">
        <f t="array" ref="O9">IFERROR(INDEX(PQ_Juli!$B$2:$AF$1048,MATCH($C9,PQ_Juli!$A$2:$A$1048,0),MATCH(O$3&amp;"",PQ_Juli!$B$1:$AF$1&amp;"",0)),0)</f>
        <v>0</v>
      </c>
      <c r="P9" s="10" cm="1">
        <f t="array" ref="P9">IFERROR(INDEX(PQ_Juli!$B$2:$AF$1048,MATCH($C9,PQ_Juli!$A$2:$A$1048,0),MATCH(P$3&amp;"",PQ_Juli!$B$1:$AF$1&amp;"",0)),0)</f>
        <v>0</v>
      </c>
      <c r="Q9" s="10" cm="1">
        <f t="array" ref="Q9">IFERROR(INDEX(PQ_Juli!$B$2:$AF$1048,MATCH($C9,PQ_Juli!$A$2:$A$1048,0),MATCH(Q$3&amp;"",PQ_Juli!$B$1:$AF$1&amp;"",0)),0)</f>
        <v>1</v>
      </c>
      <c r="R9" s="10" cm="1">
        <f t="array" ref="R9">IFERROR(INDEX(PQ_Juli!$B$2:$AF$1048,MATCH($C9,PQ_Juli!$A$2:$A$1048,0),MATCH(R$3&amp;"",PQ_Juli!$B$1:$AF$1&amp;"",0)),0)</f>
        <v>3</v>
      </c>
      <c r="S9" s="11"/>
      <c r="T9" s="10" cm="1">
        <f t="array" ref="T9">IFERROR(INDEX(PQ_Juli!$B$2:$AF$1048,MATCH($C9,PQ_Juli!$A$2:$A$1048,0),MATCH(T$3&amp;"",PQ_Juli!$B$1:$AF$1&amp;"",0)),0)</f>
        <v>2</v>
      </c>
      <c r="U9" s="10" cm="1">
        <f t="array" ref="U9">IFERROR(INDEX(PQ_Juli!$B$2:$AF$1048,MATCH($C9,PQ_Juli!$A$2:$A$1048,0),MATCH(U$3&amp;"",PQ_Juli!$B$1:$AF$1&amp;"",0)),0)</f>
        <v>2</v>
      </c>
      <c r="V9" s="10" cm="1">
        <f t="array" ref="V9">IFERROR(INDEX(PQ_Juli!$B$2:$AF$1048,MATCH($C9,PQ_Juli!$A$2:$A$1048,0),MATCH(V$3&amp;"",PQ_Juli!$B$1:$AF$1&amp;"",0)),0)</f>
        <v>4</v>
      </c>
      <c r="W9" s="10" cm="1">
        <f t="array" ref="W9">IFERROR(INDEX(PQ_Juli!$B$2:$AF$1048,MATCH($C9,PQ_Juli!$A$2:$A$1048,0),MATCH(W$3&amp;"",PQ_Juli!$B$1:$AF$1&amp;"",0)),0)</f>
        <v>1</v>
      </c>
      <c r="X9" s="10" cm="1">
        <f t="array" ref="X9">IFERROR(INDEX(PQ_Juli!$B$2:$AF$1048,MATCH($C9,PQ_Juli!$A$2:$A$1048,0),MATCH(X$3&amp;"",PQ_Juli!$B$1:$AF$1&amp;"",0)),0)</f>
        <v>1</v>
      </c>
      <c r="Y9" s="10" cm="1">
        <f t="array" ref="Y9">IFERROR(INDEX(PQ_Juli!$B$2:$AF$1048,MATCH($C9,PQ_Juli!$A$2:$A$1048,0),MATCH(Y$3&amp;"",PQ_Juli!$B$1:$AF$1&amp;"",0)),0)</f>
        <v>0</v>
      </c>
      <c r="Z9" s="11"/>
      <c r="AA9" s="10" cm="1">
        <f t="array" ref="AA9">IFERROR(INDEX(PQ_Juli!$B$2:$AF$1048,MATCH($C9,PQ_Juli!$A$2:$A$1048,0),MATCH(AA$3&amp;"",PQ_Juli!$B$1:$AF$1&amp;"",0)),0)</f>
        <v>1</v>
      </c>
      <c r="AB9" s="10" cm="1">
        <f t="array" ref="AB9">IFERROR(INDEX(PQ_Juli!$B$2:$AF$1048,MATCH($C9,PQ_Juli!$A$2:$A$1048,0),MATCH(AB$3&amp;"",PQ_Juli!$B$1:$AF$1&amp;"",0)),0)</f>
        <v>2</v>
      </c>
      <c r="AC9" s="10" cm="1">
        <f t="array" ref="AC9">IFERROR(INDEX(PQ_Juli!$B$2:$AF$1048,MATCH($C9,PQ_Juli!$A$2:$A$1048,0),MATCH(AC$3&amp;"",PQ_Juli!$B$1:$AF$1&amp;"",0)),0)</f>
        <v>2</v>
      </c>
      <c r="AD9" s="10" cm="1">
        <f t="array" ref="AD9">IFERROR(INDEX(PQ_Juli!$B$2:$AF$1048,MATCH($C9,PQ_Juli!$A$2:$A$1048,0),MATCH(AD$3&amp;"",PQ_Juli!$B$1:$AF$1&amp;"",0)),0)</f>
        <v>0</v>
      </c>
      <c r="AE9" s="10" cm="1">
        <f t="array" ref="AE9">IFERROR(INDEX(PQ_Juli!$B$2:$AF$1048,MATCH($C9,PQ_Juli!$A$2:$A$1048,0),MATCH(AE$3&amp;"",PQ_Juli!$B$1:$AF$1&amp;"",0)),0)</f>
        <v>2</v>
      </c>
      <c r="AF9" s="10" cm="1">
        <f t="array" ref="AF9">IFERROR(INDEX(PQ_Juli!$B$2:$AF$1048,MATCH($C9,PQ_Juli!$A$2:$A$1048,0),MATCH(AF$3&amp;"",PQ_Juli!$B$1:$AF$1&amp;"",0)),0)</f>
        <v>0</v>
      </c>
      <c r="AG9" s="11"/>
      <c r="AH9" s="10" cm="1">
        <f t="array" ref="AH9">IFERROR(INDEX(PQ_Juli!$B$2:$AF$1048,MATCH($C9,PQ_Juli!$A$2:$A$1048,0),MATCH(AH$3&amp;"",PQ_Juli!$B$1:$AF$1&amp;"",0)),0)</f>
        <v>2</v>
      </c>
      <c r="AI9" s="10" cm="1">
        <f t="array" ref="AI9">IFERROR(INDEX(PQ_Juli!$B$2:$AF$1048,MATCH($C9,PQ_Juli!$A$2:$A$1048,0),MATCH(AI$3&amp;"",PQ_Juli!$B$1:$AF$1&amp;"",0)),0)</f>
        <v>1</v>
      </c>
      <c r="AJ9" s="10" cm="1">
        <f t="array" ref="AJ9">IFERROR(INDEX(PQ_Juli!$B$2:$AF$1048,MATCH($C9,PQ_Juli!$A$2:$A$1048,0),MATCH(AJ$3&amp;"",PQ_Juli!$B$1:$AF$1&amp;"",0)),0)</f>
        <v>1</v>
      </c>
      <c r="AK9" s="10" cm="1">
        <f t="array" ref="AK9">IFERROR(INDEX(PQ_Juli!$B$2:$AF$1048,MATCH($C9,PQ_Juli!$A$2:$A$1048,0),MATCH(AK$3&amp;"",PQ_Juli!$B$1:$AF$1&amp;"",0)),0)</f>
        <v>1</v>
      </c>
      <c r="AL9" s="10" cm="1">
        <f t="array" ref="AL9">IFERROR(INDEX(PQ_Juli!$B$2:$AF$1048,MATCH($C9,PQ_Juli!$A$2:$A$1048,0),MATCH(AL$3&amp;"",PQ_Juli!$B$1:$AF$1&amp;"",0)),0)</f>
        <v>3</v>
      </c>
      <c r="AM9" s="13">
        <v>6</v>
      </c>
      <c r="AN9" s="14">
        <f t="shared" si="4"/>
        <v>41</v>
      </c>
      <c r="AO9" s="18">
        <f t="shared" si="1"/>
        <v>63</v>
      </c>
      <c r="AP9" s="19">
        <v>20</v>
      </c>
      <c r="AQ9" s="19" t="s">
        <v>21</v>
      </c>
      <c r="AR9" s="92">
        <v>46219</v>
      </c>
      <c r="AS9" s="29">
        <v>1</v>
      </c>
      <c r="AT9" s="92"/>
      <c r="AU9" s="29"/>
      <c r="AV9" s="91">
        <v>46231</v>
      </c>
      <c r="AW9" s="92"/>
      <c r="AX9" s="29">
        <f t="shared" si="5"/>
        <v>60</v>
      </c>
      <c r="AY9" s="29">
        <f t="shared" si="6"/>
        <v>0</v>
      </c>
      <c r="AZ9" s="18">
        <f t="shared" si="2"/>
        <v>60</v>
      </c>
      <c r="BA9" s="18">
        <f t="shared" si="3"/>
        <v>63</v>
      </c>
      <c r="BB9" s="21"/>
      <c r="BC9" s="30"/>
      <c r="BD9" s="32"/>
      <c r="BE9" s="39" t="s">
        <v>26</v>
      </c>
      <c r="BF9" s="30"/>
      <c r="BN9" s="41">
        <v>4</v>
      </c>
    </row>
    <row r="10" spans="1:66" ht="22.5" customHeight="1">
      <c r="A10" s="262">
        <f t="shared" si="0"/>
        <v>34</v>
      </c>
      <c r="B10" s="263"/>
      <c r="C10" s="74" t="s">
        <v>105</v>
      </c>
      <c r="D10" s="75">
        <v>60</v>
      </c>
      <c r="E10" s="75">
        <v>21</v>
      </c>
      <c r="F10" s="75">
        <v>17</v>
      </c>
      <c r="G10" s="41">
        <v>64</v>
      </c>
      <c r="H10" s="10" cm="1">
        <f t="array" ref="H10">IFERROR(INDEX(PQ_Juli!$B$2:$AF$1048,MATCH($C10,PQ_Juli!$A$2:$A$1048,0),MATCH(H$3&amp;"",PQ_Juli!$B$1:$AF$1&amp;"",0)),0)</f>
        <v>0</v>
      </c>
      <c r="I10" s="10" cm="1">
        <f t="array" ref="I10">IFERROR(INDEX(PQ_Juli!$B$2:$AF$1048,MATCH($C10,PQ_Juli!$A$2:$A$1048,0),MATCH(I$3&amp;"",PQ_Juli!$B$1:$AF$1&amp;"",0)),0)</f>
        <v>0</v>
      </c>
      <c r="J10" s="10">
        <v>0</v>
      </c>
      <c r="K10" s="10" cm="1">
        <f t="array" ref="K10">IFERROR(INDEX(PQ_Juli!$B$2:$AF$1048,MATCH($C10,PQ_Juli!$A$2:$A$1048,0),MATCH(K$3&amp;"",PQ_Juli!$B$1:$AF$1&amp;"",0)),0)</f>
        <v>1</v>
      </c>
      <c r="L10" s="11"/>
      <c r="M10" s="10">
        <v>0</v>
      </c>
      <c r="N10" s="10" cm="1">
        <f t="array" ref="N10">IFERROR(INDEX(PQ_Juli!$B$2:$AF$1048,MATCH($C10,PQ_Juli!$A$2:$A$1048,0),MATCH(N$3&amp;"",PQ_Juli!$B$1:$AF$1&amp;"",0)),0)</f>
        <v>3</v>
      </c>
      <c r="O10" s="10" cm="1">
        <f t="array" ref="O10">IFERROR(INDEX(PQ_Juli!$B$2:$AF$1048,MATCH($C10,PQ_Juli!$A$2:$A$1048,0),MATCH(O$3&amp;"",PQ_Juli!$B$1:$AF$1&amp;"",0)),0)</f>
        <v>3</v>
      </c>
      <c r="P10" s="10" cm="1">
        <f t="array" ref="P10">IFERROR(INDEX(PQ_Juli!$B$2:$AF$1048,MATCH($C10,PQ_Juli!$A$2:$A$1048,0),MATCH(P$3&amp;"",PQ_Juli!$B$1:$AF$1&amp;"",0)),0)</f>
        <v>0</v>
      </c>
      <c r="Q10" s="10" cm="1">
        <f t="array" ref="Q10">IFERROR(INDEX(PQ_Juli!$B$2:$AF$1048,MATCH($C10,PQ_Juli!$A$2:$A$1048,0),MATCH(Q$3&amp;"",PQ_Juli!$B$1:$AF$1&amp;"",0)),0)</f>
        <v>1</v>
      </c>
      <c r="R10" s="10" cm="1">
        <f t="array" ref="R10">IFERROR(INDEX(PQ_Juli!$B$2:$AF$1048,MATCH($C10,PQ_Juli!$A$2:$A$1048,0),MATCH(R$3&amp;"",PQ_Juli!$B$1:$AF$1&amp;"",0)),0)</f>
        <v>0</v>
      </c>
      <c r="S10" s="11"/>
      <c r="T10" s="10" cm="1">
        <f t="array" ref="T10">IFERROR(INDEX(PQ_Juli!$B$2:$AF$1048,MATCH($C10,PQ_Juli!$A$2:$A$1048,0),MATCH(T$3&amp;"",PQ_Juli!$B$1:$AF$1&amp;"",0)),0)</f>
        <v>2</v>
      </c>
      <c r="U10" s="10" cm="1">
        <f t="array" ref="U10">IFERROR(INDEX(PQ_Juli!$B$2:$AF$1048,MATCH($C10,PQ_Juli!$A$2:$A$1048,0),MATCH(U$3&amp;"",PQ_Juli!$B$1:$AF$1&amp;"",0)),0)</f>
        <v>0</v>
      </c>
      <c r="V10" s="10" cm="1">
        <f t="array" ref="V10">IFERROR(INDEX(PQ_Juli!$B$2:$AF$1048,MATCH($C10,PQ_Juli!$A$2:$A$1048,0),MATCH(V$3&amp;"",PQ_Juli!$B$1:$AF$1&amp;"",0)),0)</f>
        <v>0</v>
      </c>
      <c r="W10" s="10" cm="1">
        <f t="array" ref="W10">IFERROR(INDEX(PQ_Juli!$B$2:$AF$1048,MATCH($C10,PQ_Juli!$A$2:$A$1048,0),MATCH(W$3&amp;"",PQ_Juli!$B$1:$AF$1&amp;"",0)),0)</f>
        <v>2</v>
      </c>
      <c r="X10" s="10" cm="1">
        <f t="array" ref="X10">IFERROR(INDEX(PQ_Juli!$B$2:$AF$1048,MATCH($C10,PQ_Juli!$A$2:$A$1048,0),MATCH(X$3&amp;"",PQ_Juli!$B$1:$AF$1&amp;"",0)),0)</f>
        <v>0</v>
      </c>
      <c r="Y10" s="10" cm="1">
        <f t="array" ref="Y10">IFERROR(INDEX(PQ_Juli!$B$2:$AF$1048,MATCH($C10,PQ_Juli!$A$2:$A$1048,0),MATCH(Y$3&amp;"",PQ_Juli!$B$1:$AF$1&amp;"",0)),0)</f>
        <v>1</v>
      </c>
      <c r="Z10" s="11"/>
      <c r="AA10" s="10" cm="1">
        <f t="array" ref="AA10">IFERROR(INDEX(PQ_Juli!$B$2:$AF$1048,MATCH($C10,PQ_Juli!$A$2:$A$1048,0),MATCH(AA$3&amp;"",PQ_Juli!$B$1:$AF$1&amp;"",0)),0)</f>
        <v>1</v>
      </c>
      <c r="AB10" s="10" cm="1">
        <f t="array" ref="AB10">IFERROR(INDEX(PQ_Juli!$B$2:$AF$1048,MATCH($C10,PQ_Juli!$A$2:$A$1048,0),MATCH(AB$3&amp;"",PQ_Juli!$B$1:$AF$1&amp;"",0)),0)</f>
        <v>3</v>
      </c>
      <c r="AC10" s="10" cm="1">
        <f t="array" ref="AC10">IFERROR(INDEX(PQ_Juli!$B$2:$AF$1048,MATCH($C10,PQ_Juli!$A$2:$A$1048,0),MATCH(AC$3&amp;"",PQ_Juli!$B$1:$AF$1&amp;"",0)),0)</f>
        <v>2</v>
      </c>
      <c r="AD10" s="10" cm="1">
        <f t="array" ref="AD10">IFERROR(INDEX(PQ_Juli!$B$2:$AF$1048,MATCH($C10,PQ_Juli!$A$2:$A$1048,0),MATCH(AD$3&amp;"",PQ_Juli!$B$1:$AF$1&amp;"",0)),0)</f>
        <v>0</v>
      </c>
      <c r="AE10" s="10" cm="1">
        <f t="array" ref="AE10">IFERROR(INDEX(PQ_Juli!$B$2:$AF$1048,MATCH($C10,PQ_Juli!$A$2:$A$1048,0),MATCH(AE$3&amp;"",PQ_Juli!$B$1:$AF$1&amp;"",0)),0)</f>
        <v>1</v>
      </c>
      <c r="AF10" s="10" cm="1">
        <f t="array" ref="AF10">IFERROR(INDEX(PQ_Juli!$B$2:$AF$1048,MATCH($C10,PQ_Juli!$A$2:$A$1048,0),MATCH(AF$3&amp;"",PQ_Juli!$B$1:$AF$1&amp;"",0)),0)</f>
        <v>0</v>
      </c>
      <c r="AG10" s="11"/>
      <c r="AH10" s="10" cm="1">
        <f t="array" ref="AH10">IFERROR(INDEX(PQ_Juli!$B$2:$AF$1048,MATCH($C10,PQ_Juli!$A$2:$A$1048,0),MATCH(AH$3&amp;"",PQ_Juli!$B$1:$AF$1&amp;"",0)),0)</f>
        <v>1</v>
      </c>
      <c r="AI10" s="10">
        <v>4</v>
      </c>
      <c r="AJ10" s="10" cm="1">
        <f t="array" ref="AJ10">IFERROR(INDEX(PQ_Juli!$B$2:$AF$1048,MATCH($C10,PQ_Juli!$A$2:$A$1048,0),MATCH(AJ$3&amp;"",PQ_Juli!$B$1:$AF$1&amp;"",0)),0)</f>
        <v>0</v>
      </c>
      <c r="AK10" s="10" cm="1">
        <f t="array" ref="AK10">IFERROR(INDEX(PQ_Juli!$B$2:$AF$1048,MATCH($C10,PQ_Juli!$A$2:$A$1048,0),MATCH(AK$3&amp;"",PQ_Juli!$B$1:$AF$1&amp;"",0)),0)</f>
        <v>0</v>
      </c>
      <c r="AL10" s="10" cm="1">
        <f t="array" ref="AL10">IFERROR(INDEX(PQ_Juli!$B$2:$AF$1048,MATCH($C10,PQ_Juli!$A$2:$A$1048,0),MATCH(AL$3&amp;"",PQ_Juli!$B$1:$AF$1&amp;"",0)),0)</f>
        <v>1</v>
      </c>
      <c r="AM10" s="13">
        <v>4</v>
      </c>
      <c r="AN10" s="14">
        <f t="shared" si="4"/>
        <v>30</v>
      </c>
      <c r="AO10" s="18">
        <f t="shared" si="1"/>
        <v>34</v>
      </c>
      <c r="AP10" s="19">
        <v>30</v>
      </c>
      <c r="AQ10" s="19" t="s">
        <v>21</v>
      </c>
      <c r="AR10" s="92"/>
      <c r="AS10" s="29"/>
      <c r="AT10" s="92"/>
      <c r="AU10" s="29"/>
      <c r="AV10" s="92"/>
      <c r="AW10" s="92"/>
      <c r="AX10" s="29">
        <f t="shared" si="5"/>
        <v>0</v>
      </c>
      <c r="AY10" s="29">
        <f t="shared" si="6"/>
        <v>0</v>
      </c>
      <c r="AZ10" s="18">
        <f t="shared" si="2"/>
        <v>0</v>
      </c>
      <c r="BA10" s="18">
        <f t="shared" si="3"/>
        <v>34</v>
      </c>
      <c r="BB10" s="21"/>
      <c r="BC10" s="30"/>
      <c r="BD10" s="36"/>
      <c r="BE10" s="34" t="s">
        <v>109</v>
      </c>
      <c r="BF10" s="30"/>
      <c r="BN10" s="41">
        <v>82</v>
      </c>
    </row>
    <row r="11" spans="1:66" ht="22.5" customHeight="1">
      <c r="A11" s="260">
        <f t="shared" si="0"/>
        <v>76</v>
      </c>
      <c r="B11" s="261"/>
      <c r="C11" s="74" t="s">
        <v>106</v>
      </c>
      <c r="D11" s="75">
        <v>60</v>
      </c>
      <c r="E11" s="75">
        <v>19</v>
      </c>
      <c r="F11" s="75">
        <v>12</v>
      </c>
      <c r="G11" s="41">
        <v>44</v>
      </c>
      <c r="H11" s="10" cm="1">
        <f t="array" ref="H11">IFERROR(INDEX(PQ_Juli!$B$2:$AF$1048,MATCH($C11,PQ_Juli!$A$2:$A$1048,0),MATCH(H$3&amp;"",PQ_Juli!$B$1:$AF$1&amp;"",0)),0)</f>
        <v>0</v>
      </c>
      <c r="I11" s="10" cm="1">
        <f t="array" ref="I11">IFERROR(INDEX(PQ_Juli!$B$2:$AF$1048,MATCH($C11,PQ_Juli!$A$2:$A$1048,0),MATCH(I$3&amp;"",PQ_Juli!$B$1:$AF$1&amp;"",0)),0)</f>
        <v>0</v>
      </c>
      <c r="J11" s="10">
        <v>0</v>
      </c>
      <c r="K11" s="10" cm="1">
        <f t="array" ref="K11">IFERROR(INDEX(PQ_Juli!$B$2:$AF$1048,MATCH($C11,PQ_Juli!$A$2:$A$1048,0),MATCH(K$3&amp;"",PQ_Juli!$B$1:$AF$1&amp;"",0)),0)</f>
        <v>0</v>
      </c>
      <c r="L11" s="11"/>
      <c r="M11" s="10">
        <v>0</v>
      </c>
      <c r="N11" s="10" cm="1">
        <f t="array" ref="N11">IFERROR(INDEX(PQ_Juli!$B$2:$AF$1048,MATCH($C11,PQ_Juli!$A$2:$A$1048,0),MATCH(N$3&amp;"",PQ_Juli!$B$1:$AF$1&amp;"",0)),0)</f>
        <v>3</v>
      </c>
      <c r="O11" s="10" cm="1">
        <f t="array" ref="O11">IFERROR(INDEX(PQ_Juli!$B$2:$AF$1048,MATCH($C11,PQ_Juli!$A$2:$A$1048,0),MATCH(O$3&amp;"",PQ_Juli!$B$1:$AF$1&amp;"",0)),0)</f>
        <v>3</v>
      </c>
      <c r="P11" s="10" cm="1">
        <f t="array" ref="P11">IFERROR(INDEX(PQ_Juli!$B$2:$AF$1048,MATCH($C11,PQ_Juli!$A$2:$A$1048,0),MATCH(P$3&amp;"",PQ_Juli!$B$1:$AF$1&amp;"",0)),0)</f>
        <v>0</v>
      </c>
      <c r="Q11" s="10" cm="1">
        <f t="array" ref="Q11">IFERROR(INDEX(PQ_Juli!$B$2:$AF$1048,MATCH($C11,PQ_Juli!$A$2:$A$1048,0),MATCH(Q$3&amp;"",PQ_Juli!$B$1:$AF$1&amp;"",0)),0)</f>
        <v>1</v>
      </c>
      <c r="R11" s="10" cm="1">
        <f t="array" ref="R11">IFERROR(INDEX(PQ_Juli!$B$2:$AF$1048,MATCH($C11,PQ_Juli!$A$2:$A$1048,0),MATCH(R$3&amp;"",PQ_Juli!$B$1:$AF$1&amp;"",0)),0)</f>
        <v>0</v>
      </c>
      <c r="S11" s="11"/>
      <c r="T11" s="10" cm="1">
        <f t="array" ref="T11">IFERROR(INDEX(PQ_Juli!$B$2:$AF$1048,MATCH($C11,PQ_Juli!$A$2:$A$1048,0),MATCH(T$3&amp;"",PQ_Juli!$B$1:$AF$1&amp;"",0)),0)</f>
        <v>2</v>
      </c>
      <c r="U11" s="10" cm="1">
        <f t="array" ref="U11">IFERROR(INDEX(PQ_Juli!$B$2:$AF$1048,MATCH($C11,PQ_Juli!$A$2:$A$1048,0),MATCH(U$3&amp;"",PQ_Juli!$B$1:$AF$1&amp;"",0)),0)</f>
        <v>0</v>
      </c>
      <c r="V11" s="10" cm="1">
        <f t="array" ref="V11">IFERROR(INDEX(PQ_Juli!$B$2:$AF$1048,MATCH($C11,PQ_Juli!$A$2:$A$1048,0),MATCH(V$3&amp;"",PQ_Juli!$B$1:$AF$1&amp;"",0)),0)</f>
        <v>0</v>
      </c>
      <c r="W11" s="10" cm="1">
        <f t="array" ref="W11">IFERROR(INDEX(PQ_Juli!$B$2:$AF$1048,MATCH($C11,PQ_Juli!$A$2:$A$1048,0),MATCH(W$3&amp;"",PQ_Juli!$B$1:$AF$1&amp;"",0)),0)</f>
        <v>2</v>
      </c>
      <c r="X11" s="10" cm="1">
        <f t="array" ref="X11">IFERROR(INDEX(PQ_Juli!$B$2:$AF$1048,MATCH($C11,PQ_Juli!$A$2:$A$1048,0),MATCH(X$3&amp;"",PQ_Juli!$B$1:$AF$1&amp;"",0)),0)</f>
        <v>0</v>
      </c>
      <c r="Y11" s="10" cm="1">
        <f t="array" ref="Y11">IFERROR(INDEX(PQ_Juli!$B$2:$AF$1048,MATCH($C11,PQ_Juli!$A$2:$A$1048,0),MATCH(Y$3&amp;"",PQ_Juli!$B$1:$AF$1&amp;"",0)),0)</f>
        <v>1</v>
      </c>
      <c r="Z11" s="11"/>
      <c r="AA11" s="10" cm="1">
        <f t="array" ref="AA11">IFERROR(INDEX(PQ_Juli!$B$2:$AF$1048,MATCH($C11,PQ_Juli!$A$2:$A$1048,0),MATCH(AA$3&amp;"",PQ_Juli!$B$1:$AF$1&amp;"",0)),0)</f>
        <v>1</v>
      </c>
      <c r="AB11" s="10" cm="1">
        <f t="array" ref="AB11">IFERROR(INDEX(PQ_Juli!$B$2:$AF$1048,MATCH($C11,PQ_Juli!$A$2:$A$1048,0),MATCH(AB$3&amp;"",PQ_Juli!$B$1:$AF$1&amp;"",0)),0)</f>
        <v>4</v>
      </c>
      <c r="AC11" s="10" cm="1">
        <f t="array" ref="AC11">IFERROR(INDEX(PQ_Juli!$B$2:$AF$1048,MATCH($C11,PQ_Juli!$A$2:$A$1048,0),MATCH(AC$3&amp;"",PQ_Juli!$B$1:$AF$1&amp;"",0)),0)</f>
        <v>2</v>
      </c>
      <c r="AD11" s="10" cm="1">
        <f t="array" ref="AD11">IFERROR(INDEX(PQ_Juli!$B$2:$AF$1048,MATCH($C11,PQ_Juli!$A$2:$A$1048,0),MATCH(AD$3&amp;"",PQ_Juli!$B$1:$AF$1&amp;"",0)),0)</f>
        <v>0</v>
      </c>
      <c r="AE11" s="10" cm="1">
        <f t="array" ref="AE11">IFERROR(INDEX(PQ_Juli!$B$2:$AF$1048,MATCH($C11,PQ_Juli!$A$2:$A$1048,0),MATCH(AE$3&amp;"",PQ_Juli!$B$1:$AF$1&amp;"",0)),0)</f>
        <v>1</v>
      </c>
      <c r="AF11" s="10" cm="1">
        <f t="array" ref="AF11">IFERROR(INDEX(PQ_Juli!$B$2:$AF$1048,MATCH($C11,PQ_Juli!$A$2:$A$1048,0),MATCH(AF$3&amp;"",PQ_Juli!$B$1:$AF$1&amp;"",0)),0)</f>
        <v>0</v>
      </c>
      <c r="AG11" s="11"/>
      <c r="AH11" s="10" cm="1">
        <f t="array" ref="AH11">IFERROR(INDEX(PQ_Juli!$B$2:$AF$1048,MATCH($C11,PQ_Juli!$A$2:$A$1048,0),MATCH(AH$3&amp;"",PQ_Juli!$B$1:$AF$1&amp;"",0)),0)</f>
        <v>0</v>
      </c>
      <c r="AI11" s="10">
        <v>4</v>
      </c>
      <c r="AJ11" s="10" cm="1">
        <f t="array" ref="AJ11">IFERROR(INDEX(PQ_Juli!$B$2:$AF$1048,MATCH($C11,PQ_Juli!$A$2:$A$1048,0),MATCH(AJ$3&amp;"",PQ_Juli!$B$1:$AF$1&amp;"",0)),0)</f>
        <v>0</v>
      </c>
      <c r="AK11" s="10" cm="1">
        <f t="array" ref="AK11">IFERROR(INDEX(PQ_Juli!$B$2:$AF$1048,MATCH($C11,PQ_Juli!$A$2:$A$1048,0),MATCH(AK$3&amp;"",PQ_Juli!$B$1:$AF$1&amp;"",0)),0)</f>
        <v>0</v>
      </c>
      <c r="AL11" s="10" cm="1">
        <f t="array" ref="AL11">IFERROR(INDEX(PQ_Juli!$B$2:$AF$1048,MATCH($C11,PQ_Juli!$A$2:$A$1048,0),MATCH(AL$3&amp;"",PQ_Juli!$B$1:$AF$1&amp;"",0)),0)</f>
        <v>1</v>
      </c>
      <c r="AM11" s="13">
        <v>3</v>
      </c>
      <c r="AN11" s="14">
        <f t="shared" si="4"/>
        <v>28</v>
      </c>
      <c r="AO11" s="18">
        <f t="shared" si="1"/>
        <v>76</v>
      </c>
      <c r="AP11" s="19">
        <v>30</v>
      </c>
      <c r="AQ11" s="19" t="s">
        <v>21</v>
      </c>
      <c r="AR11" s="92">
        <v>46225</v>
      </c>
      <c r="AS11" s="29">
        <v>1</v>
      </c>
      <c r="AT11" s="92"/>
      <c r="AU11" s="29"/>
      <c r="AV11" s="91">
        <v>46231</v>
      </c>
      <c r="AW11" s="92"/>
      <c r="AX11" s="29">
        <f t="shared" si="5"/>
        <v>60</v>
      </c>
      <c r="AY11" s="29">
        <f t="shared" si="6"/>
        <v>0</v>
      </c>
      <c r="AZ11" s="18">
        <f t="shared" si="2"/>
        <v>60</v>
      </c>
      <c r="BA11" s="18">
        <f t="shared" si="3"/>
        <v>76</v>
      </c>
      <c r="BB11" s="33"/>
      <c r="BC11" s="30"/>
      <c r="BD11" s="244" t="s">
        <v>27</v>
      </c>
      <c r="BE11" s="244"/>
      <c r="BF11" s="30"/>
      <c r="BN11" s="41">
        <v>66</v>
      </c>
    </row>
    <row r="12" spans="1:66" ht="22.5" customHeight="1">
      <c r="A12" s="262">
        <f t="shared" si="0"/>
        <v>85</v>
      </c>
      <c r="B12" s="263"/>
      <c r="C12" s="74" t="s">
        <v>107</v>
      </c>
      <c r="D12" s="75">
        <v>60</v>
      </c>
      <c r="E12" s="75">
        <v>14</v>
      </c>
      <c r="F12" s="75">
        <v>29</v>
      </c>
      <c r="G12" s="41">
        <v>92</v>
      </c>
      <c r="H12" s="10" cm="1">
        <f t="array" ref="H12">IFERROR(INDEX(PQ_Juli!$B$2:$AF$1048,MATCH($C12,PQ_Juli!$A$2:$A$1048,0),MATCH(H$3&amp;"",PQ_Juli!$B$1:$AF$1&amp;"",0)),0)</f>
        <v>2</v>
      </c>
      <c r="I12" s="10" cm="1">
        <f t="array" ref="I12">IFERROR(INDEX(PQ_Juli!$B$2:$AF$1048,MATCH($C12,PQ_Juli!$A$2:$A$1048,0),MATCH(I$3&amp;"",PQ_Juli!$B$1:$AF$1&amp;"",0)),0)</f>
        <v>1</v>
      </c>
      <c r="J12" s="10" cm="1">
        <f t="array" ref="J12">IFERROR(INDEX(PQ_Juli!$B$2:$AF$1048,MATCH($C12,PQ_Juli!$A$2:$A$1048,0),MATCH(J$3&amp;"",PQ_Juli!$B$1:$AF$1&amp;"",0)),0)</f>
        <v>3</v>
      </c>
      <c r="K12" s="10" cm="1">
        <f t="array" ref="K12">IFERROR(INDEX(PQ_Juli!$B$2:$AF$1048,MATCH($C12,PQ_Juli!$A$2:$A$1048,0),MATCH(K$3&amp;"",PQ_Juli!$B$1:$AF$1&amp;"",0)),0)</f>
        <v>0</v>
      </c>
      <c r="L12" s="11"/>
      <c r="M12" s="10">
        <v>1</v>
      </c>
      <c r="N12" s="10" cm="1">
        <f t="array" ref="N12">IFERROR(INDEX(PQ_Juli!$B$2:$AF$1048,MATCH($C12,PQ_Juli!$A$2:$A$1048,0),MATCH(N$3&amp;"",PQ_Juli!$B$1:$AF$1&amp;"",0)),0)</f>
        <v>2</v>
      </c>
      <c r="O12" s="10" cm="1">
        <f t="array" ref="O12">IFERROR(INDEX(PQ_Juli!$B$2:$AF$1048,MATCH($C12,PQ_Juli!$A$2:$A$1048,0),MATCH(O$3&amp;"",PQ_Juli!$B$1:$AF$1&amp;"",0)),0)</f>
        <v>6</v>
      </c>
      <c r="P12" s="10" cm="1">
        <f t="array" ref="P12">IFERROR(INDEX(PQ_Juli!$B$2:$AF$1048,MATCH($C12,PQ_Juli!$A$2:$A$1048,0),MATCH(P$3&amp;"",PQ_Juli!$B$1:$AF$1&amp;"",0)),0)</f>
        <v>1</v>
      </c>
      <c r="Q12" s="10" cm="1">
        <f t="array" ref="Q12">IFERROR(INDEX(PQ_Juli!$B$2:$AF$1048,MATCH($C12,PQ_Juli!$A$2:$A$1048,0),MATCH(Q$3&amp;"",PQ_Juli!$B$1:$AF$1&amp;"",0)),0)</f>
        <v>4</v>
      </c>
      <c r="R12" s="10" cm="1">
        <f t="array" ref="R12">IFERROR(INDEX(PQ_Juli!$B$2:$AF$1048,MATCH($C12,PQ_Juli!$A$2:$A$1048,0),MATCH(R$3&amp;"",PQ_Juli!$B$1:$AF$1&amp;"",0)),0)</f>
        <v>0</v>
      </c>
      <c r="S12" s="11"/>
      <c r="T12" s="10" cm="1">
        <f t="array" ref="T12">IFERROR(INDEX(PQ_Juli!$B$2:$AF$1048,MATCH($C12,PQ_Juli!$A$2:$A$1048,0),MATCH(T$3&amp;"",PQ_Juli!$B$1:$AF$1&amp;"",0)),0)</f>
        <v>4</v>
      </c>
      <c r="U12" s="10" cm="1">
        <f t="array" ref="U12">IFERROR(INDEX(PQ_Juli!$B$2:$AF$1048,MATCH($C12,PQ_Juli!$A$2:$A$1048,0),MATCH(U$3&amp;"",PQ_Juli!$B$1:$AF$1&amp;"",0)),0)</f>
        <v>1</v>
      </c>
      <c r="V12" s="10" cm="1">
        <f t="array" ref="V12">IFERROR(INDEX(PQ_Juli!$B$2:$AF$1048,MATCH($C12,PQ_Juli!$A$2:$A$1048,0),MATCH(V$3&amp;"",PQ_Juli!$B$1:$AF$1&amp;"",0)),0)</f>
        <v>0</v>
      </c>
      <c r="W12" s="10" cm="1">
        <f t="array" ref="W12">IFERROR(INDEX(PQ_Juli!$B$2:$AF$1048,MATCH($C12,PQ_Juli!$A$2:$A$1048,0),MATCH(W$3&amp;"",PQ_Juli!$B$1:$AF$1&amp;"",0)),0)</f>
        <v>3</v>
      </c>
      <c r="X12" s="10" cm="1">
        <f t="array" ref="X12">IFERROR(INDEX(PQ_Juli!$B$2:$AF$1048,MATCH($C12,PQ_Juli!$A$2:$A$1048,0),MATCH(X$3&amp;"",PQ_Juli!$B$1:$AF$1&amp;"",0)),0)</f>
        <v>0</v>
      </c>
      <c r="Y12" s="10" cm="1">
        <f t="array" ref="Y12">IFERROR(INDEX(PQ_Juli!$B$2:$AF$1048,MATCH($C12,PQ_Juli!$A$2:$A$1048,0),MATCH(Y$3&amp;"",PQ_Juli!$B$1:$AF$1&amp;"",0)),0)</f>
        <v>1</v>
      </c>
      <c r="Z12" s="11"/>
      <c r="AA12" s="10" cm="1">
        <f t="array" ref="AA12">IFERROR(INDEX(PQ_Juli!$B$2:$AF$1048,MATCH($C12,PQ_Juli!$A$2:$A$1048,0),MATCH(AA$3&amp;"",PQ_Juli!$B$1:$AF$1&amp;"",0)),0)</f>
        <v>1</v>
      </c>
      <c r="AB12" s="10" cm="1">
        <f t="array" ref="AB12">IFERROR(INDEX(PQ_Juli!$B$2:$AF$1048,MATCH($C12,PQ_Juli!$A$2:$A$1048,0),MATCH(AB$3&amp;"",PQ_Juli!$B$1:$AF$1&amp;"",0)),0)</f>
        <v>7</v>
      </c>
      <c r="AC12" s="10" cm="1">
        <f t="array" ref="AC12">IFERROR(INDEX(PQ_Juli!$B$2:$AF$1048,MATCH($C12,PQ_Juli!$A$2:$A$1048,0),MATCH(AC$3&amp;"",PQ_Juli!$B$1:$AF$1&amp;"",0)),0)</f>
        <v>3</v>
      </c>
      <c r="AD12" s="10" cm="1">
        <f t="array" ref="AD12">IFERROR(INDEX(PQ_Juli!$B$2:$AF$1048,MATCH($C12,PQ_Juli!$A$2:$A$1048,0),MATCH(AD$3&amp;"",PQ_Juli!$B$1:$AF$1&amp;"",0)),0)</f>
        <v>4</v>
      </c>
      <c r="AE12" s="10" cm="1">
        <f t="array" ref="AE12">IFERROR(INDEX(PQ_Juli!$B$2:$AF$1048,MATCH($C12,PQ_Juli!$A$2:$A$1048,0),MATCH(AE$3&amp;"",PQ_Juli!$B$1:$AF$1&amp;"",0)),0)</f>
        <v>4</v>
      </c>
      <c r="AF12" s="10" cm="1">
        <f t="array" ref="AF12">IFERROR(INDEX(PQ_Juli!$B$2:$AF$1048,MATCH($C12,PQ_Juli!$A$2:$A$1048,0),MATCH(AF$3&amp;"",PQ_Juli!$B$1:$AF$1&amp;"",0)),0)</f>
        <v>10</v>
      </c>
      <c r="AG12" s="11"/>
      <c r="AH12" s="10" cm="1">
        <f t="array" ref="AH12">IFERROR(INDEX(PQ_Juli!$B$2:$AF$1048,MATCH($C12,PQ_Juli!$A$2:$A$1048,0),MATCH(AH$3&amp;"",PQ_Juli!$B$1:$AF$1&amp;"",0)),0)</f>
        <v>0</v>
      </c>
      <c r="AI12" s="10">
        <v>4</v>
      </c>
      <c r="AJ12" s="10" cm="1">
        <f t="array" ref="AJ12">IFERROR(INDEX(PQ_Juli!$B$2:$AF$1048,MATCH($C12,PQ_Juli!$A$2:$A$1048,0),MATCH(AJ$3&amp;"",PQ_Juli!$B$1:$AF$1&amp;"",0)),0)</f>
        <v>1</v>
      </c>
      <c r="AK12" s="10" cm="1">
        <f t="array" ref="AK12">IFERROR(INDEX(PQ_Juli!$B$2:$AF$1048,MATCH($C12,PQ_Juli!$A$2:$A$1048,0),MATCH(AK$3&amp;"",PQ_Juli!$B$1:$AF$1&amp;"",0)),0)</f>
        <v>1</v>
      </c>
      <c r="AL12" s="10" cm="1">
        <f t="array" ref="AL12">IFERROR(INDEX(PQ_Juli!$B$2:$AF$1048,MATCH($C12,PQ_Juli!$A$2:$A$1048,0),MATCH(AL$3&amp;"",PQ_Juli!$B$1:$AF$1&amp;"",0)),0)</f>
        <v>3</v>
      </c>
      <c r="AM12" s="13"/>
      <c r="AN12" s="14">
        <f t="shared" si="4"/>
        <v>67</v>
      </c>
      <c r="AO12" s="18">
        <f t="shared" si="1"/>
        <v>85</v>
      </c>
      <c r="AP12" s="19">
        <v>40</v>
      </c>
      <c r="AQ12" s="19" t="s">
        <v>21</v>
      </c>
      <c r="AR12" s="92">
        <v>46232</v>
      </c>
      <c r="AS12" s="29">
        <v>1</v>
      </c>
      <c r="AT12" s="92"/>
      <c r="AU12" s="29"/>
      <c r="AV12" s="92">
        <v>46234</v>
      </c>
      <c r="AW12" s="92"/>
      <c r="AX12" s="29">
        <f t="shared" si="5"/>
        <v>60</v>
      </c>
      <c r="AY12" s="29">
        <f t="shared" si="6"/>
        <v>0</v>
      </c>
      <c r="AZ12" s="18">
        <f t="shared" si="2"/>
        <v>60</v>
      </c>
      <c r="BA12" s="18">
        <f t="shared" si="3"/>
        <v>85</v>
      </c>
      <c r="BB12" s="34"/>
      <c r="BC12" s="30"/>
      <c r="BD12" s="30"/>
      <c r="BE12" s="30"/>
      <c r="BF12" s="30"/>
      <c r="BN12" s="41">
        <v>82</v>
      </c>
    </row>
    <row r="13" spans="1:66" ht="22.5" customHeight="1">
      <c r="A13" s="262">
        <f t="shared" si="0"/>
        <v>90</v>
      </c>
      <c r="B13" s="263"/>
      <c r="C13" s="74" t="s">
        <v>108</v>
      </c>
      <c r="D13" s="75">
        <v>60</v>
      </c>
      <c r="E13" s="75">
        <v>29</v>
      </c>
      <c r="F13" s="75">
        <v>33</v>
      </c>
      <c r="G13" s="41">
        <v>44</v>
      </c>
      <c r="H13" s="10" cm="1">
        <f t="array" ref="H13">IFERROR(INDEX(PQ_Juli!$B$2:$AF$1048,MATCH($C13,PQ_Juli!$A$2:$A$1048,0),MATCH(H$3&amp;"",PQ_Juli!$B$1:$AF$1&amp;"",0)),0)</f>
        <v>3</v>
      </c>
      <c r="I13" s="10" cm="1">
        <f t="array" ref="I13">IFERROR(INDEX(PQ_Juli!$B$2:$AF$1048,MATCH($C13,PQ_Juli!$A$2:$A$1048,0),MATCH(I$3&amp;"",PQ_Juli!$B$1:$AF$1&amp;"",0)),0)</f>
        <v>3</v>
      </c>
      <c r="J13" s="10" cm="1">
        <f t="array" ref="J13">IFERROR(INDEX(PQ_Juli!$B$2:$AF$1048,MATCH($C13,PQ_Juli!$A$2:$A$1048,0),MATCH(J$3&amp;"",PQ_Juli!$B$1:$AF$1&amp;"",0)),0)</f>
        <v>1</v>
      </c>
      <c r="K13" s="10" cm="1">
        <f t="array" ref="K13">IFERROR(INDEX(PQ_Juli!$B$2:$AF$1048,MATCH($C13,PQ_Juli!$A$2:$A$1048,0),MATCH(K$3&amp;"",PQ_Juli!$B$1:$AF$1&amp;"",0)),0)</f>
        <v>5</v>
      </c>
      <c r="L13" s="11"/>
      <c r="M13" s="10" cm="1">
        <f t="array" ref="M13">IFERROR(INDEX(PQ_Juli!$B$2:$AF$1048,MATCH($C13,PQ_Juli!$A$2:$A$1048,0),MATCH(M$3&amp;"",PQ_Juli!$B$1:$AF$1&amp;"",0)),0)</f>
        <v>1</v>
      </c>
      <c r="N13" s="10" cm="1">
        <f t="array" ref="N13">IFERROR(INDEX(PQ_Juli!$B$2:$AF$1048,MATCH($C13,PQ_Juli!$A$2:$A$1048,0),MATCH(N$3&amp;"",PQ_Juli!$B$1:$AF$1&amp;"",0)),0)</f>
        <v>1</v>
      </c>
      <c r="O13" s="10" cm="1">
        <f t="array" ref="O13">IFERROR(INDEX(PQ_Juli!$B$2:$AF$1048,MATCH($C13,PQ_Juli!$A$2:$A$1048,0),MATCH(O$3&amp;"",PQ_Juli!$B$1:$AF$1&amp;"",0)),0)</f>
        <v>5</v>
      </c>
      <c r="P13" s="10" cm="1">
        <f t="array" ref="P13">IFERROR(INDEX(PQ_Juli!$B$2:$AF$1048,MATCH($C13,PQ_Juli!$A$2:$A$1048,0),MATCH(P$3&amp;"",PQ_Juli!$B$1:$AF$1&amp;"",0)),0)</f>
        <v>1</v>
      </c>
      <c r="Q13" s="10" cm="1">
        <f t="array" ref="Q13">IFERROR(INDEX(PQ_Juli!$B$2:$AF$1048,MATCH($C13,PQ_Juli!$A$2:$A$1048,0),MATCH(Q$3&amp;"",PQ_Juli!$B$1:$AF$1&amp;"",0)),0)</f>
        <v>4</v>
      </c>
      <c r="R13" s="10" cm="1">
        <f t="array" ref="R13">IFERROR(INDEX(PQ_Juli!$B$2:$AF$1048,MATCH($C13,PQ_Juli!$A$2:$A$1048,0),MATCH(R$3&amp;"",PQ_Juli!$B$1:$AF$1&amp;"",0)),0)</f>
        <v>5</v>
      </c>
      <c r="S13" s="11"/>
      <c r="T13" s="10" cm="1">
        <f t="array" ref="T13">IFERROR(INDEX(PQ_Juli!$B$2:$AF$1048,MATCH($C13,PQ_Juli!$A$2:$A$1048,0),MATCH(T$3&amp;"",PQ_Juli!$B$1:$AF$1&amp;"",0)),0)</f>
        <v>4</v>
      </c>
      <c r="U13" s="10" cm="1">
        <f t="array" ref="U13">IFERROR(INDEX(PQ_Juli!$B$2:$AF$1048,MATCH($C13,PQ_Juli!$A$2:$A$1048,0),MATCH(U$3&amp;"",PQ_Juli!$B$1:$AF$1&amp;"",0)),0)</f>
        <v>5</v>
      </c>
      <c r="V13" s="10" cm="1">
        <f t="array" ref="V13">IFERROR(INDEX(PQ_Juli!$B$2:$AF$1048,MATCH($C13,PQ_Juli!$A$2:$A$1048,0),MATCH(V$3&amp;"",PQ_Juli!$B$1:$AF$1&amp;"",0)),0)</f>
        <v>7</v>
      </c>
      <c r="W13" s="10" cm="1">
        <f t="array" ref="W13">IFERROR(INDEX(PQ_Juli!$B$2:$AF$1048,MATCH($C13,PQ_Juli!$A$2:$A$1048,0),MATCH(W$3&amp;"",PQ_Juli!$B$1:$AF$1&amp;"",0)),0)</f>
        <v>0</v>
      </c>
      <c r="X13" s="10" cm="1">
        <f t="array" ref="X13">IFERROR(INDEX(PQ_Juli!$B$2:$AF$1048,MATCH($C13,PQ_Juli!$A$2:$A$1048,0),MATCH(X$3&amp;"",PQ_Juli!$B$1:$AF$1&amp;"",0)),0)</f>
        <v>1</v>
      </c>
      <c r="Y13" s="10" cm="1">
        <f t="array" ref="Y13">IFERROR(INDEX(PQ_Juli!$B$2:$AF$1048,MATCH($C13,PQ_Juli!$A$2:$A$1048,0),MATCH(Y$3&amp;"",PQ_Juli!$B$1:$AF$1&amp;"",0)),0)</f>
        <v>5</v>
      </c>
      <c r="Z13" s="11"/>
      <c r="AA13" s="10" cm="1">
        <f t="array" ref="AA13">IFERROR(INDEX(PQ_Juli!$B$2:$AF$1048,MATCH($C13,PQ_Juli!$A$2:$A$1048,0),MATCH(AA$3&amp;"",PQ_Juli!$B$1:$AF$1&amp;"",0)),0)</f>
        <v>4</v>
      </c>
      <c r="AB13" s="10" cm="1">
        <f t="array" ref="AB13">IFERROR(INDEX(PQ_Juli!$B$2:$AF$1048,MATCH($C13,PQ_Juli!$A$2:$A$1048,0),MATCH(AB$3&amp;"",PQ_Juli!$B$1:$AF$1&amp;"",0)),0)</f>
        <v>1</v>
      </c>
      <c r="AC13" s="10" cm="1">
        <f t="array" ref="AC13">IFERROR(INDEX(PQ_Juli!$B$2:$AF$1048,MATCH($C13,PQ_Juli!$A$2:$A$1048,0),MATCH(AC$3&amp;"",PQ_Juli!$B$1:$AF$1&amp;"",0)),0)</f>
        <v>2</v>
      </c>
      <c r="AD13" s="10" cm="1">
        <f t="array" ref="AD13">IFERROR(INDEX(PQ_Juli!$B$2:$AF$1048,MATCH($C13,PQ_Juli!$A$2:$A$1048,0),MATCH(AD$3&amp;"",PQ_Juli!$B$1:$AF$1&amp;"",0)),0)</f>
        <v>2</v>
      </c>
      <c r="AE13" s="10" cm="1">
        <f t="array" ref="AE13">IFERROR(INDEX(PQ_Juli!$B$2:$AF$1048,MATCH($C13,PQ_Juli!$A$2:$A$1048,0),MATCH(AE$3&amp;"",PQ_Juli!$B$1:$AF$1&amp;"",0)),0)</f>
        <v>1</v>
      </c>
      <c r="AF13" s="10" cm="1">
        <f t="array" ref="AF13">IFERROR(INDEX(PQ_Juli!$B$2:$AF$1048,MATCH($C13,PQ_Juli!$A$2:$A$1048,0),MATCH(AF$3&amp;"",PQ_Juli!$B$1:$AF$1&amp;"",0)),0)</f>
        <v>4</v>
      </c>
      <c r="AG13" s="11"/>
      <c r="AH13" s="10" cm="1">
        <f t="array" ref="AH13">IFERROR(INDEX(PQ_Juli!$B$2:$AF$1048,MATCH($C13,PQ_Juli!$A$2:$A$1048,0),MATCH(AH$3&amp;"",PQ_Juli!$B$1:$AF$1&amp;"",0)),0)</f>
        <v>2</v>
      </c>
      <c r="AI13" s="10" cm="1">
        <f t="array" ref="AI13">IFERROR(INDEX(PQ_Juli!$B$2:$AF$1048,MATCH($C13,PQ_Juli!$A$2:$A$1048,0),MATCH(AI$3&amp;"",PQ_Juli!$B$1:$AF$1&amp;"",0)),0)</f>
        <v>1</v>
      </c>
      <c r="AJ13" s="10" cm="1">
        <f t="array" ref="AJ13">IFERROR(INDEX(PQ_Juli!$B$2:$AF$1048,MATCH($C13,PQ_Juli!$A$2:$A$1048,0),MATCH(AJ$3&amp;"",PQ_Juli!$B$1:$AF$1&amp;"",0)),0)</f>
        <v>3</v>
      </c>
      <c r="AK13" s="10" cm="1">
        <f t="array" ref="AK13">IFERROR(INDEX(PQ_Juli!$B$2:$AF$1048,MATCH($C13,PQ_Juli!$A$2:$A$1048,0),MATCH(AK$3&amp;"",PQ_Juli!$B$1:$AF$1&amp;"",0)),0)</f>
        <v>0</v>
      </c>
      <c r="AL13" s="10" cm="1">
        <f t="array" ref="AL13">IFERROR(INDEX(PQ_Juli!$B$2:$AF$1048,MATCH($C13,PQ_Juli!$A$2:$A$1048,0),MATCH(AL$3&amp;"",PQ_Juli!$B$1:$AF$1&amp;"",0)),0)</f>
        <v>0</v>
      </c>
      <c r="AM13" s="13">
        <v>3</v>
      </c>
      <c r="AN13" s="14">
        <f t="shared" si="4"/>
        <v>74</v>
      </c>
      <c r="AO13" s="18">
        <f t="shared" si="1"/>
        <v>90</v>
      </c>
      <c r="AP13" s="19">
        <v>40</v>
      </c>
      <c r="AQ13" s="19" t="s">
        <v>21</v>
      </c>
      <c r="AR13" s="92">
        <v>46210</v>
      </c>
      <c r="AS13" s="29">
        <v>1</v>
      </c>
      <c r="AT13" s="92">
        <v>46219</v>
      </c>
      <c r="AU13" s="29">
        <v>1</v>
      </c>
      <c r="AV13" s="91">
        <v>46213</v>
      </c>
      <c r="AW13" s="91">
        <v>46231</v>
      </c>
      <c r="AX13" s="29">
        <f t="shared" si="5"/>
        <v>60</v>
      </c>
      <c r="AY13" s="29">
        <f t="shared" si="6"/>
        <v>60</v>
      </c>
      <c r="AZ13" s="18">
        <f t="shared" si="2"/>
        <v>120</v>
      </c>
      <c r="BA13" s="18">
        <f t="shared" si="3"/>
        <v>90</v>
      </c>
      <c r="BB13" s="20"/>
      <c r="BC13" s="30"/>
      <c r="BD13" s="30"/>
      <c r="BE13" s="30"/>
      <c r="BF13" s="30"/>
      <c r="BN13" s="41">
        <v>42</v>
      </c>
    </row>
    <row r="14" spans="1:66" ht="22.5" customHeight="1">
      <c r="A14" s="260" t="e">
        <f t="shared" si="0"/>
        <v>#REF!</v>
      </c>
      <c r="B14" s="261"/>
      <c r="C14" s="74" t="s">
        <v>110</v>
      </c>
      <c r="D14" s="75">
        <v>60</v>
      </c>
      <c r="E14" s="75">
        <v>23</v>
      </c>
      <c r="F14" s="75">
        <v>20</v>
      </c>
      <c r="G14" s="41" t="e">
        <f>#REF!</f>
        <v>#REF!</v>
      </c>
      <c r="H14" s="10" cm="1">
        <f t="array" ref="H14">IFERROR(INDEX(PQ_Juli!$B$2:$AF$1048,MATCH($C14,PQ_Juli!$A$2:$A$1048,0),MATCH(H$3&amp;"",PQ_Juli!$B$1:$AF$1&amp;"",0)),0)</f>
        <v>0</v>
      </c>
      <c r="I14" s="10" cm="1">
        <f t="array" ref="I14">IFERROR(INDEX(PQ_Juli!$B$2:$AF$1048,MATCH($C14,PQ_Juli!$A$2:$A$1048,0),MATCH(I$3&amp;"",PQ_Juli!$B$1:$AF$1&amp;"",0)),0)</f>
        <v>0</v>
      </c>
      <c r="J14" s="10" cm="1">
        <f t="array" ref="J14">IFERROR(INDEX(PQ_Juli!$B$2:$AF$1048,MATCH($C14,PQ_Juli!$A$2:$A$1048,0),MATCH(J$3&amp;"",PQ_Juli!$B$1:$AF$1&amp;"",0)),0)</f>
        <v>1</v>
      </c>
      <c r="K14" s="10" cm="1">
        <f t="array" ref="K14">IFERROR(INDEX(PQ_Juli!$B$2:$AF$1048,MATCH($C14,PQ_Juli!$A$2:$A$1048,0),MATCH(K$3&amp;"",PQ_Juli!$B$1:$AF$1&amp;"",0)),0)</f>
        <v>0</v>
      </c>
      <c r="L14" s="11"/>
      <c r="M14" s="10" cm="1">
        <f t="array" ref="M14">IFERROR(INDEX(PQ_Juli!$B$2:$AF$1048,MATCH($C14,PQ_Juli!$A$2:$A$1048,0),MATCH(M$3&amp;"",PQ_Juli!$B$1:$AF$1&amp;"",0)),0)</f>
        <v>1</v>
      </c>
      <c r="N14" s="10" cm="1">
        <f t="array" ref="N14">IFERROR(INDEX(PQ_Juli!$B$2:$AF$1048,MATCH($C14,PQ_Juli!$A$2:$A$1048,0),MATCH(N$3&amp;"",PQ_Juli!$B$1:$AF$1&amp;"",0)),0)</f>
        <v>0</v>
      </c>
      <c r="O14" s="10" cm="1">
        <f t="array" ref="O14">IFERROR(INDEX(PQ_Juli!$B$2:$AF$1048,MATCH($C14,PQ_Juli!$A$2:$A$1048,0),MATCH(O$3&amp;"",PQ_Juli!$B$1:$AF$1&amp;"",0)),0)</f>
        <v>1</v>
      </c>
      <c r="P14" s="10" cm="1">
        <f t="array" ref="P14">IFERROR(INDEX(PQ_Juli!$B$2:$AF$1048,MATCH($C14,PQ_Juli!$A$2:$A$1048,0),MATCH(P$3&amp;"",PQ_Juli!$B$1:$AF$1&amp;"",0)),0)</f>
        <v>1</v>
      </c>
      <c r="Q14" s="10" cm="1">
        <f t="array" ref="Q14">IFERROR(INDEX(PQ_Juli!$B$2:$AF$1048,MATCH($C14,PQ_Juli!$A$2:$A$1048,0),MATCH(Q$3&amp;"",PQ_Juli!$B$1:$AF$1&amp;"",0)),0)</f>
        <v>1</v>
      </c>
      <c r="R14" s="10" cm="1">
        <f t="array" ref="R14">IFERROR(INDEX(PQ_Juli!$B$2:$AF$1048,MATCH($C14,PQ_Juli!$A$2:$A$1048,0),MATCH(R$3&amp;"",PQ_Juli!$B$1:$AF$1&amp;"",0)),0)</f>
        <v>0</v>
      </c>
      <c r="S14" s="11"/>
      <c r="T14" s="10" cm="1">
        <f t="array" ref="T14">IFERROR(INDEX(PQ_Juli!$B$2:$AF$1048,MATCH($C14,PQ_Juli!$A$2:$A$1048,0),MATCH(T$3&amp;"",PQ_Juli!$B$1:$AF$1&amp;"",0)),0)</f>
        <v>0</v>
      </c>
      <c r="U14" s="10" cm="1">
        <f t="array" ref="U14">IFERROR(INDEX(PQ_Juli!$B$2:$AF$1048,MATCH($C14,PQ_Juli!$A$2:$A$1048,0),MATCH(U$3&amp;"",PQ_Juli!$B$1:$AF$1&amp;"",0)),0)</f>
        <v>0</v>
      </c>
      <c r="V14" s="10" cm="1">
        <f t="array" ref="V14">IFERROR(INDEX(PQ_Juli!$B$2:$AF$1048,MATCH($C14,PQ_Juli!$A$2:$A$1048,0),MATCH(V$3&amp;"",PQ_Juli!$B$1:$AF$1&amp;"",0)),0)</f>
        <v>0</v>
      </c>
      <c r="W14" s="10" cm="1">
        <f t="array" ref="W14">IFERROR(INDEX(PQ_Juli!$B$2:$AF$1048,MATCH($C14,PQ_Juli!$A$2:$A$1048,0),MATCH(W$3&amp;"",PQ_Juli!$B$1:$AF$1&amp;"",0)),0)</f>
        <v>2</v>
      </c>
      <c r="X14" s="10" cm="1">
        <f t="array" ref="X14">IFERROR(INDEX(PQ_Juli!$B$2:$AF$1048,MATCH($C14,PQ_Juli!$A$2:$A$1048,0),MATCH(X$3&amp;"",PQ_Juli!$B$1:$AF$1&amp;"",0)),0)</f>
        <v>1</v>
      </c>
      <c r="Y14" s="10" cm="1">
        <f t="array" ref="Y14">IFERROR(INDEX(PQ_Juli!$B$2:$AF$1048,MATCH($C14,PQ_Juli!$A$2:$A$1048,0),MATCH(Y$3&amp;"",PQ_Juli!$B$1:$AF$1&amp;"",0)),0)</f>
        <v>0</v>
      </c>
      <c r="Z14" s="11"/>
      <c r="AA14" s="10" cm="1">
        <f t="array" ref="AA14">IFERROR(INDEX(PQ_Juli!$B$2:$AF$1048,MATCH($C14,PQ_Juli!$A$2:$A$1048,0),MATCH(AA$3&amp;"",PQ_Juli!$B$1:$AF$1&amp;"",0)),0)</f>
        <v>0</v>
      </c>
      <c r="AB14" s="10" cm="1">
        <f t="array" ref="AB14">IFERROR(INDEX(PQ_Juli!$B$2:$AF$1048,MATCH($C14,PQ_Juli!$A$2:$A$1048,0),MATCH(AB$3&amp;"",PQ_Juli!$B$1:$AF$1&amp;"",0)),0)</f>
        <v>0</v>
      </c>
      <c r="AC14" s="10" cm="1">
        <f t="array" ref="AC14">IFERROR(INDEX(PQ_Juli!$B$2:$AF$1048,MATCH($C14,PQ_Juli!$A$2:$A$1048,0),MATCH(AC$3&amp;"",PQ_Juli!$B$1:$AF$1&amp;"",0)),0)</f>
        <v>0</v>
      </c>
      <c r="AD14" s="10" cm="1">
        <f t="array" ref="AD14">IFERROR(INDEX(PQ_Juli!$B$2:$AF$1048,MATCH($C14,PQ_Juli!$A$2:$A$1048,0),MATCH(AD$3&amp;"",PQ_Juli!$B$1:$AF$1&amp;"",0)),0)</f>
        <v>0</v>
      </c>
      <c r="AE14" s="10" cm="1">
        <f t="array" ref="AE14">IFERROR(INDEX(PQ_Juli!$B$2:$AF$1048,MATCH($C14,PQ_Juli!$A$2:$A$1048,0),MATCH(AE$3&amp;"",PQ_Juli!$B$1:$AF$1&amp;"",0)),0)</f>
        <v>1</v>
      </c>
      <c r="AF14" s="10" cm="1">
        <f t="array" ref="AF14">IFERROR(INDEX(PQ_Juli!$B$2:$AF$1048,MATCH($C14,PQ_Juli!$A$2:$A$1048,0),MATCH(AF$3&amp;"",PQ_Juli!$B$1:$AF$1&amp;"",0)),0)</f>
        <v>0</v>
      </c>
      <c r="AG14" s="11"/>
      <c r="AH14" s="10" cm="1">
        <f t="array" ref="AH14">IFERROR(INDEX(PQ_Juli!$B$2:$AF$1048,MATCH($C14,PQ_Juli!$A$2:$A$1048,0),MATCH(AH$3&amp;"",PQ_Juli!$B$1:$AF$1&amp;"",0)),0)</f>
        <v>0</v>
      </c>
      <c r="AI14" s="10" cm="1">
        <f t="array" ref="AI14">IFERROR(INDEX(PQ_Juli!$B$2:$AF$1048,MATCH($C14,PQ_Juli!$A$2:$A$1048,0),MATCH(AI$3&amp;"",PQ_Juli!$B$1:$AF$1&amp;"",0)),0)</f>
        <v>0</v>
      </c>
      <c r="AJ14" s="10" cm="1">
        <f t="array" ref="AJ14">IFERROR(INDEX(PQ_Juli!$B$2:$AF$1048,MATCH($C14,PQ_Juli!$A$2:$A$1048,0),MATCH(AJ$3&amp;"",PQ_Juli!$B$1:$AF$1&amp;"",0)),0)</f>
        <v>0</v>
      </c>
      <c r="AK14" s="10" cm="1">
        <f t="array" ref="AK14">IFERROR(INDEX(PQ_Juli!$B$2:$AF$1048,MATCH($C14,PQ_Juli!$A$2:$A$1048,0),MATCH(AK$3&amp;"",PQ_Juli!$B$1:$AF$1&amp;"",0)),0)</f>
        <v>0</v>
      </c>
      <c r="AL14" s="10" cm="1">
        <f t="array" ref="AL14">IFERROR(INDEX(PQ_Juli!$B$2:$AF$1048,MATCH($C14,PQ_Juli!$A$2:$A$1048,0),MATCH(AL$3&amp;"",PQ_Juli!$B$1:$AF$1&amp;"",0)),0)</f>
        <v>0</v>
      </c>
      <c r="AM14" s="13"/>
      <c r="AN14" s="14">
        <f t="shared" si="4"/>
        <v>9</v>
      </c>
      <c r="AO14" s="18" t="e">
        <f t="shared" si="1"/>
        <v>#REF!</v>
      </c>
      <c r="AP14" s="19">
        <v>20</v>
      </c>
      <c r="AQ14" s="19" t="s">
        <v>21</v>
      </c>
      <c r="AR14" s="92"/>
      <c r="AS14" s="29"/>
      <c r="AT14" s="92"/>
      <c r="AU14" s="29"/>
      <c r="AV14" s="92"/>
      <c r="AW14" s="92"/>
      <c r="AX14" s="29">
        <f t="shared" si="5"/>
        <v>0</v>
      </c>
      <c r="AY14" s="29">
        <f t="shared" si="6"/>
        <v>0</v>
      </c>
      <c r="AZ14" s="18">
        <f t="shared" si="2"/>
        <v>0</v>
      </c>
      <c r="BA14" s="18" t="e">
        <f t="shared" si="3"/>
        <v>#REF!</v>
      </c>
      <c r="BB14" s="21"/>
      <c r="BC14" s="30"/>
      <c r="BD14" s="30"/>
      <c r="BE14" s="30"/>
      <c r="BF14" s="30"/>
      <c r="BN14" s="41">
        <v>21</v>
      </c>
    </row>
    <row r="15" spans="1:66" ht="22.5" customHeight="1">
      <c r="A15" s="262" t="e">
        <f t="shared" si="0"/>
        <v>#REF!</v>
      </c>
      <c r="B15" s="263"/>
      <c r="C15" s="74" t="s">
        <v>28</v>
      </c>
      <c r="D15" s="75">
        <v>100</v>
      </c>
      <c r="E15" s="75">
        <v>73</v>
      </c>
      <c r="F15" s="75">
        <v>29</v>
      </c>
      <c r="G15" s="41" t="e">
        <f>#REF!</f>
        <v>#REF!</v>
      </c>
      <c r="H15" s="10" cm="1">
        <f t="array" ref="H15">IFERROR(INDEX(PQ_Juli!$B$2:$AF$1048,MATCH($C15,PQ_Juli!$A$2:$A$1048,0),MATCH(H$3&amp;"",PQ_Juli!$B$1:$AF$1&amp;"",0)),0)</f>
        <v>1</v>
      </c>
      <c r="I15" s="10" cm="1">
        <f t="array" ref="I15">IFERROR(INDEX(PQ_Juli!$B$2:$AF$1048,MATCH($C15,PQ_Juli!$A$2:$A$1048,0),MATCH(I$3&amp;"",PQ_Juli!$B$1:$AF$1&amp;"",0)),0)</f>
        <v>2</v>
      </c>
      <c r="J15" s="10" cm="1">
        <f t="array" ref="J15">IFERROR(INDEX(PQ_Juli!$B$2:$AF$1048,MATCH($C15,PQ_Juli!$A$2:$A$1048,0),MATCH(J$3&amp;"",PQ_Juli!$B$1:$AF$1&amp;"",0)),0)</f>
        <v>2</v>
      </c>
      <c r="K15" s="10" cm="1">
        <f t="array" ref="K15">IFERROR(INDEX(PQ_Juli!$B$2:$AF$1048,MATCH($C15,PQ_Juli!$A$2:$A$1048,0),MATCH(K$3&amp;"",PQ_Juli!$B$1:$AF$1&amp;"",0)),0)</f>
        <v>1</v>
      </c>
      <c r="L15" s="11"/>
      <c r="M15" s="10" cm="1">
        <f t="array" ref="M15">IFERROR(INDEX(PQ_Juli!$B$2:$AF$1048,MATCH($C15,PQ_Juli!$A$2:$A$1048,0),MATCH(M$3&amp;"",PQ_Juli!$B$1:$AF$1&amp;"",0)),0)</f>
        <v>0</v>
      </c>
      <c r="N15" s="10" cm="1">
        <f t="array" ref="N15">IFERROR(INDEX(PQ_Juli!$B$2:$AF$1048,MATCH($C15,PQ_Juli!$A$2:$A$1048,0),MATCH(N$3&amp;"",PQ_Juli!$B$1:$AF$1&amp;"",0)),0)</f>
        <v>0</v>
      </c>
      <c r="O15" s="10" cm="1">
        <f t="array" ref="O15">IFERROR(INDEX(PQ_Juli!$B$2:$AF$1048,MATCH($C15,PQ_Juli!$A$2:$A$1048,0),MATCH(O$3&amp;"",PQ_Juli!$B$1:$AF$1&amp;"",0)),0)</f>
        <v>0</v>
      </c>
      <c r="P15" s="10" cm="1">
        <f t="array" ref="P15">IFERROR(INDEX(PQ_Juli!$B$2:$AF$1048,MATCH($C15,PQ_Juli!$A$2:$A$1048,0),MATCH(P$3&amp;"",PQ_Juli!$B$1:$AF$1&amp;"",0)),0)</f>
        <v>0</v>
      </c>
      <c r="Q15" s="10" cm="1">
        <f t="array" ref="Q15">IFERROR(INDEX(PQ_Juli!$B$2:$AF$1048,MATCH($C15,PQ_Juli!$A$2:$A$1048,0),MATCH(Q$3&amp;"",PQ_Juli!$B$1:$AF$1&amp;"",0)),0)</f>
        <v>2</v>
      </c>
      <c r="R15" s="10" cm="1">
        <f t="array" ref="R15">IFERROR(INDEX(PQ_Juli!$B$2:$AF$1048,MATCH($C15,PQ_Juli!$A$2:$A$1048,0),MATCH(R$3&amp;"",PQ_Juli!$B$1:$AF$1&amp;"",0)),0)</f>
        <v>0</v>
      </c>
      <c r="S15" s="11"/>
      <c r="T15" s="10" cm="1">
        <f t="array" ref="T15">IFERROR(INDEX(PQ_Juli!$B$2:$AF$1048,MATCH($C15,PQ_Juli!$A$2:$A$1048,0),MATCH(T$3&amp;"",PQ_Juli!$B$1:$AF$1&amp;"",0)),0)</f>
        <v>0</v>
      </c>
      <c r="U15" s="10" cm="1">
        <f t="array" ref="U15">IFERROR(INDEX(PQ_Juli!$B$2:$AF$1048,MATCH($C15,PQ_Juli!$A$2:$A$1048,0),MATCH(U$3&amp;"",PQ_Juli!$B$1:$AF$1&amp;"",0)),0)</f>
        <v>0</v>
      </c>
      <c r="V15" s="10" cm="1">
        <f t="array" ref="V15">IFERROR(INDEX(PQ_Juli!$B$2:$AF$1048,MATCH($C15,PQ_Juli!$A$2:$A$1048,0),MATCH(V$3&amp;"",PQ_Juli!$B$1:$AF$1&amp;"",0)),0)</f>
        <v>0</v>
      </c>
      <c r="W15" s="10" cm="1">
        <f t="array" ref="W15">IFERROR(INDEX(PQ_Juli!$B$2:$AF$1048,MATCH($C15,PQ_Juli!$A$2:$A$1048,0),MATCH(W$3&amp;"",PQ_Juli!$B$1:$AF$1&amp;"",0)),0)</f>
        <v>3</v>
      </c>
      <c r="X15" s="10" cm="1">
        <f t="array" ref="X15">IFERROR(INDEX(PQ_Juli!$B$2:$AF$1048,MATCH($C15,PQ_Juli!$A$2:$A$1048,0),MATCH(X$3&amp;"",PQ_Juli!$B$1:$AF$1&amp;"",0)),0)</f>
        <v>0</v>
      </c>
      <c r="Y15" s="10" cm="1">
        <f t="array" ref="Y15">IFERROR(INDEX(PQ_Juli!$B$2:$AF$1048,MATCH($C15,PQ_Juli!$A$2:$A$1048,0),MATCH(Y$3&amp;"",PQ_Juli!$B$1:$AF$1&amp;"",0)),0)</f>
        <v>1</v>
      </c>
      <c r="Z15" s="11"/>
      <c r="AA15" s="10" cm="1">
        <f t="array" ref="AA15">IFERROR(INDEX(PQ_Juli!$B$2:$AF$1048,MATCH($C15,PQ_Juli!$A$2:$A$1048,0),MATCH(AA$3&amp;"",PQ_Juli!$B$1:$AF$1&amp;"",0)),0)</f>
        <v>0</v>
      </c>
      <c r="AB15" s="10" cm="1">
        <f t="array" ref="AB15">IFERROR(INDEX(PQ_Juli!$B$2:$AF$1048,MATCH($C15,PQ_Juli!$A$2:$A$1048,0),MATCH(AB$3&amp;"",PQ_Juli!$B$1:$AF$1&amp;"",0)),0)</f>
        <v>1</v>
      </c>
      <c r="AC15" s="10" cm="1">
        <f t="array" ref="AC15">IFERROR(INDEX(PQ_Juli!$B$2:$AF$1048,MATCH($C15,PQ_Juli!$A$2:$A$1048,0),MATCH(AC$3&amp;"",PQ_Juli!$B$1:$AF$1&amp;"",0)),0)</f>
        <v>2</v>
      </c>
      <c r="AD15" s="10" cm="1">
        <f t="array" ref="AD15">IFERROR(INDEX(PQ_Juli!$B$2:$AF$1048,MATCH($C15,PQ_Juli!$A$2:$A$1048,0),MATCH(AD$3&amp;"",PQ_Juli!$B$1:$AF$1&amp;"",0)),0)</f>
        <v>0</v>
      </c>
      <c r="AE15" s="10" cm="1">
        <f t="array" ref="AE15">IFERROR(INDEX(PQ_Juli!$B$2:$AF$1048,MATCH($C15,PQ_Juli!$A$2:$A$1048,0),MATCH(AE$3&amp;"",PQ_Juli!$B$1:$AF$1&amp;"",0)),0)</f>
        <v>0</v>
      </c>
      <c r="AF15" s="10" cm="1">
        <f t="array" ref="AF15">IFERROR(INDEX(PQ_Juli!$B$2:$AF$1048,MATCH($C15,PQ_Juli!$A$2:$A$1048,0),MATCH(AF$3&amp;"",PQ_Juli!$B$1:$AF$1&amp;"",0)),0)</f>
        <v>0</v>
      </c>
      <c r="AG15" s="11"/>
      <c r="AH15" s="10" cm="1">
        <f t="array" ref="AH15">IFERROR(INDEX(PQ_Juli!$B$2:$AF$1048,MATCH($C15,PQ_Juli!$A$2:$A$1048,0),MATCH(AH$3&amp;"",PQ_Juli!$B$1:$AF$1&amp;"",0)),0)</f>
        <v>0</v>
      </c>
      <c r="AI15" s="10" cm="1">
        <f t="array" ref="AI15">IFERROR(INDEX(PQ_Juli!$B$2:$AF$1048,MATCH($C15,PQ_Juli!$A$2:$A$1048,0),MATCH(AI$3&amp;"",PQ_Juli!$B$1:$AF$1&amp;"",0)),0)</f>
        <v>2</v>
      </c>
      <c r="AJ15" s="10" cm="1">
        <f t="array" ref="AJ15">IFERROR(INDEX(PQ_Juli!$B$2:$AF$1048,MATCH($C15,PQ_Juli!$A$2:$A$1048,0),MATCH(AJ$3&amp;"",PQ_Juli!$B$1:$AF$1&amp;"",0)),0)</f>
        <v>0</v>
      </c>
      <c r="AK15" s="10" cm="1">
        <f t="array" ref="AK15">IFERROR(INDEX(PQ_Juli!$B$2:$AF$1048,MATCH($C15,PQ_Juli!$A$2:$A$1048,0),MATCH(AK$3&amp;"",PQ_Juli!$B$1:$AF$1&amp;"",0)),0)</f>
        <v>0</v>
      </c>
      <c r="AL15" s="10" cm="1">
        <f t="array" ref="AL15">IFERROR(INDEX(PQ_Juli!$B$2:$AF$1048,MATCH($C15,PQ_Juli!$A$2:$A$1048,0),MATCH(AL$3&amp;"",PQ_Juli!$B$1:$AF$1&amp;"",0)),0)</f>
        <v>1</v>
      </c>
      <c r="AM15" s="13">
        <v>20</v>
      </c>
      <c r="AN15" s="14">
        <f t="shared" si="4"/>
        <v>38</v>
      </c>
      <c r="AO15" s="18" t="e">
        <f t="shared" si="1"/>
        <v>#REF!</v>
      </c>
      <c r="AP15" s="19">
        <v>30</v>
      </c>
      <c r="AQ15" s="19" t="s">
        <v>21</v>
      </c>
      <c r="AR15" s="92"/>
      <c r="AS15" s="29"/>
      <c r="AT15" s="92"/>
      <c r="AU15" s="29"/>
      <c r="AV15" s="92"/>
      <c r="AW15" s="92"/>
      <c r="AX15" s="29">
        <f t="shared" si="5"/>
        <v>0</v>
      </c>
      <c r="AY15" s="29">
        <f t="shared" si="6"/>
        <v>0</v>
      </c>
      <c r="AZ15" s="18">
        <f t="shared" si="2"/>
        <v>0</v>
      </c>
      <c r="BA15" s="18" t="e">
        <f t="shared" si="3"/>
        <v>#REF!</v>
      </c>
      <c r="BB15" s="21"/>
      <c r="BC15" s="30"/>
      <c r="BD15" s="30"/>
      <c r="BE15" s="40"/>
      <c r="BF15" s="30"/>
      <c r="BN15" s="41">
        <v>102</v>
      </c>
    </row>
    <row r="16" spans="1:66" ht="22.5" customHeight="1">
      <c r="A16" s="262">
        <f t="shared" si="0"/>
        <v>46</v>
      </c>
      <c r="B16" s="263"/>
      <c r="C16" s="74" t="s">
        <v>111</v>
      </c>
      <c r="D16" s="75">
        <v>60</v>
      </c>
      <c r="E16" s="75">
        <v>30</v>
      </c>
      <c r="F16" s="75">
        <v>23</v>
      </c>
      <c r="G16" s="41">
        <v>28</v>
      </c>
      <c r="H16" s="10" cm="1">
        <f t="array" ref="H16">IFERROR(INDEX(PQ_Juli!$B$2:$AF$1048,MATCH($C16,PQ_Juli!$A$2:$A$1048,0),MATCH(H$3&amp;"",PQ_Juli!$B$1:$AF$1&amp;"",0)),0)</f>
        <v>0</v>
      </c>
      <c r="I16" s="10" cm="1">
        <f t="array" ref="I16">IFERROR(INDEX(PQ_Juli!$B$2:$AF$1048,MATCH($C16,PQ_Juli!$A$2:$A$1048,0),MATCH(I$3&amp;"",PQ_Juli!$B$1:$AF$1&amp;"",0)),0)</f>
        <v>0</v>
      </c>
      <c r="J16" s="10" cm="1">
        <f t="array" ref="J16">IFERROR(INDEX(PQ_Juli!$B$2:$AF$1048,MATCH($C16,PQ_Juli!$A$2:$A$1048,0),MATCH(J$3&amp;"",PQ_Juli!$B$1:$AF$1&amp;"",0)),0)</f>
        <v>0</v>
      </c>
      <c r="K16" s="10" cm="1">
        <f t="array" ref="K16">IFERROR(INDEX(PQ_Juli!$B$2:$AF$1048,MATCH($C16,PQ_Juli!$A$2:$A$1048,0),MATCH(K$3&amp;"",PQ_Juli!$B$1:$AF$1&amp;"",0)),0)</f>
        <v>0</v>
      </c>
      <c r="L16" s="11"/>
      <c r="M16" s="10" cm="1">
        <f t="array" ref="M16">IFERROR(INDEX(PQ_Juli!$B$2:$AF$1048,MATCH($C16,PQ_Juli!$A$2:$A$1048,0),MATCH(M$3&amp;"",PQ_Juli!$B$1:$AF$1&amp;"",0)),0)</f>
        <v>3</v>
      </c>
      <c r="N16" s="10" cm="1">
        <f t="array" ref="N16">IFERROR(INDEX(PQ_Juli!$B$2:$AF$1048,MATCH($C16,PQ_Juli!$A$2:$A$1048,0),MATCH(N$3&amp;"",PQ_Juli!$B$1:$AF$1&amp;"",0)),0)</f>
        <v>0</v>
      </c>
      <c r="O16" s="10" cm="1">
        <f t="array" ref="O16">IFERROR(INDEX(PQ_Juli!$B$2:$AF$1048,MATCH($C16,PQ_Juli!$A$2:$A$1048,0),MATCH(O$3&amp;"",PQ_Juli!$B$1:$AF$1&amp;"",0)),0)</f>
        <v>3</v>
      </c>
      <c r="P16" s="10" cm="1">
        <f t="array" ref="P16">IFERROR(INDEX(PQ_Juli!$B$2:$AF$1048,MATCH($C16,PQ_Juli!$A$2:$A$1048,0),MATCH(P$3&amp;"",PQ_Juli!$B$1:$AF$1&amp;"",0)),0)</f>
        <v>0</v>
      </c>
      <c r="Q16" s="10" cm="1">
        <f t="array" ref="Q16">IFERROR(INDEX(PQ_Juli!$B$2:$AF$1048,MATCH($C16,PQ_Juli!$A$2:$A$1048,0),MATCH(Q$3&amp;"",PQ_Juli!$B$1:$AF$1&amp;"",0)),0)</f>
        <v>1</v>
      </c>
      <c r="R16" s="10" cm="1">
        <f t="array" ref="R16">IFERROR(INDEX(PQ_Juli!$B$2:$AF$1048,MATCH($C16,PQ_Juli!$A$2:$A$1048,0),MATCH(R$3&amp;"",PQ_Juli!$B$1:$AF$1&amp;"",0)),0)</f>
        <v>2</v>
      </c>
      <c r="S16" s="11"/>
      <c r="T16" s="10" cm="1">
        <f t="array" ref="T16">IFERROR(INDEX(PQ_Juli!$B$2:$AF$1048,MATCH($C16,PQ_Juli!$A$2:$A$1048,0),MATCH(T$3&amp;"",PQ_Juli!$B$1:$AF$1&amp;"",0)),0)</f>
        <v>3</v>
      </c>
      <c r="U16" s="10" cm="1">
        <f t="array" ref="U16">IFERROR(INDEX(PQ_Juli!$B$2:$AF$1048,MATCH($C16,PQ_Juli!$A$2:$A$1048,0),MATCH(U$3&amp;"",PQ_Juli!$B$1:$AF$1&amp;"",0)),0)</f>
        <v>0</v>
      </c>
      <c r="V16" s="10" cm="1">
        <f t="array" ref="V16">IFERROR(INDEX(PQ_Juli!$B$2:$AF$1048,MATCH($C16,PQ_Juli!$A$2:$A$1048,0),MATCH(V$3&amp;"",PQ_Juli!$B$1:$AF$1&amp;"",0)),0)</f>
        <v>0</v>
      </c>
      <c r="W16" s="10" cm="1">
        <f t="array" ref="W16">IFERROR(INDEX(PQ_Juli!$B$2:$AF$1048,MATCH($C16,PQ_Juli!$A$2:$A$1048,0),MATCH(W$3&amp;"",PQ_Juli!$B$1:$AF$1&amp;"",0)),0)</f>
        <v>2</v>
      </c>
      <c r="X16" s="10" cm="1">
        <f t="array" ref="X16">IFERROR(INDEX(PQ_Juli!$B$2:$AF$1048,MATCH($C16,PQ_Juli!$A$2:$A$1048,0),MATCH(X$3&amp;"",PQ_Juli!$B$1:$AF$1&amp;"",0)),0)</f>
        <v>1</v>
      </c>
      <c r="Y16" s="10" cm="1">
        <f t="array" ref="Y16">IFERROR(INDEX(PQ_Juli!$B$2:$AF$1048,MATCH($C16,PQ_Juli!$A$2:$A$1048,0),MATCH(Y$3&amp;"",PQ_Juli!$B$1:$AF$1&amp;"",0)),0)</f>
        <v>1</v>
      </c>
      <c r="Z16" s="11"/>
      <c r="AA16" s="10" cm="1">
        <f t="array" ref="AA16">IFERROR(INDEX(PQ_Juli!$B$2:$AF$1048,MATCH($C16,PQ_Juli!$A$2:$A$1048,0),MATCH(AA$3&amp;"",PQ_Juli!$B$1:$AF$1&amp;"",0)),0)</f>
        <v>6</v>
      </c>
      <c r="AB16" s="10" cm="1">
        <f t="array" ref="AB16">IFERROR(INDEX(PQ_Juli!$B$2:$AF$1048,MATCH($C16,PQ_Juli!$A$2:$A$1048,0),MATCH(AB$3&amp;"",PQ_Juli!$B$1:$AF$1&amp;"",0)),0)</f>
        <v>1</v>
      </c>
      <c r="AC16" s="10" cm="1">
        <f t="array" ref="AC16">IFERROR(INDEX(PQ_Juli!$B$2:$AF$1048,MATCH($C16,PQ_Juli!$A$2:$A$1048,0),MATCH(AC$3&amp;"",PQ_Juli!$B$1:$AF$1&amp;"",0)),0)</f>
        <v>0</v>
      </c>
      <c r="AD16" s="10" cm="1">
        <f t="array" ref="AD16">IFERROR(INDEX(PQ_Juli!$B$2:$AF$1048,MATCH($C16,PQ_Juli!$A$2:$A$1048,0),MATCH(AD$3&amp;"",PQ_Juli!$B$1:$AF$1&amp;"",0)),0)</f>
        <v>0</v>
      </c>
      <c r="AE16" s="10" cm="1">
        <f t="array" ref="AE16">IFERROR(INDEX(PQ_Juli!$B$2:$AF$1048,MATCH($C16,PQ_Juli!$A$2:$A$1048,0),MATCH(AE$3&amp;"",PQ_Juli!$B$1:$AF$1&amp;"",0)),0)</f>
        <v>0</v>
      </c>
      <c r="AF16" s="10" cm="1">
        <f t="array" ref="AF16">IFERROR(INDEX(PQ_Juli!$B$2:$AF$1048,MATCH($C16,PQ_Juli!$A$2:$A$1048,0),MATCH(AF$3&amp;"",PQ_Juli!$B$1:$AF$1&amp;"",0)),0)</f>
        <v>6</v>
      </c>
      <c r="AG16" s="11"/>
      <c r="AH16" s="10" cm="1">
        <f t="array" ref="AH16">IFERROR(INDEX(PQ_Juli!$B$2:$AF$1048,MATCH($C16,PQ_Juli!$A$2:$A$1048,0),MATCH(AH$3&amp;"",PQ_Juli!$B$1:$AF$1&amp;"",0)),0)</f>
        <v>2</v>
      </c>
      <c r="AI16" s="10" cm="1">
        <f t="array" ref="AI16">IFERROR(INDEX(PQ_Juli!$B$2:$AF$1048,MATCH($C16,PQ_Juli!$A$2:$A$1048,0),MATCH(AI$3&amp;"",PQ_Juli!$B$1:$AF$1&amp;"",0)),0)</f>
        <v>1</v>
      </c>
      <c r="AJ16" s="10" cm="1">
        <f t="array" ref="AJ16">IFERROR(INDEX(PQ_Juli!$B$2:$AF$1048,MATCH($C16,PQ_Juli!$A$2:$A$1048,0),MATCH(AJ$3&amp;"",PQ_Juli!$B$1:$AF$1&amp;"",0)),0)</f>
        <v>2</v>
      </c>
      <c r="AK16" s="10" cm="1">
        <f t="array" ref="AK16">IFERROR(INDEX(PQ_Juli!$B$2:$AF$1048,MATCH($C16,PQ_Juli!$A$2:$A$1048,0),MATCH(AK$3&amp;"",PQ_Juli!$B$1:$AF$1&amp;"",0)),0)</f>
        <v>1</v>
      </c>
      <c r="AL16" s="10" cm="1">
        <f t="array" ref="AL16">IFERROR(INDEX(PQ_Juli!$B$2:$AF$1048,MATCH($C16,PQ_Juli!$A$2:$A$1048,0),MATCH(AL$3&amp;"",PQ_Juli!$B$1:$AF$1&amp;"",0)),0)</f>
        <v>1</v>
      </c>
      <c r="AM16" s="13">
        <v>6</v>
      </c>
      <c r="AN16" s="14">
        <f t="shared" si="4"/>
        <v>42</v>
      </c>
      <c r="AO16" s="18">
        <f t="shared" si="1"/>
        <v>46</v>
      </c>
      <c r="AP16" s="19">
        <v>20</v>
      </c>
      <c r="AQ16" s="19" t="s">
        <v>21</v>
      </c>
      <c r="AR16" s="92">
        <v>46210</v>
      </c>
      <c r="AS16" s="29">
        <v>1</v>
      </c>
      <c r="AT16" s="92"/>
      <c r="AU16" s="29"/>
      <c r="AV16" s="91">
        <v>46213</v>
      </c>
      <c r="AW16" s="92"/>
      <c r="AX16" s="29">
        <f t="shared" si="5"/>
        <v>60</v>
      </c>
      <c r="AY16" s="29">
        <f t="shared" si="6"/>
        <v>0</v>
      </c>
      <c r="AZ16" s="18">
        <f t="shared" si="2"/>
        <v>60</v>
      </c>
      <c r="BA16" s="18">
        <f t="shared" si="3"/>
        <v>46</v>
      </c>
      <c r="BB16" s="21"/>
      <c r="BC16" s="30"/>
      <c r="BD16" s="30"/>
      <c r="BE16" s="30"/>
      <c r="BF16" s="30"/>
      <c r="BN16" s="41">
        <v>40</v>
      </c>
    </row>
    <row r="17" spans="1:66" ht="22.5" customHeight="1">
      <c r="A17" s="260">
        <f t="shared" si="0"/>
        <v>31</v>
      </c>
      <c r="B17" s="261"/>
      <c r="C17" s="74" t="s">
        <v>112</v>
      </c>
      <c r="D17" s="75">
        <v>60</v>
      </c>
      <c r="E17" s="75">
        <v>30</v>
      </c>
      <c r="F17" s="75">
        <v>40</v>
      </c>
      <c r="G17" s="41">
        <v>68</v>
      </c>
      <c r="H17" s="10" cm="1">
        <f t="array" ref="H17">IFERROR(INDEX(PQ_Juli!$B$2:$AF$1048,MATCH($C17,PQ_Juli!$A$2:$A$1048,0),MATCH(H$3&amp;"",PQ_Juli!$B$1:$AF$1&amp;"",0)),0)</f>
        <v>1</v>
      </c>
      <c r="I17" s="10" cm="1">
        <f t="array" ref="I17">IFERROR(INDEX(PQ_Juli!$B$2:$AF$1048,MATCH($C17,PQ_Juli!$A$2:$A$1048,0),MATCH(I$3&amp;"",PQ_Juli!$B$1:$AF$1&amp;"",0)),0)</f>
        <v>3</v>
      </c>
      <c r="J17" s="10" cm="1">
        <f t="array" ref="J17">IFERROR(INDEX(PQ_Juli!$B$2:$AF$1048,MATCH($C17,PQ_Juli!$A$2:$A$1048,0),MATCH(J$3&amp;"",PQ_Juli!$B$1:$AF$1&amp;"",0)),0)</f>
        <v>3</v>
      </c>
      <c r="K17" s="10" cm="1">
        <f t="array" ref="K17">IFERROR(INDEX(PQ_Juli!$B$2:$AF$1048,MATCH($C17,PQ_Juli!$A$2:$A$1048,0),MATCH(K$3&amp;"",PQ_Juli!$B$1:$AF$1&amp;"",0)),0)</f>
        <v>3</v>
      </c>
      <c r="L17" s="11"/>
      <c r="M17" s="10" cm="1">
        <f t="array" ref="M17">IFERROR(INDEX(PQ_Juli!$B$2:$AF$1048,MATCH($C17,PQ_Juli!$A$2:$A$1048,0),MATCH(M$3&amp;"",PQ_Juli!$B$1:$AF$1&amp;"",0)),0)</f>
        <v>1</v>
      </c>
      <c r="N17" s="10" cm="1">
        <f t="array" ref="N17">IFERROR(INDEX(PQ_Juli!$B$2:$AF$1048,MATCH($C17,PQ_Juli!$A$2:$A$1048,0),MATCH(N$3&amp;"",PQ_Juli!$B$1:$AF$1&amp;"",0)),0)</f>
        <v>0</v>
      </c>
      <c r="O17" s="10" cm="1">
        <f t="array" ref="O17">IFERROR(INDEX(PQ_Juli!$B$2:$AF$1048,MATCH($C17,PQ_Juli!$A$2:$A$1048,0),MATCH(O$3&amp;"",PQ_Juli!$B$1:$AF$1&amp;"",0)),0)</f>
        <v>1</v>
      </c>
      <c r="P17" s="10" cm="1">
        <f t="array" ref="P17">IFERROR(INDEX(PQ_Juli!$B$2:$AF$1048,MATCH($C17,PQ_Juli!$A$2:$A$1048,0),MATCH(P$3&amp;"",PQ_Juli!$B$1:$AF$1&amp;"",0)),0)</f>
        <v>0</v>
      </c>
      <c r="Q17" s="10" cm="1">
        <f t="array" ref="Q17">IFERROR(INDEX(PQ_Juli!$B$2:$AF$1048,MATCH($C17,PQ_Juli!$A$2:$A$1048,0),MATCH(Q$3&amp;"",PQ_Juli!$B$1:$AF$1&amp;"",0)),0)</f>
        <v>0</v>
      </c>
      <c r="R17" s="10" cm="1">
        <f t="array" ref="R17">IFERROR(INDEX(PQ_Juli!$B$2:$AF$1048,MATCH($C17,PQ_Juli!$A$2:$A$1048,0),MATCH(R$3&amp;"",PQ_Juli!$B$1:$AF$1&amp;"",0)),0)</f>
        <v>0</v>
      </c>
      <c r="S17" s="11"/>
      <c r="T17" s="10" cm="1">
        <f t="array" ref="T17">IFERROR(INDEX(PQ_Juli!$B$2:$AF$1048,MATCH($C17,PQ_Juli!$A$2:$A$1048,0),MATCH(T$3&amp;"",PQ_Juli!$B$1:$AF$1&amp;"",0)),0)</f>
        <v>2</v>
      </c>
      <c r="U17" s="10" cm="1">
        <f t="array" ref="U17">IFERROR(INDEX(PQ_Juli!$B$2:$AF$1048,MATCH($C17,PQ_Juli!$A$2:$A$1048,0),MATCH(U$3&amp;"",PQ_Juli!$B$1:$AF$1&amp;"",0)),0)</f>
        <v>1</v>
      </c>
      <c r="V17" s="10" cm="1">
        <f t="array" ref="V17">IFERROR(INDEX(PQ_Juli!$B$2:$AF$1048,MATCH($C17,PQ_Juli!$A$2:$A$1048,0),MATCH(V$3&amp;"",PQ_Juli!$B$1:$AF$1&amp;"",0)),0)</f>
        <v>1</v>
      </c>
      <c r="W17" s="10" cm="1">
        <f t="array" ref="W17">IFERROR(INDEX(PQ_Juli!$B$2:$AF$1048,MATCH($C17,PQ_Juli!$A$2:$A$1048,0),MATCH(W$3&amp;"",PQ_Juli!$B$1:$AF$1&amp;"",0)),0)</f>
        <v>5</v>
      </c>
      <c r="X17" s="10" cm="1">
        <f t="array" ref="X17">IFERROR(INDEX(PQ_Juli!$B$2:$AF$1048,MATCH($C17,PQ_Juli!$A$2:$A$1048,0),MATCH(X$3&amp;"",PQ_Juli!$B$1:$AF$1&amp;"",0)),0)</f>
        <v>0</v>
      </c>
      <c r="Y17" s="10" cm="1">
        <f t="array" ref="Y17">IFERROR(INDEX(PQ_Juli!$B$2:$AF$1048,MATCH($C17,PQ_Juli!$A$2:$A$1048,0),MATCH(Y$3&amp;"",PQ_Juli!$B$1:$AF$1&amp;"",0)),0)</f>
        <v>1</v>
      </c>
      <c r="Z17" s="11"/>
      <c r="AA17" s="10" cm="1">
        <f t="array" ref="AA17">IFERROR(INDEX(PQ_Juli!$B$2:$AF$1048,MATCH($C17,PQ_Juli!$A$2:$A$1048,0),MATCH(AA$3&amp;"",PQ_Juli!$B$1:$AF$1&amp;"",0)),0)</f>
        <v>1</v>
      </c>
      <c r="AB17" s="10" cm="1">
        <f t="array" ref="AB17">IFERROR(INDEX(PQ_Juli!$B$2:$AF$1048,MATCH($C17,PQ_Juli!$A$2:$A$1048,0),MATCH(AB$3&amp;"",PQ_Juli!$B$1:$AF$1&amp;"",0)),0)</f>
        <v>3</v>
      </c>
      <c r="AC17" s="10" cm="1">
        <f t="array" ref="AC17">IFERROR(INDEX(PQ_Juli!$B$2:$AF$1048,MATCH($C17,PQ_Juli!$A$2:$A$1048,0),MATCH(AC$3&amp;"",PQ_Juli!$B$1:$AF$1&amp;"",0)),0)</f>
        <v>2</v>
      </c>
      <c r="AD17" s="10" cm="1">
        <f t="array" ref="AD17">IFERROR(INDEX(PQ_Juli!$B$2:$AF$1048,MATCH($C17,PQ_Juli!$A$2:$A$1048,0),MATCH(AD$3&amp;"",PQ_Juli!$B$1:$AF$1&amp;"",0)),0)</f>
        <v>2</v>
      </c>
      <c r="AE17" s="10" cm="1">
        <f t="array" ref="AE17">IFERROR(INDEX(PQ_Juli!$B$2:$AF$1048,MATCH($C17,PQ_Juli!$A$2:$A$1048,0),MATCH(AE$3&amp;"",PQ_Juli!$B$1:$AF$1&amp;"",0)),0)</f>
        <v>0</v>
      </c>
      <c r="AF17" s="10" cm="1">
        <f t="array" ref="AF17">IFERROR(INDEX(PQ_Juli!$B$2:$AF$1048,MATCH($C17,PQ_Juli!$A$2:$A$1048,0),MATCH(AF$3&amp;"",PQ_Juli!$B$1:$AF$1&amp;"",0)),0)</f>
        <v>1</v>
      </c>
      <c r="AG17" s="11"/>
      <c r="AH17" s="10" cm="1">
        <f t="array" ref="AH17">IFERROR(INDEX(PQ_Juli!$B$2:$AF$1048,MATCH($C17,PQ_Juli!$A$2:$A$1048,0),MATCH(AH$3&amp;"",PQ_Juli!$B$1:$AF$1&amp;"",0)),0)</f>
        <v>1</v>
      </c>
      <c r="AI17" s="10" cm="1">
        <f t="array" ref="AI17">IFERROR(INDEX(PQ_Juli!$B$2:$AF$1048,MATCH($C17,PQ_Juli!$A$2:$A$1048,0),MATCH(AI$3&amp;"",PQ_Juli!$B$1:$AF$1&amp;"",0)),0)</f>
        <v>1</v>
      </c>
      <c r="AJ17" s="10" cm="1">
        <f t="array" ref="AJ17">IFERROR(INDEX(PQ_Juli!$B$2:$AF$1048,MATCH($C17,PQ_Juli!$A$2:$A$1048,0),MATCH(AJ$3&amp;"",PQ_Juli!$B$1:$AF$1&amp;"",0)),0)</f>
        <v>1</v>
      </c>
      <c r="AK17" s="10" cm="1">
        <f t="array" ref="AK17">IFERROR(INDEX(PQ_Juli!$B$2:$AF$1048,MATCH($C17,PQ_Juli!$A$2:$A$1048,0),MATCH(AK$3&amp;"",PQ_Juli!$B$1:$AF$1&amp;"",0)),0)</f>
        <v>0</v>
      </c>
      <c r="AL17" s="10" cm="1">
        <f t="array" ref="AL17">IFERROR(INDEX(PQ_Juli!$B$2:$AF$1048,MATCH($C17,PQ_Juli!$A$2:$A$1048,0),MATCH(AL$3&amp;"",PQ_Juli!$B$1:$AF$1&amp;"",0)),0)</f>
        <v>0</v>
      </c>
      <c r="AM17" s="13">
        <v>3</v>
      </c>
      <c r="AN17" s="14">
        <f t="shared" si="4"/>
        <v>37</v>
      </c>
      <c r="AO17" s="18">
        <f t="shared" si="1"/>
        <v>31</v>
      </c>
      <c r="AP17" s="19">
        <v>20</v>
      </c>
      <c r="AQ17" s="19" t="s">
        <v>21</v>
      </c>
      <c r="AR17" s="92"/>
      <c r="AS17" s="29"/>
      <c r="AT17" s="92"/>
      <c r="AU17" s="29"/>
      <c r="AV17" s="92"/>
      <c r="AW17" s="92"/>
      <c r="AX17" s="29">
        <f t="shared" si="5"/>
        <v>0</v>
      </c>
      <c r="AY17" s="29">
        <f t="shared" si="6"/>
        <v>0</v>
      </c>
      <c r="AZ17" s="18">
        <f t="shared" si="2"/>
        <v>0</v>
      </c>
      <c r="BA17" s="18">
        <f t="shared" si="3"/>
        <v>31</v>
      </c>
      <c r="BB17" s="21"/>
      <c r="BC17" s="30"/>
      <c r="BD17" s="30"/>
      <c r="BE17" s="30"/>
      <c r="BF17" s="30"/>
      <c r="BN17" s="41">
        <v>72</v>
      </c>
    </row>
    <row r="18" spans="1:66" ht="22.5" customHeight="1">
      <c r="A18" s="262">
        <f t="shared" si="0"/>
        <v>34</v>
      </c>
      <c r="B18" s="263"/>
      <c r="C18" s="74" t="s">
        <v>113</v>
      </c>
      <c r="D18" s="75">
        <v>60</v>
      </c>
      <c r="E18" s="75">
        <v>6</v>
      </c>
      <c r="F18" s="75">
        <v>12</v>
      </c>
      <c r="G18" s="41">
        <v>65</v>
      </c>
      <c r="H18" s="10" cm="1">
        <f t="array" ref="H18">IFERROR(INDEX(PQ_Juli!$B$2:$AF$1048,MATCH($C18,PQ_Juli!$A$2:$A$1048,0),MATCH(H$3&amp;"",PQ_Juli!$B$1:$AF$1&amp;"",0)),0)</f>
        <v>0</v>
      </c>
      <c r="I18" s="10" cm="1">
        <f t="array" ref="I18">IFERROR(INDEX(PQ_Juli!$B$2:$AF$1048,MATCH($C18,PQ_Juli!$A$2:$A$1048,0),MATCH(I$3&amp;"",PQ_Juli!$B$1:$AF$1&amp;"",0)),0)</f>
        <v>1</v>
      </c>
      <c r="J18" s="10" cm="1">
        <f t="array" ref="J18">IFERROR(INDEX(PQ_Juli!$B$2:$AF$1048,MATCH($C18,PQ_Juli!$A$2:$A$1048,0),MATCH(J$3&amp;"",PQ_Juli!$B$1:$AF$1&amp;"",0)),0)</f>
        <v>1</v>
      </c>
      <c r="K18" s="10" cm="1">
        <f t="array" ref="K18">IFERROR(INDEX(PQ_Juli!$B$2:$AF$1048,MATCH($C18,PQ_Juli!$A$2:$A$1048,0),MATCH(K$3&amp;"",PQ_Juli!$B$1:$AF$1&amp;"",0)),0)</f>
        <v>1</v>
      </c>
      <c r="L18" s="11"/>
      <c r="M18" s="10" cm="1">
        <f t="array" ref="M18">IFERROR(INDEX(PQ_Juli!$B$2:$AF$1048,MATCH($C18,PQ_Juli!$A$2:$A$1048,0),MATCH(M$3&amp;"",PQ_Juli!$B$1:$AF$1&amp;"",0)),0)</f>
        <v>1</v>
      </c>
      <c r="N18" s="10" cm="1">
        <f t="array" ref="N18">IFERROR(INDEX(PQ_Juli!$B$2:$AF$1048,MATCH($C18,PQ_Juli!$A$2:$A$1048,0),MATCH(N$3&amp;"",PQ_Juli!$B$1:$AF$1&amp;"",0)),0)</f>
        <v>2</v>
      </c>
      <c r="O18" s="10" cm="1">
        <f t="array" ref="O18">IFERROR(INDEX(PQ_Juli!$B$2:$AF$1048,MATCH($C18,PQ_Juli!$A$2:$A$1048,0),MATCH(O$3&amp;"",PQ_Juli!$B$1:$AF$1&amp;"",0)),0)</f>
        <v>0</v>
      </c>
      <c r="P18" s="10" cm="1">
        <f t="array" ref="P18">IFERROR(INDEX(PQ_Juli!$B$2:$AF$1048,MATCH($C18,PQ_Juli!$A$2:$A$1048,0),MATCH(P$3&amp;"",PQ_Juli!$B$1:$AF$1&amp;"",0)),0)</f>
        <v>0</v>
      </c>
      <c r="Q18" s="10" cm="1">
        <f t="array" ref="Q18">IFERROR(INDEX(PQ_Juli!$B$2:$AF$1048,MATCH($C18,PQ_Juli!$A$2:$A$1048,0),MATCH(Q$3&amp;"",PQ_Juli!$B$1:$AF$1&amp;"",0)),0)</f>
        <v>1</v>
      </c>
      <c r="R18" s="10" cm="1">
        <f t="array" ref="R18">IFERROR(INDEX(PQ_Juli!$B$2:$AF$1048,MATCH($C18,PQ_Juli!$A$2:$A$1048,0),MATCH(R$3&amp;"",PQ_Juli!$B$1:$AF$1&amp;"",0)),0)</f>
        <v>0</v>
      </c>
      <c r="S18" s="11"/>
      <c r="T18" s="10" cm="1">
        <f t="array" ref="T18">IFERROR(INDEX(PQ_Juli!$B$2:$AF$1048,MATCH($C18,PQ_Juli!$A$2:$A$1048,0),MATCH(T$3&amp;"",PQ_Juli!$B$1:$AF$1&amp;"",0)),0)</f>
        <v>3</v>
      </c>
      <c r="U18" s="10" cm="1">
        <f t="array" ref="U18">IFERROR(INDEX(PQ_Juli!$B$2:$AF$1048,MATCH($C18,PQ_Juli!$A$2:$A$1048,0),MATCH(U$3&amp;"",PQ_Juli!$B$1:$AF$1&amp;"",0)),0)</f>
        <v>2</v>
      </c>
      <c r="V18" s="10" cm="1">
        <f t="array" ref="V18">IFERROR(INDEX(PQ_Juli!$B$2:$AF$1048,MATCH($C18,PQ_Juli!$A$2:$A$1048,0),MATCH(V$3&amp;"",PQ_Juli!$B$1:$AF$1&amp;"",0)),0)</f>
        <v>3</v>
      </c>
      <c r="W18" s="10" cm="1">
        <f t="array" ref="W18">IFERROR(INDEX(PQ_Juli!$B$2:$AF$1048,MATCH($C18,PQ_Juli!$A$2:$A$1048,0),MATCH(W$3&amp;"",PQ_Juli!$B$1:$AF$1&amp;"",0)),0)</f>
        <v>1</v>
      </c>
      <c r="X18" s="10" cm="1">
        <f t="array" ref="X18">IFERROR(INDEX(PQ_Juli!$B$2:$AF$1048,MATCH($C18,PQ_Juli!$A$2:$A$1048,0),MATCH(X$3&amp;"",PQ_Juli!$B$1:$AF$1&amp;"",0)),0)</f>
        <v>1</v>
      </c>
      <c r="Y18" s="10" cm="1">
        <f t="array" ref="Y18">IFERROR(INDEX(PQ_Juli!$B$2:$AF$1048,MATCH($C18,PQ_Juli!$A$2:$A$1048,0),MATCH(Y$3&amp;"",PQ_Juli!$B$1:$AF$1&amp;"",0)),0)</f>
        <v>0</v>
      </c>
      <c r="Z18" s="11"/>
      <c r="AA18" s="10" cm="1">
        <f t="array" ref="AA18">IFERROR(INDEX(PQ_Juli!$B$2:$AF$1048,MATCH($C18,PQ_Juli!$A$2:$A$1048,0),MATCH(AA$3&amp;"",PQ_Juli!$B$1:$AF$1&amp;"",0)),0)</f>
        <v>1</v>
      </c>
      <c r="AB18" s="10" cm="1">
        <f t="array" ref="AB18">IFERROR(INDEX(PQ_Juli!$B$2:$AF$1048,MATCH($C18,PQ_Juli!$A$2:$A$1048,0),MATCH(AB$3&amp;"",PQ_Juli!$B$1:$AF$1&amp;"",0)),0)</f>
        <v>2</v>
      </c>
      <c r="AC18" s="10" cm="1">
        <f t="array" ref="AC18">IFERROR(INDEX(PQ_Juli!$B$2:$AF$1048,MATCH($C18,PQ_Juli!$A$2:$A$1048,0),MATCH(AC$3&amp;"",PQ_Juli!$B$1:$AF$1&amp;"",0)),0)</f>
        <v>1</v>
      </c>
      <c r="AD18" s="10" cm="1">
        <f t="array" ref="AD18">IFERROR(INDEX(PQ_Juli!$B$2:$AF$1048,MATCH($C18,PQ_Juli!$A$2:$A$1048,0),MATCH(AD$3&amp;"",PQ_Juli!$B$1:$AF$1&amp;"",0)),0)</f>
        <v>1</v>
      </c>
      <c r="AE18" s="10" cm="1">
        <f t="array" ref="AE18">IFERROR(INDEX(PQ_Juli!$B$2:$AF$1048,MATCH($C18,PQ_Juli!$A$2:$A$1048,0),MATCH(AE$3&amp;"",PQ_Juli!$B$1:$AF$1&amp;"",0)),0)</f>
        <v>2</v>
      </c>
      <c r="AF18" s="10" cm="1">
        <f t="array" ref="AF18">IFERROR(INDEX(PQ_Juli!$B$2:$AF$1048,MATCH($C18,PQ_Juli!$A$2:$A$1048,0),MATCH(AF$3&amp;"",PQ_Juli!$B$1:$AF$1&amp;"",0)),0)</f>
        <v>0</v>
      </c>
      <c r="AG18" s="11"/>
      <c r="AH18" s="10" cm="1">
        <f t="array" ref="AH18">IFERROR(INDEX(PQ_Juli!$B$2:$AF$1048,MATCH($C18,PQ_Juli!$A$2:$A$1048,0),MATCH(AH$3&amp;"",PQ_Juli!$B$1:$AF$1&amp;"",0)),0)</f>
        <v>2</v>
      </c>
      <c r="AI18" s="10" cm="1">
        <f t="array" ref="AI18">IFERROR(INDEX(PQ_Juli!$B$2:$AF$1048,MATCH($C18,PQ_Juli!$A$2:$A$1048,0),MATCH(AI$3&amp;"",PQ_Juli!$B$1:$AF$1&amp;"",0)),0)</f>
        <v>1</v>
      </c>
      <c r="AJ18" s="10" cm="1">
        <f t="array" ref="AJ18">IFERROR(INDEX(PQ_Juli!$B$2:$AF$1048,MATCH($C18,PQ_Juli!$A$2:$A$1048,0),MATCH(AJ$3&amp;"",PQ_Juli!$B$1:$AF$1&amp;"",0)),0)</f>
        <v>1</v>
      </c>
      <c r="AK18" s="10" cm="1">
        <f t="array" ref="AK18">IFERROR(INDEX(PQ_Juli!$B$2:$AF$1048,MATCH($C18,PQ_Juli!$A$2:$A$1048,0),MATCH(AK$3&amp;"",PQ_Juli!$B$1:$AF$1&amp;"",0)),0)</f>
        <v>1</v>
      </c>
      <c r="AL18" s="10" cm="1">
        <f t="array" ref="AL18">IFERROR(INDEX(PQ_Juli!$B$2:$AF$1048,MATCH($C18,PQ_Juli!$A$2:$A$1048,0),MATCH(AL$3&amp;"",PQ_Juli!$B$1:$AF$1&amp;"",0)),0)</f>
        <v>2</v>
      </c>
      <c r="AM18" s="13"/>
      <c r="AN18" s="14">
        <f t="shared" si="4"/>
        <v>31</v>
      </c>
      <c r="AO18" s="18">
        <f t="shared" si="1"/>
        <v>34</v>
      </c>
      <c r="AP18" s="19">
        <v>20</v>
      </c>
      <c r="AQ18" s="19" t="s">
        <v>21</v>
      </c>
      <c r="AR18" s="92"/>
      <c r="AS18" s="29"/>
      <c r="AT18" s="92"/>
      <c r="AU18" s="29"/>
      <c r="AV18" s="92"/>
      <c r="AW18" s="92"/>
      <c r="AX18" s="29">
        <f t="shared" si="5"/>
        <v>0</v>
      </c>
      <c r="AY18" s="29">
        <f t="shared" si="6"/>
        <v>0</v>
      </c>
      <c r="AZ18" s="18">
        <f t="shared" si="2"/>
        <v>0</v>
      </c>
      <c r="BA18" s="18">
        <f t="shared" si="3"/>
        <v>34</v>
      </c>
      <c r="BB18" s="21"/>
      <c r="BC18" s="30"/>
      <c r="BD18" s="30"/>
      <c r="BE18" s="30"/>
      <c r="BF18" s="30"/>
      <c r="BN18" s="41">
        <v>68</v>
      </c>
    </row>
    <row r="19" spans="1:66" ht="22.5" customHeight="1">
      <c r="A19" s="262">
        <f t="shared" si="0"/>
        <v>26</v>
      </c>
      <c r="B19" s="263"/>
      <c r="C19" s="74" t="s">
        <v>114</v>
      </c>
      <c r="D19" s="75">
        <v>60</v>
      </c>
      <c r="E19" s="75">
        <v>3</v>
      </c>
      <c r="F19" s="75">
        <v>6</v>
      </c>
      <c r="G19" s="41">
        <v>42</v>
      </c>
      <c r="H19" s="10" cm="1">
        <f t="array" ref="H19">IFERROR(INDEX(PQ_Juli!$B$2:$AF$1048,MATCH($C19,PQ_Juli!$A$2:$A$1048,0),MATCH(H$3&amp;"",PQ_Juli!$B$1:$AF$1&amp;"",0)),0)</f>
        <v>0</v>
      </c>
      <c r="I19" s="10" cm="1">
        <f t="array" ref="I19">IFERROR(INDEX(PQ_Juli!$B$2:$AF$1048,MATCH($C19,PQ_Juli!$A$2:$A$1048,0),MATCH(I$3&amp;"",PQ_Juli!$B$1:$AF$1&amp;"",0)),0)</f>
        <v>0</v>
      </c>
      <c r="J19" s="10" cm="1">
        <f t="array" ref="J19">IFERROR(INDEX(PQ_Juli!$B$2:$AF$1048,MATCH($C19,PQ_Juli!$A$2:$A$1048,0),MATCH(J$3&amp;"",PQ_Juli!$B$1:$AF$1&amp;"",0)),0)</f>
        <v>0</v>
      </c>
      <c r="K19" s="10" cm="1">
        <f t="array" ref="K19">IFERROR(INDEX(PQ_Juli!$B$2:$AF$1048,MATCH($C19,PQ_Juli!$A$2:$A$1048,0),MATCH(K$3&amp;"",PQ_Juli!$B$1:$AF$1&amp;"",0)),0)</f>
        <v>0</v>
      </c>
      <c r="L19" s="11"/>
      <c r="M19" s="10" cm="1">
        <f t="array" ref="M19">IFERROR(INDEX(PQ_Juli!$B$2:$AF$1048,MATCH($C19,PQ_Juli!$A$2:$A$1048,0),MATCH(M$3&amp;"",PQ_Juli!$B$1:$AF$1&amp;"",0)),0)</f>
        <v>0</v>
      </c>
      <c r="N19" s="10" cm="1">
        <f t="array" ref="N19">IFERROR(INDEX(PQ_Juli!$B$2:$AF$1048,MATCH($C19,PQ_Juli!$A$2:$A$1048,0),MATCH(N$3&amp;"",PQ_Juli!$B$1:$AF$1&amp;"",0)),0)</f>
        <v>0</v>
      </c>
      <c r="O19" s="10" cm="1">
        <f t="array" ref="O19">IFERROR(INDEX(PQ_Juli!$B$2:$AF$1048,MATCH($C19,PQ_Juli!$A$2:$A$1048,0),MATCH(O$3&amp;"",PQ_Juli!$B$1:$AF$1&amp;"",0)),0)</f>
        <v>0</v>
      </c>
      <c r="P19" s="10" cm="1">
        <f t="array" ref="P19">IFERROR(INDEX(PQ_Juli!$B$2:$AF$1048,MATCH($C19,PQ_Juli!$A$2:$A$1048,0),MATCH(P$3&amp;"",PQ_Juli!$B$1:$AF$1&amp;"",0)),0)</f>
        <v>0</v>
      </c>
      <c r="Q19" s="10" cm="1">
        <f t="array" ref="Q19">IFERROR(INDEX(PQ_Juli!$B$2:$AF$1048,MATCH($C19,PQ_Juli!$A$2:$A$1048,0),MATCH(Q$3&amp;"",PQ_Juli!$B$1:$AF$1&amp;"",0)),0)</f>
        <v>0</v>
      </c>
      <c r="R19" s="10" cm="1">
        <f t="array" ref="R19">IFERROR(INDEX(PQ_Juli!$B$2:$AF$1048,MATCH($C19,PQ_Juli!$A$2:$A$1048,0),MATCH(R$3&amp;"",PQ_Juli!$B$1:$AF$1&amp;"",0)),0)</f>
        <v>0</v>
      </c>
      <c r="S19" s="11"/>
      <c r="T19" s="10" cm="1">
        <f t="array" ref="T19">IFERROR(INDEX(PQ_Juli!$B$2:$AF$1048,MATCH($C19,PQ_Juli!$A$2:$A$1048,0),MATCH(T$3&amp;"",PQ_Juli!$B$1:$AF$1&amp;"",0)),0)</f>
        <v>2</v>
      </c>
      <c r="U19" s="10" cm="1">
        <f t="array" ref="U19">IFERROR(INDEX(PQ_Juli!$B$2:$AF$1048,MATCH($C19,PQ_Juli!$A$2:$A$1048,0),MATCH(U$3&amp;"",PQ_Juli!$B$1:$AF$1&amp;"",0)),0)</f>
        <v>0</v>
      </c>
      <c r="V19" s="10" cm="1">
        <f t="array" ref="V19">IFERROR(INDEX(PQ_Juli!$B$2:$AF$1048,MATCH($C19,PQ_Juli!$A$2:$A$1048,0),MATCH(V$3&amp;"",PQ_Juli!$B$1:$AF$1&amp;"",0)),0)</f>
        <v>0</v>
      </c>
      <c r="W19" s="10" cm="1">
        <f t="array" ref="W19">IFERROR(INDEX(PQ_Juli!$B$2:$AF$1048,MATCH($C19,PQ_Juli!$A$2:$A$1048,0),MATCH(W$3&amp;"",PQ_Juli!$B$1:$AF$1&amp;"",0)),0)</f>
        <v>0</v>
      </c>
      <c r="X19" s="10" cm="1">
        <f t="array" ref="X19">IFERROR(INDEX(PQ_Juli!$B$2:$AF$1048,MATCH($C19,PQ_Juli!$A$2:$A$1048,0),MATCH(X$3&amp;"",PQ_Juli!$B$1:$AF$1&amp;"",0)),0)</f>
        <v>1</v>
      </c>
      <c r="Y19" s="10" cm="1">
        <f t="array" ref="Y19">IFERROR(INDEX(PQ_Juli!$B$2:$AF$1048,MATCH($C19,PQ_Juli!$A$2:$A$1048,0),MATCH(Y$3&amp;"",PQ_Juli!$B$1:$AF$1&amp;"",0)),0)</f>
        <v>0</v>
      </c>
      <c r="Z19" s="11"/>
      <c r="AA19" s="10" cm="1">
        <f t="array" ref="AA19">IFERROR(INDEX(PQ_Juli!$B$2:$AF$1048,MATCH($C19,PQ_Juli!$A$2:$A$1048,0),MATCH(AA$3&amp;"",PQ_Juli!$B$1:$AF$1&amp;"",0)),0)</f>
        <v>2</v>
      </c>
      <c r="AB19" s="10" cm="1">
        <f t="array" ref="AB19">IFERROR(INDEX(PQ_Juli!$B$2:$AF$1048,MATCH($C19,PQ_Juli!$A$2:$A$1048,0),MATCH(AB$3&amp;"",PQ_Juli!$B$1:$AF$1&amp;"",0)),0)</f>
        <v>0</v>
      </c>
      <c r="AC19" s="10" cm="1">
        <f t="array" ref="AC19">IFERROR(INDEX(PQ_Juli!$B$2:$AF$1048,MATCH($C19,PQ_Juli!$A$2:$A$1048,0),MATCH(AC$3&amp;"",PQ_Juli!$B$1:$AF$1&amp;"",0)),0)</f>
        <v>1</v>
      </c>
      <c r="AD19" s="10" cm="1">
        <f t="array" ref="AD19">IFERROR(INDEX(PQ_Juli!$B$2:$AF$1048,MATCH($C19,PQ_Juli!$A$2:$A$1048,0),MATCH(AD$3&amp;"",PQ_Juli!$B$1:$AF$1&amp;"",0)),0)</f>
        <v>1</v>
      </c>
      <c r="AE19" s="10" cm="1">
        <f t="array" ref="AE19">IFERROR(INDEX(PQ_Juli!$B$2:$AF$1048,MATCH($C19,PQ_Juli!$A$2:$A$1048,0),MATCH(AE$3&amp;"",PQ_Juli!$B$1:$AF$1&amp;"",0)),0)</f>
        <v>2</v>
      </c>
      <c r="AF19" s="10" cm="1">
        <f t="array" ref="AF19">IFERROR(INDEX(PQ_Juli!$B$2:$AF$1048,MATCH($C19,PQ_Juli!$A$2:$A$1048,0),MATCH(AF$3&amp;"",PQ_Juli!$B$1:$AF$1&amp;"",0)),0)</f>
        <v>1</v>
      </c>
      <c r="AG19" s="11"/>
      <c r="AH19" s="10" cm="1">
        <f t="array" ref="AH19">IFERROR(INDEX(PQ_Juli!$B$2:$AF$1048,MATCH($C19,PQ_Juli!$A$2:$A$1048,0),MATCH(AH$3&amp;"",PQ_Juli!$B$1:$AF$1&amp;"",0)),0)</f>
        <v>0</v>
      </c>
      <c r="AI19" s="10" cm="1">
        <f t="array" ref="AI19">IFERROR(INDEX(PQ_Juli!$B$2:$AF$1048,MATCH($C19,PQ_Juli!$A$2:$A$1048,0),MATCH(AI$3&amp;"",PQ_Juli!$B$1:$AF$1&amp;"",0)),0)</f>
        <v>2</v>
      </c>
      <c r="AJ19" s="10" cm="1">
        <f t="array" ref="AJ19">IFERROR(INDEX(PQ_Juli!$B$2:$AF$1048,MATCH($C19,PQ_Juli!$A$2:$A$1048,0),MATCH(AJ$3&amp;"",PQ_Juli!$B$1:$AF$1&amp;"",0)),0)</f>
        <v>0</v>
      </c>
      <c r="AK19" s="10" cm="1">
        <f t="array" ref="AK19">IFERROR(INDEX(PQ_Juli!$B$2:$AF$1048,MATCH($C19,PQ_Juli!$A$2:$A$1048,0),MATCH(AK$3&amp;"",PQ_Juli!$B$1:$AF$1&amp;"",0)),0)</f>
        <v>0</v>
      </c>
      <c r="AL19" s="10" cm="1">
        <f t="array" ref="AL19">IFERROR(INDEX(PQ_Juli!$B$2:$AF$1048,MATCH($C19,PQ_Juli!$A$2:$A$1048,0),MATCH(AL$3&amp;"",PQ_Juli!$B$1:$AF$1&amp;"",0)),0)</f>
        <v>0</v>
      </c>
      <c r="AM19" s="13">
        <v>4</v>
      </c>
      <c r="AN19" s="14">
        <f t="shared" si="4"/>
        <v>16</v>
      </c>
      <c r="AO19" s="18">
        <f t="shared" si="1"/>
        <v>26</v>
      </c>
      <c r="AP19" s="19">
        <v>15</v>
      </c>
      <c r="AQ19" s="19" t="s">
        <v>21</v>
      </c>
      <c r="AR19" s="92"/>
      <c r="AS19" s="29"/>
      <c r="AT19" s="92"/>
      <c r="AU19" s="29"/>
      <c r="AV19" s="92"/>
      <c r="AW19" s="92"/>
      <c r="AX19" s="29">
        <f t="shared" si="5"/>
        <v>0</v>
      </c>
      <c r="AY19" s="29">
        <f t="shared" si="6"/>
        <v>0</v>
      </c>
      <c r="AZ19" s="18">
        <f t="shared" si="2"/>
        <v>0</v>
      </c>
      <c r="BA19" s="18">
        <f t="shared" si="3"/>
        <v>26</v>
      </c>
      <c r="BB19" s="21"/>
      <c r="BC19" s="30"/>
      <c r="BD19" s="30"/>
      <c r="BE19" s="30"/>
      <c r="BF19" s="30"/>
      <c r="BN19" s="41">
        <v>49</v>
      </c>
    </row>
    <row r="20" spans="1:66" ht="22.5" customHeight="1">
      <c r="A20" s="260" t="e">
        <f t="shared" si="0"/>
        <v>#REF!</v>
      </c>
      <c r="B20" s="261"/>
      <c r="C20" s="74" t="s">
        <v>115</v>
      </c>
      <c r="D20" s="75">
        <v>60</v>
      </c>
      <c r="E20" s="75">
        <v>54</v>
      </c>
      <c r="F20" s="75">
        <v>24</v>
      </c>
      <c r="G20" s="41" t="e">
        <f>#REF!</f>
        <v>#REF!</v>
      </c>
      <c r="H20" s="10" cm="1">
        <f t="array" ref="H20">IFERROR(INDEX(PQ_Juli!$B$2:$AF$1048,MATCH($C20,PQ_Juli!$A$2:$A$1048,0),MATCH(H$3&amp;"",PQ_Juli!$B$1:$AF$1&amp;"",0)),0)</f>
        <v>2</v>
      </c>
      <c r="I20" s="10" cm="1">
        <f t="array" ref="I20">IFERROR(INDEX(PQ_Juli!$B$2:$AF$1048,MATCH($C20,PQ_Juli!$A$2:$A$1048,0),MATCH(I$3&amp;"",PQ_Juli!$B$1:$AF$1&amp;"",0)),0)</f>
        <v>0</v>
      </c>
      <c r="J20" s="10" cm="1">
        <f t="array" ref="J20">IFERROR(INDEX(PQ_Juli!$B$2:$AF$1048,MATCH($C20,PQ_Juli!$A$2:$A$1048,0),MATCH(J$3&amp;"",PQ_Juli!$B$1:$AF$1&amp;"",0)),0)</f>
        <v>3</v>
      </c>
      <c r="K20" s="10" cm="1">
        <f t="array" ref="K20">IFERROR(INDEX(PQ_Juli!$B$2:$AF$1048,MATCH($C20,PQ_Juli!$A$2:$A$1048,0),MATCH(K$3&amp;"",PQ_Juli!$B$1:$AF$1&amp;"",0)),0)</f>
        <v>0</v>
      </c>
      <c r="L20" s="11"/>
      <c r="M20" s="10" cm="1">
        <f t="array" ref="M20">IFERROR(INDEX(PQ_Juli!$B$2:$AF$1048,MATCH($C20,PQ_Juli!$A$2:$A$1048,0),MATCH(M$3&amp;"",PQ_Juli!$B$1:$AF$1&amp;"",0)),0)</f>
        <v>0</v>
      </c>
      <c r="N20" s="10" cm="1">
        <f t="array" ref="N20">IFERROR(INDEX(PQ_Juli!$B$2:$AF$1048,MATCH($C20,PQ_Juli!$A$2:$A$1048,0),MATCH(N$3&amp;"",PQ_Juli!$B$1:$AF$1&amp;"",0)),0)</f>
        <v>0</v>
      </c>
      <c r="O20" s="10" cm="1">
        <f t="array" ref="O20">IFERROR(INDEX(PQ_Juli!$B$2:$AF$1048,MATCH($C20,PQ_Juli!$A$2:$A$1048,0),MATCH(O$3&amp;"",PQ_Juli!$B$1:$AF$1&amp;"",0)),0)</f>
        <v>0</v>
      </c>
      <c r="P20" s="10" cm="1">
        <f t="array" ref="P20">IFERROR(INDEX(PQ_Juli!$B$2:$AF$1048,MATCH($C20,PQ_Juli!$A$2:$A$1048,0),MATCH(P$3&amp;"",PQ_Juli!$B$1:$AF$1&amp;"",0)),0)</f>
        <v>0</v>
      </c>
      <c r="Q20" s="10" cm="1">
        <f t="array" ref="Q20">IFERROR(INDEX(PQ_Juli!$B$2:$AF$1048,MATCH($C20,PQ_Juli!$A$2:$A$1048,0),MATCH(Q$3&amp;"",PQ_Juli!$B$1:$AF$1&amp;"",0)),0)</f>
        <v>2</v>
      </c>
      <c r="R20" s="10" cm="1">
        <f t="array" ref="R20">IFERROR(INDEX(PQ_Juli!$B$2:$AF$1048,MATCH($C20,PQ_Juli!$A$2:$A$1048,0),MATCH(R$3&amp;"",PQ_Juli!$B$1:$AF$1&amp;"",0)),0)</f>
        <v>1</v>
      </c>
      <c r="S20" s="11"/>
      <c r="T20" s="10" cm="1">
        <f t="array" ref="T20">IFERROR(INDEX(PQ_Juli!$B$2:$AF$1048,MATCH($C20,PQ_Juli!$A$2:$A$1048,0),MATCH(T$3&amp;"",PQ_Juli!$B$1:$AF$1&amp;"",0)),0)</f>
        <v>1</v>
      </c>
      <c r="U20" s="10" cm="1">
        <f t="array" ref="U20">IFERROR(INDEX(PQ_Juli!$B$2:$AF$1048,MATCH($C20,PQ_Juli!$A$2:$A$1048,0),MATCH(U$3&amp;"",PQ_Juli!$B$1:$AF$1&amp;"",0)),0)</f>
        <v>0</v>
      </c>
      <c r="V20" s="10" cm="1">
        <f t="array" ref="V20">IFERROR(INDEX(PQ_Juli!$B$2:$AF$1048,MATCH($C20,PQ_Juli!$A$2:$A$1048,0),MATCH(V$3&amp;"",PQ_Juli!$B$1:$AF$1&amp;"",0)),0)</f>
        <v>1</v>
      </c>
      <c r="W20" s="10" cm="1">
        <f t="array" ref="W20">IFERROR(INDEX(PQ_Juli!$B$2:$AF$1048,MATCH($C20,PQ_Juli!$A$2:$A$1048,0),MATCH(W$3&amp;"",PQ_Juli!$B$1:$AF$1&amp;"",0)),0)</f>
        <v>3</v>
      </c>
      <c r="X20" s="10" cm="1">
        <f t="array" ref="X20">IFERROR(INDEX(PQ_Juli!$B$2:$AF$1048,MATCH($C20,PQ_Juli!$A$2:$A$1048,0),MATCH(X$3&amp;"",PQ_Juli!$B$1:$AF$1&amp;"",0)),0)</f>
        <v>0</v>
      </c>
      <c r="Y20" s="10" cm="1">
        <f t="array" ref="Y20">IFERROR(INDEX(PQ_Juli!$B$2:$AF$1048,MATCH($C20,PQ_Juli!$A$2:$A$1048,0),MATCH(Y$3&amp;"",PQ_Juli!$B$1:$AF$1&amp;"",0)),0)</f>
        <v>0</v>
      </c>
      <c r="Z20" s="11"/>
      <c r="AA20" s="10" cm="1">
        <f t="array" ref="AA20">IFERROR(INDEX(PQ_Juli!$B$2:$AF$1048,MATCH($C20,PQ_Juli!$A$2:$A$1048,0),MATCH(AA$3&amp;"",PQ_Juli!$B$1:$AF$1&amp;"",0)),0)</f>
        <v>0</v>
      </c>
      <c r="AB20" s="10" cm="1">
        <f t="array" ref="AB20">IFERROR(INDEX(PQ_Juli!$B$2:$AF$1048,MATCH($C20,PQ_Juli!$A$2:$A$1048,0),MATCH(AB$3&amp;"",PQ_Juli!$B$1:$AF$1&amp;"",0)),0)</f>
        <v>1</v>
      </c>
      <c r="AC20" s="10" cm="1">
        <f t="array" ref="AC20">IFERROR(INDEX(PQ_Juli!$B$2:$AF$1048,MATCH($C20,PQ_Juli!$A$2:$A$1048,0),MATCH(AC$3&amp;"",PQ_Juli!$B$1:$AF$1&amp;"",0)),0)</f>
        <v>0</v>
      </c>
      <c r="AD20" s="10" cm="1">
        <f t="array" ref="AD20">IFERROR(INDEX(PQ_Juli!$B$2:$AF$1048,MATCH($C20,PQ_Juli!$A$2:$A$1048,0),MATCH(AD$3&amp;"",PQ_Juli!$B$1:$AF$1&amp;"",0)),0)</f>
        <v>0</v>
      </c>
      <c r="AE20" s="10" cm="1">
        <f t="array" ref="AE20">IFERROR(INDEX(PQ_Juli!$B$2:$AF$1048,MATCH($C20,PQ_Juli!$A$2:$A$1048,0),MATCH(AE$3&amp;"",PQ_Juli!$B$1:$AF$1&amp;"",0)),0)</f>
        <v>1</v>
      </c>
      <c r="AF20" s="10" cm="1">
        <f t="array" ref="AF20">IFERROR(INDEX(PQ_Juli!$B$2:$AF$1048,MATCH($C20,PQ_Juli!$A$2:$A$1048,0),MATCH(AF$3&amp;"",PQ_Juli!$B$1:$AF$1&amp;"",0)),0)</f>
        <v>0</v>
      </c>
      <c r="AG20" s="11"/>
      <c r="AH20" s="10" cm="1">
        <f t="array" ref="AH20">IFERROR(INDEX(PQ_Juli!$B$2:$AF$1048,MATCH($C20,PQ_Juli!$A$2:$A$1048,0),MATCH(AH$3&amp;"",PQ_Juli!$B$1:$AF$1&amp;"",0)),0)</f>
        <v>0</v>
      </c>
      <c r="AI20" s="10" cm="1">
        <f t="array" ref="AI20">IFERROR(INDEX(PQ_Juli!$B$2:$AF$1048,MATCH($C20,PQ_Juli!$A$2:$A$1048,0),MATCH(AI$3&amp;"",PQ_Juli!$B$1:$AF$1&amp;"",0)),0)</f>
        <v>0</v>
      </c>
      <c r="AJ20" s="10" cm="1">
        <f t="array" ref="AJ20">IFERROR(INDEX(PQ_Juli!$B$2:$AF$1048,MATCH($C20,PQ_Juli!$A$2:$A$1048,0),MATCH(AJ$3&amp;"",PQ_Juli!$B$1:$AF$1&amp;"",0)),0)</f>
        <v>0</v>
      </c>
      <c r="AK20" s="10" cm="1">
        <f t="array" ref="AK20">IFERROR(INDEX(PQ_Juli!$B$2:$AF$1048,MATCH($C20,PQ_Juli!$A$2:$A$1048,0),MATCH(AK$3&amp;"",PQ_Juli!$B$1:$AF$1&amp;"",0)),0)</f>
        <v>0</v>
      </c>
      <c r="AL20" s="10" cm="1">
        <f t="array" ref="AL20">IFERROR(INDEX(PQ_Juli!$B$2:$AF$1048,MATCH($C20,PQ_Juli!$A$2:$A$1048,0),MATCH(AL$3&amp;"",PQ_Juli!$B$1:$AF$1&amp;"",0)),0)</f>
        <v>0</v>
      </c>
      <c r="AM20" s="13">
        <v>3</v>
      </c>
      <c r="AN20" s="14">
        <f t="shared" si="4"/>
        <v>18</v>
      </c>
      <c r="AO20" s="18" t="e">
        <f t="shared" si="1"/>
        <v>#REF!</v>
      </c>
      <c r="AP20" s="19">
        <v>30</v>
      </c>
      <c r="AQ20" s="19" t="s">
        <v>21</v>
      </c>
      <c r="AR20" s="92"/>
      <c r="AS20" s="29"/>
      <c r="AT20" s="92"/>
      <c r="AU20" s="29"/>
      <c r="AV20" s="92"/>
      <c r="AW20" s="92"/>
      <c r="AX20" s="29">
        <f t="shared" si="5"/>
        <v>0</v>
      </c>
      <c r="AY20" s="29">
        <f t="shared" si="6"/>
        <v>0</v>
      </c>
      <c r="AZ20" s="18">
        <f t="shared" si="2"/>
        <v>0</v>
      </c>
      <c r="BA20" s="18" t="e">
        <f t="shared" si="3"/>
        <v>#REF!</v>
      </c>
      <c r="BB20" s="21"/>
      <c r="BC20" s="30"/>
      <c r="BD20" s="30"/>
      <c r="BE20" s="30"/>
      <c r="BF20" s="30"/>
      <c r="BN20" s="41">
        <v>90</v>
      </c>
    </row>
    <row r="21" spans="1:66" ht="22.5" customHeight="1">
      <c r="A21" s="262">
        <f t="shared" si="0"/>
        <v>19</v>
      </c>
      <c r="B21" s="263"/>
      <c r="C21" s="74" t="s">
        <v>116</v>
      </c>
      <c r="D21" s="75">
        <v>30</v>
      </c>
      <c r="E21" s="75">
        <v>7</v>
      </c>
      <c r="F21" s="75">
        <v>12</v>
      </c>
      <c r="G21" s="41">
        <v>23</v>
      </c>
      <c r="H21" s="10" cm="1">
        <f t="array" ref="H21">IFERROR(INDEX(PQ_Juli!$B$2:$AF$1048,MATCH($C21,PQ_Juli!$A$2:$A$1048,0),MATCH(H$3&amp;"",PQ_Juli!$B$1:$AF$1&amp;"",0)),0)</f>
        <v>0</v>
      </c>
      <c r="I21" s="10" cm="1">
        <f t="array" ref="I21">IFERROR(INDEX(PQ_Juli!$B$2:$AF$1048,MATCH($C21,PQ_Juli!$A$2:$A$1048,0),MATCH(I$3&amp;"",PQ_Juli!$B$1:$AF$1&amp;"",0)),0)</f>
        <v>0</v>
      </c>
      <c r="J21" s="10" cm="1">
        <f t="array" ref="J21">IFERROR(INDEX(PQ_Juli!$B$2:$AF$1048,MATCH($C21,PQ_Juli!$A$2:$A$1048,0),MATCH(J$3&amp;"",PQ_Juli!$B$1:$AF$1&amp;"",0)),0)</f>
        <v>0</v>
      </c>
      <c r="K21" s="10" cm="1">
        <f t="array" ref="K21">IFERROR(INDEX(PQ_Juli!$B$2:$AF$1048,MATCH($C21,PQ_Juli!$A$2:$A$1048,0),MATCH(K$3&amp;"",PQ_Juli!$B$1:$AF$1&amp;"",0)),0)</f>
        <v>0</v>
      </c>
      <c r="L21" s="11"/>
      <c r="M21" s="10" cm="1">
        <f t="array" ref="M21">IFERROR(INDEX(PQ_Juli!$B$2:$AF$1048,MATCH($C21,PQ_Juli!$A$2:$A$1048,0),MATCH(M$3&amp;"",PQ_Juli!$B$1:$AF$1&amp;"",0)),0)</f>
        <v>0</v>
      </c>
      <c r="N21" s="10" cm="1">
        <f t="array" ref="N21">IFERROR(INDEX(PQ_Juli!$B$2:$AF$1048,MATCH($C21,PQ_Juli!$A$2:$A$1048,0),MATCH(N$3&amp;"",PQ_Juli!$B$1:$AF$1&amp;"",0)),0)</f>
        <v>0</v>
      </c>
      <c r="O21" s="10" cm="1">
        <f t="array" ref="O21">IFERROR(INDEX(PQ_Juli!$B$2:$AF$1048,MATCH($C21,PQ_Juli!$A$2:$A$1048,0),MATCH(O$3&amp;"",PQ_Juli!$B$1:$AF$1&amp;"",0)),0)</f>
        <v>5</v>
      </c>
      <c r="P21" s="10" cm="1">
        <f t="array" ref="P21">IFERROR(INDEX(PQ_Juli!$B$2:$AF$1048,MATCH($C21,PQ_Juli!$A$2:$A$1048,0),MATCH(P$3&amp;"",PQ_Juli!$B$1:$AF$1&amp;"",0)),0)</f>
        <v>0</v>
      </c>
      <c r="Q21" s="10" cm="1">
        <f t="array" ref="Q21">IFERROR(INDEX(PQ_Juli!$B$2:$AF$1048,MATCH($C21,PQ_Juli!$A$2:$A$1048,0),MATCH(Q$3&amp;"",PQ_Juli!$B$1:$AF$1&amp;"",0)),0)</f>
        <v>5</v>
      </c>
      <c r="R21" s="10" cm="1">
        <f t="array" ref="R21">IFERROR(INDEX(PQ_Juli!$B$2:$AF$1048,MATCH($C21,PQ_Juli!$A$2:$A$1048,0),MATCH(R$3&amp;"",PQ_Juli!$B$1:$AF$1&amp;"",0)),0)</f>
        <v>1</v>
      </c>
      <c r="S21" s="11"/>
      <c r="T21" s="10" cm="1">
        <f t="array" ref="T21">IFERROR(INDEX(PQ_Juli!$B$2:$AF$1048,MATCH($C21,PQ_Juli!$A$2:$A$1048,0),MATCH(T$3&amp;"",PQ_Juli!$B$1:$AF$1&amp;"",0)),0)</f>
        <v>1</v>
      </c>
      <c r="U21" s="10" cm="1">
        <f t="array" ref="U21">IFERROR(INDEX(PQ_Juli!$B$2:$AF$1048,MATCH($C21,PQ_Juli!$A$2:$A$1048,0),MATCH(U$3&amp;"",PQ_Juli!$B$1:$AF$1&amp;"",0)),0)</f>
        <v>7</v>
      </c>
      <c r="V21" s="10" cm="1">
        <f t="array" ref="V21">IFERROR(INDEX(PQ_Juli!$B$2:$AF$1048,MATCH($C21,PQ_Juli!$A$2:$A$1048,0),MATCH(V$3&amp;"",PQ_Juli!$B$1:$AF$1&amp;"",0)),0)</f>
        <v>0</v>
      </c>
      <c r="W21" s="10" cm="1">
        <f t="array" ref="W21">IFERROR(INDEX(PQ_Juli!$B$2:$AF$1048,MATCH($C21,PQ_Juli!$A$2:$A$1048,0),MATCH(W$3&amp;"",PQ_Juli!$B$1:$AF$1&amp;"",0)),0)</f>
        <v>1</v>
      </c>
      <c r="X21" s="10" cm="1">
        <f t="array" ref="X21">IFERROR(INDEX(PQ_Juli!$B$2:$AF$1048,MATCH($C21,PQ_Juli!$A$2:$A$1048,0),MATCH(X$3&amp;"",PQ_Juli!$B$1:$AF$1&amp;"",0)),0)</f>
        <v>0</v>
      </c>
      <c r="Y21" s="10" cm="1">
        <f t="array" ref="Y21">IFERROR(INDEX(PQ_Juli!$B$2:$AF$1048,MATCH($C21,PQ_Juli!$A$2:$A$1048,0),MATCH(Y$3&amp;"",PQ_Juli!$B$1:$AF$1&amp;"",0)),0)</f>
        <v>0</v>
      </c>
      <c r="Z21" s="11"/>
      <c r="AA21" s="10" cm="1">
        <f t="array" ref="AA21">IFERROR(INDEX(PQ_Juli!$B$2:$AF$1048,MATCH($C21,PQ_Juli!$A$2:$A$1048,0),MATCH(AA$3&amp;"",PQ_Juli!$B$1:$AF$1&amp;"",0)),0)</f>
        <v>1</v>
      </c>
      <c r="AB21" s="10" cm="1">
        <f t="array" ref="AB21">IFERROR(INDEX(PQ_Juli!$B$2:$AF$1048,MATCH($C21,PQ_Juli!$A$2:$A$1048,0),MATCH(AB$3&amp;"",PQ_Juli!$B$1:$AF$1&amp;"",0)),0)</f>
        <v>0</v>
      </c>
      <c r="AC21" s="10" cm="1">
        <f t="array" ref="AC21">IFERROR(INDEX(PQ_Juli!$B$2:$AF$1048,MATCH($C21,PQ_Juli!$A$2:$A$1048,0),MATCH(AC$3&amp;"",PQ_Juli!$B$1:$AF$1&amp;"",0)),0)</f>
        <v>1</v>
      </c>
      <c r="AD21" s="10" cm="1">
        <f t="array" ref="AD21">IFERROR(INDEX(PQ_Juli!$B$2:$AF$1048,MATCH($C21,PQ_Juli!$A$2:$A$1048,0),MATCH(AD$3&amp;"",PQ_Juli!$B$1:$AF$1&amp;"",0)),0)</f>
        <v>0</v>
      </c>
      <c r="AE21" s="10" cm="1">
        <f t="array" ref="AE21">IFERROR(INDEX(PQ_Juli!$B$2:$AF$1048,MATCH($C21,PQ_Juli!$A$2:$A$1048,0),MATCH(AE$3&amp;"",PQ_Juli!$B$1:$AF$1&amp;"",0)),0)</f>
        <v>0</v>
      </c>
      <c r="AF21" s="10" cm="1">
        <f t="array" ref="AF21">IFERROR(INDEX(PQ_Juli!$B$2:$AF$1048,MATCH($C21,PQ_Juli!$A$2:$A$1048,0),MATCH(AF$3&amp;"",PQ_Juli!$B$1:$AF$1&amp;"",0)),0)</f>
        <v>0</v>
      </c>
      <c r="AG21" s="11"/>
      <c r="AH21" s="10" cm="1">
        <f t="array" ref="AH21">IFERROR(INDEX(PQ_Juli!$B$2:$AF$1048,MATCH($C21,PQ_Juli!$A$2:$A$1048,0),MATCH(AH$3&amp;"",PQ_Juli!$B$1:$AF$1&amp;"",0)),0)</f>
        <v>0</v>
      </c>
      <c r="AI21" s="10" cm="1">
        <f t="array" ref="AI21">IFERROR(INDEX(PQ_Juli!$B$2:$AF$1048,MATCH($C21,PQ_Juli!$A$2:$A$1048,0),MATCH(AI$3&amp;"",PQ_Juli!$B$1:$AF$1&amp;"",0)),0)</f>
        <v>0</v>
      </c>
      <c r="AJ21" s="10" cm="1">
        <f t="array" ref="AJ21">IFERROR(INDEX(PQ_Juli!$B$2:$AF$1048,MATCH($C21,PQ_Juli!$A$2:$A$1048,0),MATCH(AJ$3&amp;"",PQ_Juli!$B$1:$AF$1&amp;"",0)),0)</f>
        <v>0</v>
      </c>
      <c r="AK21" s="10" cm="1">
        <f t="array" ref="AK21">IFERROR(INDEX(PQ_Juli!$B$2:$AF$1048,MATCH($C21,PQ_Juli!$A$2:$A$1048,0),MATCH(AK$3&amp;"",PQ_Juli!$B$1:$AF$1&amp;"",0)),0)</f>
        <v>3</v>
      </c>
      <c r="AL21" s="10" cm="1">
        <f t="array" ref="AL21">IFERROR(INDEX(PQ_Juli!$B$2:$AF$1048,MATCH($C21,PQ_Juli!$A$2:$A$1048,0),MATCH(AL$3&amp;"",PQ_Juli!$B$1:$AF$1&amp;"",0)),0)</f>
        <v>1</v>
      </c>
      <c r="AM21" s="13">
        <v>8</v>
      </c>
      <c r="AN21" s="14">
        <f t="shared" si="4"/>
        <v>34</v>
      </c>
      <c r="AO21" s="18">
        <f t="shared" si="1"/>
        <v>19</v>
      </c>
      <c r="AP21" s="22">
        <v>20</v>
      </c>
      <c r="AQ21" s="22" t="s">
        <v>21</v>
      </c>
      <c r="AR21" s="92">
        <v>46213</v>
      </c>
      <c r="AS21" s="29">
        <v>1</v>
      </c>
      <c r="AT21" s="92"/>
      <c r="AU21" s="29"/>
      <c r="AV21" s="92">
        <v>46220</v>
      </c>
      <c r="AW21" s="92"/>
      <c r="AX21" s="29">
        <f t="shared" si="5"/>
        <v>30</v>
      </c>
      <c r="AY21" s="29">
        <f t="shared" si="6"/>
        <v>0</v>
      </c>
      <c r="AZ21" s="18">
        <f t="shared" si="2"/>
        <v>30</v>
      </c>
      <c r="BA21" s="18">
        <f t="shared" si="3"/>
        <v>19</v>
      </c>
      <c r="BB21" s="21"/>
      <c r="BC21" s="30"/>
      <c r="BD21" s="30"/>
      <c r="BE21" s="30"/>
      <c r="BF21" s="30"/>
      <c r="BN21" s="41">
        <v>16</v>
      </c>
    </row>
    <row r="22" spans="1:66" ht="22.5" customHeight="1">
      <c r="A22" s="262" t="e">
        <f t="shared" si="0"/>
        <v>#REF!</v>
      </c>
      <c r="B22" s="263"/>
      <c r="C22" s="74" t="s">
        <v>117</v>
      </c>
      <c r="D22" s="75">
        <v>30</v>
      </c>
      <c r="E22" s="75"/>
      <c r="F22" s="75"/>
      <c r="G22" s="41" t="e">
        <f>#REF!</f>
        <v>#REF!</v>
      </c>
      <c r="H22" s="10" cm="1">
        <f t="array" ref="H22">IFERROR(INDEX(PQ_Juli!$B$2:$AF$1048,MATCH($C22,PQ_Juli!$A$2:$A$1048,0),MATCH(H$3&amp;"",PQ_Juli!$B$1:$AF$1&amp;"",0)),0)</f>
        <v>0</v>
      </c>
      <c r="I22" s="10" cm="1">
        <f t="array" ref="I22">IFERROR(INDEX(PQ_Juli!$B$2:$AF$1048,MATCH($C22,PQ_Juli!$A$2:$A$1048,0),MATCH(I$3&amp;"",PQ_Juli!$B$1:$AF$1&amp;"",0)),0)</f>
        <v>0</v>
      </c>
      <c r="J22" s="10" cm="1">
        <f t="array" ref="J22">IFERROR(INDEX(PQ_Juli!$B$2:$AF$1048,MATCH($C22,PQ_Juli!$A$2:$A$1048,0),MATCH(J$3&amp;"",PQ_Juli!$B$1:$AF$1&amp;"",0)),0)</f>
        <v>0</v>
      </c>
      <c r="K22" s="10" cm="1">
        <f t="array" ref="K22">IFERROR(INDEX(PQ_Juli!$B$2:$AF$1048,MATCH($C22,PQ_Juli!$A$2:$A$1048,0),MATCH(K$3&amp;"",PQ_Juli!$B$1:$AF$1&amp;"",0)),0)</f>
        <v>0</v>
      </c>
      <c r="L22" s="11"/>
      <c r="M22" s="10" cm="1">
        <f t="array" ref="M22">IFERROR(INDEX(PQ_Juli!$B$2:$AF$1048,MATCH($C22,PQ_Juli!$A$2:$A$1048,0),MATCH(M$3&amp;"",PQ_Juli!$B$1:$AF$1&amp;"",0)),0)</f>
        <v>0</v>
      </c>
      <c r="N22" s="10" cm="1">
        <f t="array" ref="N22">IFERROR(INDEX(PQ_Juli!$B$2:$AF$1048,MATCH($C22,PQ_Juli!$A$2:$A$1048,0),MATCH(N$3&amp;"",PQ_Juli!$B$1:$AF$1&amp;"",0)),0)</f>
        <v>0</v>
      </c>
      <c r="O22" s="10" cm="1">
        <f t="array" ref="O22">IFERROR(INDEX(PQ_Juli!$B$2:$AF$1048,MATCH($C22,PQ_Juli!$A$2:$A$1048,0),MATCH(O$3&amp;"",PQ_Juli!$B$1:$AF$1&amp;"",0)),0)</f>
        <v>0</v>
      </c>
      <c r="P22" s="10" cm="1">
        <f t="array" ref="P22">IFERROR(INDEX(PQ_Juli!$B$2:$AF$1048,MATCH($C22,PQ_Juli!$A$2:$A$1048,0),MATCH(P$3&amp;"",PQ_Juli!$B$1:$AF$1&amp;"",0)),0)</f>
        <v>0</v>
      </c>
      <c r="Q22" s="10" cm="1">
        <f t="array" ref="Q22">IFERROR(INDEX(PQ_Juli!$B$2:$AF$1048,MATCH($C22,PQ_Juli!$A$2:$A$1048,0),MATCH(Q$3&amp;"",PQ_Juli!$B$1:$AF$1&amp;"",0)),0)</f>
        <v>1</v>
      </c>
      <c r="R22" s="10" cm="1">
        <f t="array" ref="R22">IFERROR(INDEX(PQ_Juli!$B$2:$AF$1048,MATCH($C22,PQ_Juli!$A$2:$A$1048,0),MATCH(R$3&amp;"",PQ_Juli!$B$1:$AF$1&amp;"",0)),0)</f>
        <v>0</v>
      </c>
      <c r="S22" s="11"/>
      <c r="T22" s="10" cm="1">
        <f t="array" ref="T22">IFERROR(INDEX(PQ_Juli!$B$2:$AF$1048,MATCH($C22,PQ_Juli!$A$2:$A$1048,0),MATCH(T$3&amp;"",PQ_Juli!$B$1:$AF$1&amp;"",0)),0)</f>
        <v>1</v>
      </c>
      <c r="U22" s="10" cm="1">
        <f t="array" ref="U22">IFERROR(INDEX(PQ_Juli!$B$2:$AF$1048,MATCH($C22,PQ_Juli!$A$2:$A$1048,0),MATCH(U$3&amp;"",PQ_Juli!$B$1:$AF$1&amp;"",0)),0)</f>
        <v>0</v>
      </c>
      <c r="V22" s="10" cm="1">
        <f t="array" ref="V22">IFERROR(INDEX(PQ_Juli!$B$2:$AF$1048,MATCH($C22,PQ_Juli!$A$2:$A$1048,0),MATCH(V$3&amp;"",PQ_Juli!$B$1:$AF$1&amp;"",0)),0)</f>
        <v>0</v>
      </c>
      <c r="W22" s="10" cm="1">
        <f t="array" ref="W22">IFERROR(INDEX(PQ_Juli!$B$2:$AF$1048,MATCH($C22,PQ_Juli!$A$2:$A$1048,0),MATCH(W$3&amp;"",PQ_Juli!$B$1:$AF$1&amp;"",0)),0)</f>
        <v>1</v>
      </c>
      <c r="X22" s="10" cm="1">
        <f t="array" ref="X22">IFERROR(INDEX(PQ_Juli!$B$2:$AF$1048,MATCH($C22,PQ_Juli!$A$2:$A$1048,0),MATCH(X$3&amp;"",PQ_Juli!$B$1:$AF$1&amp;"",0)),0)</f>
        <v>0</v>
      </c>
      <c r="Y22" s="10" cm="1">
        <f t="array" ref="Y22">IFERROR(INDEX(PQ_Juli!$B$2:$AF$1048,MATCH($C22,PQ_Juli!$A$2:$A$1048,0),MATCH(Y$3&amp;"",PQ_Juli!$B$1:$AF$1&amp;"",0)),0)</f>
        <v>1</v>
      </c>
      <c r="Z22" s="11"/>
      <c r="AA22" s="10" cm="1">
        <f t="array" ref="AA22">IFERROR(INDEX(PQ_Juli!$B$2:$AF$1048,MATCH($C22,PQ_Juli!$A$2:$A$1048,0),MATCH(AA$3&amp;"",PQ_Juli!$B$1:$AF$1&amp;"",0)),0)</f>
        <v>1</v>
      </c>
      <c r="AB22" s="10" cm="1">
        <f t="array" ref="AB22">IFERROR(INDEX(PQ_Juli!$B$2:$AF$1048,MATCH($C22,PQ_Juli!$A$2:$A$1048,0),MATCH(AB$3&amp;"",PQ_Juli!$B$1:$AF$1&amp;"",0)),0)</f>
        <v>0</v>
      </c>
      <c r="AC22" s="10" cm="1">
        <f t="array" ref="AC22">IFERROR(INDEX(PQ_Juli!$B$2:$AF$1048,MATCH($C22,PQ_Juli!$A$2:$A$1048,0),MATCH(AC$3&amp;"",PQ_Juli!$B$1:$AF$1&amp;"",0)),0)</f>
        <v>0</v>
      </c>
      <c r="AD22" s="10" cm="1">
        <f t="array" ref="AD22">IFERROR(INDEX(PQ_Juli!$B$2:$AF$1048,MATCH($C22,PQ_Juli!$A$2:$A$1048,0),MATCH(AD$3&amp;"",PQ_Juli!$B$1:$AF$1&amp;"",0)),0)</f>
        <v>0</v>
      </c>
      <c r="AE22" s="10" cm="1">
        <f t="array" ref="AE22">IFERROR(INDEX(PQ_Juli!$B$2:$AF$1048,MATCH($C22,PQ_Juli!$A$2:$A$1048,0),MATCH(AE$3&amp;"",PQ_Juli!$B$1:$AF$1&amp;"",0)),0)</f>
        <v>0</v>
      </c>
      <c r="AF22" s="10" cm="1">
        <f t="array" ref="AF22">IFERROR(INDEX(PQ_Juli!$B$2:$AF$1048,MATCH($C22,PQ_Juli!$A$2:$A$1048,0),MATCH(AF$3&amp;"",PQ_Juli!$B$1:$AF$1&amp;"",0)),0)</f>
        <v>0</v>
      </c>
      <c r="AG22" s="11"/>
      <c r="AH22" s="10" cm="1">
        <f t="array" ref="AH22">IFERROR(INDEX(PQ_Juli!$B$2:$AF$1048,MATCH($C22,PQ_Juli!$A$2:$A$1048,0),MATCH(AH$3&amp;"",PQ_Juli!$B$1:$AF$1&amp;"",0)),0)</f>
        <v>0</v>
      </c>
      <c r="AI22" s="10" cm="1">
        <f t="array" ref="AI22">IFERROR(INDEX(PQ_Juli!$B$2:$AF$1048,MATCH($C22,PQ_Juli!$A$2:$A$1048,0),MATCH(AI$3&amp;"",PQ_Juli!$B$1:$AF$1&amp;"",0)),0)</f>
        <v>0</v>
      </c>
      <c r="AJ22" s="10" cm="1">
        <f t="array" ref="AJ22">IFERROR(INDEX(PQ_Juli!$B$2:$AF$1048,MATCH($C22,PQ_Juli!$A$2:$A$1048,0),MATCH(AJ$3&amp;"",PQ_Juli!$B$1:$AF$1&amp;"",0)),0)</f>
        <v>0</v>
      </c>
      <c r="AK22" s="10" cm="1">
        <f t="array" ref="AK22">IFERROR(INDEX(PQ_Juli!$B$2:$AF$1048,MATCH($C22,PQ_Juli!$A$2:$A$1048,0),MATCH(AK$3&amp;"",PQ_Juli!$B$1:$AF$1&amp;"",0)),0)</f>
        <v>0</v>
      </c>
      <c r="AL22" s="10" cm="1">
        <f t="array" ref="AL22">IFERROR(INDEX(PQ_Juli!$B$2:$AF$1048,MATCH($C22,PQ_Juli!$A$2:$A$1048,0),MATCH(AL$3&amp;"",PQ_Juli!$B$1:$AF$1&amp;"",0)),0)</f>
        <v>0</v>
      </c>
      <c r="AM22" s="13">
        <v>5</v>
      </c>
      <c r="AN22" s="14">
        <f t="shared" si="4"/>
        <v>10</v>
      </c>
      <c r="AO22" s="18" t="e">
        <f t="shared" si="1"/>
        <v>#REF!</v>
      </c>
      <c r="AP22" s="19">
        <v>15</v>
      </c>
      <c r="AQ22" s="22" t="s">
        <v>21</v>
      </c>
      <c r="AR22" s="92"/>
      <c r="AS22" s="29"/>
      <c r="AT22" s="92"/>
      <c r="AU22" s="29"/>
      <c r="AV22" s="92"/>
      <c r="AW22" s="92"/>
      <c r="AX22" s="29">
        <f t="shared" si="5"/>
        <v>0</v>
      </c>
      <c r="AY22" s="29">
        <f t="shared" si="6"/>
        <v>0</v>
      </c>
      <c r="AZ22" s="18">
        <f t="shared" si="2"/>
        <v>0</v>
      </c>
      <c r="BA22" s="18" t="e">
        <f t="shared" si="3"/>
        <v>#REF!</v>
      </c>
      <c r="BB22" s="21"/>
      <c r="BC22" s="30"/>
      <c r="BD22" s="30"/>
      <c r="BE22" s="30"/>
      <c r="BF22" s="30"/>
      <c r="BN22" s="41">
        <v>42</v>
      </c>
    </row>
    <row r="23" spans="1:66" ht="21.75" customHeight="1">
      <c r="A23" s="260">
        <f t="shared" si="0"/>
        <v>66</v>
      </c>
      <c r="B23" s="261"/>
      <c r="C23" s="74" t="s">
        <v>118</v>
      </c>
      <c r="D23" s="75">
        <v>60</v>
      </c>
      <c r="E23" s="75">
        <v>20</v>
      </c>
      <c r="F23" s="75">
        <v>35</v>
      </c>
      <c r="G23" s="41">
        <v>40</v>
      </c>
      <c r="H23" s="10" cm="1">
        <f t="array" ref="H23">IFERROR(INDEX(PQ_Juli!$B$2:$AF$1048,MATCH($C23,PQ_Juli!$A$2:$A$1048,0),MATCH(H$3&amp;"",PQ_Juli!$B$1:$AF$1&amp;"",0)),0)</f>
        <v>0</v>
      </c>
      <c r="I23" s="10" cm="1">
        <f t="array" ref="I23">IFERROR(INDEX(PQ_Juli!$B$2:$AF$1048,MATCH($C23,PQ_Juli!$A$2:$A$1048,0),MATCH(I$3&amp;"",PQ_Juli!$B$1:$AF$1&amp;"",0)),0)</f>
        <v>0</v>
      </c>
      <c r="J23" s="10" cm="1">
        <f t="array" ref="J23">IFERROR(INDEX(PQ_Juli!$B$2:$AF$1048,MATCH($C23,PQ_Juli!$A$2:$A$1048,0),MATCH(J$3&amp;"",PQ_Juli!$B$1:$AF$1&amp;"",0)),0)</f>
        <v>1</v>
      </c>
      <c r="K23" s="10" cm="1">
        <f t="array" ref="K23">IFERROR(INDEX(PQ_Juli!$B$2:$AF$1048,MATCH($C23,PQ_Juli!$A$2:$A$1048,0),MATCH(K$3&amp;"",PQ_Juli!$B$1:$AF$1&amp;"",0)),0)</f>
        <v>0</v>
      </c>
      <c r="L23" s="11"/>
      <c r="M23" s="10" cm="1">
        <f t="array" ref="M23">IFERROR(INDEX(PQ_Juli!$B$2:$AF$1048,MATCH($C23,PQ_Juli!$A$2:$A$1048,0),MATCH(M$3&amp;"",PQ_Juli!$B$1:$AF$1&amp;"",0)),0)</f>
        <v>2</v>
      </c>
      <c r="N23" s="10" cm="1">
        <f t="array" ref="N23">IFERROR(INDEX(PQ_Juli!$B$2:$AF$1048,MATCH($C23,PQ_Juli!$A$2:$A$1048,0),MATCH(N$3&amp;"",PQ_Juli!$B$1:$AF$1&amp;"",0)),0)</f>
        <v>1</v>
      </c>
      <c r="O23" s="10" cm="1">
        <f t="array" ref="O23">IFERROR(INDEX(PQ_Juli!$B$2:$AF$1048,MATCH($C23,PQ_Juli!$A$2:$A$1048,0),MATCH(O$3&amp;"",PQ_Juli!$B$1:$AF$1&amp;"",0)),0)</f>
        <v>1</v>
      </c>
      <c r="P23" s="10" cm="1">
        <f t="array" ref="P23">IFERROR(INDEX(PQ_Juli!$B$2:$AF$1048,MATCH($C23,PQ_Juli!$A$2:$A$1048,0),MATCH(P$3&amp;"",PQ_Juli!$B$1:$AF$1&amp;"",0)),0)</f>
        <v>1</v>
      </c>
      <c r="Q23" s="10" cm="1">
        <f t="array" ref="Q23">IFERROR(INDEX(PQ_Juli!$B$2:$AF$1048,MATCH($C23,PQ_Juli!$A$2:$A$1048,0),MATCH(Q$3&amp;"",PQ_Juli!$B$1:$AF$1&amp;"",0)),0)</f>
        <v>0</v>
      </c>
      <c r="R23" s="10" cm="1">
        <f t="array" ref="R23">IFERROR(INDEX(PQ_Juli!$B$2:$AF$1048,MATCH($C23,PQ_Juli!$A$2:$A$1048,0),MATCH(R$3&amp;"",PQ_Juli!$B$1:$AF$1&amp;"",0)),0)</f>
        <v>3</v>
      </c>
      <c r="S23" s="11"/>
      <c r="T23" s="10" cm="1">
        <f t="array" ref="T23">IFERROR(INDEX(PQ_Juli!$B$2:$AF$1048,MATCH($C23,PQ_Juli!$A$2:$A$1048,0),MATCH(T$3&amp;"",PQ_Juli!$B$1:$AF$1&amp;"",0)),0)</f>
        <v>4</v>
      </c>
      <c r="U23" s="10" cm="1">
        <f t="array" ref="U23">IFERROR(INDEX(PQ_Juli!$B$2:$AF$1048,MATCH($C23,PQ_Juli!$A$2:$A$1048,0),MATCH(U$3&amp;"",PQ_Juli!$B$1:$AF$1&amp;"",0)),0)</f>
        <v>0</v>
      </c>
      <c r="V23" s="10" cm="1">
        <f t="array" ref="V23">IFERROR(INDEX(PQ_Juli!$B$2:$AF$1048,MATCH($C23,PQ_Juli!$A$2:$A$1048,0),MATCH(V$3&amp;"",PQ_Juli!$B$1:$AF$1&amp;"",0)),0)</f>
        <v>1</v>
      </c>
      <c r="W23" s="10" cm="1">
        <f t="array" ref="W23">IFERROR(INDEX(PQ_Juli!$B$2:$AF$1048,MATCH($C23,PQ_Juli!$A$2:$A$1048,0),MATCH(W$3&amp;"",PQ_Juli!$B$1:$AF$1&amp;"",0)),0)</f>
        <v>1</v>
      </c>
      <c r="X23" s="10" cm="1">
        <f t="array" ref="X23">IFERROR(INDEX(PQ_Juli!$B$2:$AF$1048,MATCH($C23,PQ_Juli!$A$2:$A$1048,0),MATCH(X$3&amp;"",PQ_Juli!$B$1:$AF$1&amp;"",0)),0)</f>
        <v>0</v>
      </c>
      <c r="Y23" s="10" cm="1">
        <f t="array" ref="Y23">IFERROR(INDEX(PQ_Juli!$B$2:$AF$1048,MATCH($C23,PQ_Juli!$A$2:$A$1048,0),MATCH(Y$3&amp;"",PQ_Juli!$B$1:$AF$1&amp;"",0)),0)</f>
        <v>2</v>
      </c>
      <c r="Z23" s="11"/>
      <c r="AA23" s="10" cm="1">
        <f t="array" ref="AA23">IFERROR(INDEX(PQ_Juli!$B$2:$AF$1048,MATCH($C23,PQ_Juli!$A$2:$A$1048,0),MATCH(AA$3&amp;"",PQ_Juli!$B$1:$AF$1&amp;"",0)),0)</f>
        <v>3</v>
      </c>
      <c r="AB23" s="10" cm="1">
        <f t="array" ref="AB23">IFERROR(INDEX(PQ_Juli!$B$2:$AF$1048,MATCH($C23,PQ_Juli!$A$2:$A$1048,0),MATCH(AB$3&amp;"",PQ_Juli!$B$1:$AF$1&amp;"",0)),0)</f>
        <v>1</v>
      </c>
      <c r="AC23" s="10" cm="1">
        <f t="array" ref="AC23">IFERROR(INDEX(PQ_Juli!$B$2:$AF$1048,MATCH($C23,PQ_Juli!$A$2:$A$1048,0),MATCH(AC$3&amp;"",PQ_Juli!$B$1:$AF$1&amp;"",0)),0)</f>
        <v>1</v>
      </c>
      <c r="AD23" s="10" cm="1">
        <f t="array" ref="AD23">IFERROR(INDEX(PQ_Juli!$B$2:$AF$1048,MATCH($C23,PQ_Juli!$A$2:$A$1048,0),MATCH(AD$3&amp;"",PQ_Juli!$B$1:$AF$1&amp;"",0)),0)</f>
        <v>0</v>
      </c>
      <c r="AE23" s="10" cm="1">
        <f t="array" ref="AE23">IFERROR(INDEX(PQ_Juli!$B$2:$AF$1048,MATCH($C23,PQ_Juli!$A$2:$A$1048,0),MATCH(AE$3&amp;"",PQ_Juli!$B$1:$AF$1&amp;"",0)),0)</f>
        <v>0</v>
      </c>
      <c r="AF23" s="10" cm="1">
        <f t="array" ref="AF23">IFERROR(INDEX(PQ_Juli!$B$2:$AF$1048,MATCH($C23,PQ_Juli!$A$2:$A$1048,0),MATCH(AF$3&amp;"",PQ_Juli!$B$1:$AF$1&amp;"",0)),0)</f>
        <v>0</v>
      </c>
      <c r="AG23" s="11"/>
      <c r="AH23" s="10" cm="1">
        <f t="array" ref="AH23">IFERROR(INDEX(PQ_Juli!$B$2:$AF$1048,MATCH($C23,PQ_Juli!$A$2:$A$1048,0),MATCH(AH$3&amp;"",PQ_Juli!$B$1:$AF$1&amp;"",0)),0)</f>
        <v>1</v>
      </c>
      <c r="AI23" s="10" cm="1">
        <f t="array" ref="AI23">IFERROR(INDEX(PQ_Juli!$B$2:$AF$1048,MATCH($C23,PQ_Juli!$A$2:$A$1048,0),MATCH(AI$3&amp;"",PQ_Juli!$B$1:$AF$1&amp;"",0)),0)</f>
        <v>1</v>
      </c>
      <c r="AJ23" s="10" cm="1">
        <f t="array" ref="AJ23">IFERROR(INDEX(PQ_Juli!$B$2:$AF$1048,MATCH($C23,PQ_Juli!$A$2:$A$1048,0),MATCH(AJ$3&amp;"",PQ_Juli!$B$1:$AF$1&amp;"",0)),0)</f>
        <v>1</v>
      </c>
      <c r="AK23" s="10" cm="1">
        <f t="array" ref="AK23">IFERROR(INDEX(PQ_Juli!$B$2:$AF$1048,MATCH($C23,PQ_Juli!$A$2:$A$1048,0),MATCH(AK$3&amp;"",PQ_Juli!$B$1:$AF$1&amp;"",0)),0)</f>
        <v>1</v>
      </c>
      <c r="AL23" s="10" cm="1">
        <f t="array" ref="AL23">IFERROR(INDEX(PQ_Juli!$B$2:$AF$1048,MATCH($C23,PQ_Juli!$A$2:$A$1048,0),MATCH(AL$3&amp;"",PQ_Juli!$B$1:$AF$1&amp;"",0)),0)</f>
        <v>0</v>
      </c>
      <c r="AM23" s="13">
        <v>8</v>
      </c>
      <c r="AN23" s="14">
        <f t="shared" si="4"/>
        <v>34</v>
      </c>
      <c r="AO23" s="18">
        <f t="shared" si="1"/>
        <v>66</v>
      </c>
      <c r="AP23" s="19">
        <v>30</v>
      </c>
      <c r="AQ23" s="22" t="s">
        <v>21</v>
      </c>
      <c r="AR23" s="92">
        <v>46219</v>
      </c>
      <c r="AS23" s="29">
        <v>1</v>
      </c>
      <c r="AT23" s="92"/>
      <c r="AU23" s="29"/>
      <c r="AV23" s="92">
        <v>46234</v>
      </c>
      <c r="AW23" s="92"/>
      <c r="AX23" s="29">
        <f t="shared" si="5"/>
        <v>60</v>
      </c>
      <c r="AY23" s="29">
        <f t="shared" si="6"/>
        <v>0</v>
      </c>
      <c r="AZ23" s="18">
        <f t="shared" si="2"/>
        <v>60</v>
      </c>
      <c r="BA23" s="18">
        <f t="shared" si="3"/>
        <v>66</v>
      </c>
      <c r="BB23" s="21"/>
      <c r="BC23" s="30"/>
      <c r="BD23" s="30"/>
      <c r="BE23" s="30"/>
      <c r="BF23" s="30"/>
      <c r="BN23" s="41">
        <v>24</v>
      </c>
    </row>
    <row r="24" spans="1:66" ht="22.5" customHeight="1">
      <c r="A24" s="262">
        <f t="shared" si="0"/>
        <v>31</v>
      </c>
      <c r="B24" s="263"/>
      <c r="C24" s="74" t="s">
        <v>119</v>
      </c>
      <c r="D24" s="75">
        <v>30</v>
      </c>
      <c r="E24" s="75">
        <v>2</v>
      </c>
      <c r="F24" s="75">
        <v>1</v>
      </c>
      <c r="G24" s="41">
        <v>35</v>
      </c>
      <c r="H24" s="10" cm="1">
        <f t="array" ref="H24">IFERROR(INDEX(PQ_Juli!$B$2:$AF$1048,MATCH($C24,PQ_Juli!$A$2:$A$1048,0),MATCH(H$3&amp;"",PQ_Juli!$B$1:$AF$1&amp;"",0)),0)</f>
        <v>1</v>
      </c>
      <c r="I24" s="10" cm="1">
        <f t="array" ref="I24">IFERROR(INDEX(PQ_Juli!$B$2:$AF$1048,MATCH($C24,PQ_Juli!$A$2:$A$1048,0),MATCH(I$3&amp;"",PQ_Juli!$B$1:$AF$1&amp;"",0)),0)</f>
        <v>0</v>
      </c>
      <c r="J24" s="10" cm="1">
        <f t="array" ref="J24">IFERROR(INDEX(PQ_Juli!$B$2:$AF$1048,MATCH($C24,PQ_Juli!$A$2:$A$1048,0),MATCH(J$3&amp;"",PQ_Juli!$B$1:$AF$1&amp;"",0)),0)</f>
        <v>0</v>
      </c>
      <c r="K24" s="10" cm="1">
        <f t="array" ref="K24">IFERROR(INDEX(PQ_Juli!$B$2:$AF$1048,MATCH($C24,PQ_Juli!$A$2:$A$1048,0),MATCH(K$3&amp;"",PQ_Juli!$B$1:$AF$1&amp;"",0)),0)</f>
        <v>0</v>
      </c>
      <c r="L24" s="11"/>
      <c r="M24" s="10" cm="1">
        <f t="array" ref="M24">IFERROR(INDEX(PQ_Juli!$B$2:$AF$1048,MATCH($C24,PQ_Juli!$A$2:$A$1048,0),MATCH(M$3&amp;"",PQ_Juli!$B$1:$AF$1&amp;"",0)),0)</f>
        <v>0</v>
      </c>
      <c r="N24" s="10" cm="1">
        <f t="array" ref="N24">IFERROR(INDEX(PQ_Juli!$B$2:$AF$1048,MATCH($C24,PQ_Juli!$A$2:$A$1048,0),MATCH(N$3&amp;"",PQ_Juli!$B$1:$AF$1&amp;"",0)),0)</f>
        <v>0</v>
      </c>
      <c r="O24" s="10" cm="1">
        <f t="array" ref="O24">IFERROR(INDEX(PQ_Juli!$B$2:$AF$1048,MATCH($C24,PQ_Juli!$A$2:$A$1048,0),MATCH(O$3&amp;"",PQ_Juli!$B$1:$AF$1&amp;"",0)),0)</f>
        <v>0</v>
      </c>
      <c r="P24" s="10" cm="1">
        <f t="array" ref="P24">IFERROR(INDEX(PQ_Juli!$B$2:$AF$1048,MATCH($C24,PQ_Juli!$A$2:$A$1048,0),MATCH(P$3&amp;"",PQ_Juli!$B$1:$AF$1&amp;"",0)),0)</f>
        <v>0</v>
      </c>
      <c r="Q24" s="10" cm="1">
        <f t="array" ref="Q24">IFERROR(INDEX(PQ_Juli!$B$2:$AF$1048,MATCH($C24,PQ_Juli!$A$2:$A$1048,0),MATCH(Q$3&amp;"",PQ_Juli!$B$1:$AF$1&amp;"",0)),0)</f>
        <v>0</v>
      </c>
      <c r="R24" s="10" cm="1">
        <f t="array" ref="R24">IFERROR(INDEX(PQ_Juli!$B$2:$AF$1048,MATCH($C24,PQ_Juli!$A$2:$A$1048,0),MATCH(R$3&amp;"",PQ_Juli!$B$1:$AF$1&amp;"",0)),0)</f>
        <v>0</v>
      </c>
      <c r="S24" s="11"/>
      <c r="T24" s="10" cm="1">
        <f t="array" ref="T24">IFERROR(INDEX(PQ_Juli!$B$2:$AF$1048,MATCH($C24,PQ_Juli!$A$2:$A$1048,0),MATCH(T$3&amp;"",PQ_Juli!$B$1:$AF$1&amp;"",0)),0)</f>
        <v>0</v>
      </c>
      <c r="U24" s="10" cm="1">
        <f t="array" ref="U24">IFERROR(INDEX(PQ_Juli!$B$2:$AF$1048,MATCH($C24,PQ_Juli!$A$2:$A$1048,0),MATCH(U$3&amp;"",PQ_Juli!$B$1:$AF$1&amp;"",0)),0)</f>
        <v>0</v>
      </c>
      <c r="V24" s="10" cm="1">
        <f t="array" ref="V24">IFERROR(INDEX(PQ_Juli!$B$2:$AF$1048,MATCH($C24,PQ_Juli!$A$2:$A$1048,0),MATCH(V$3&amp;"",PQ_Juli!$B$1:$AF$1&amp;"",0)),0)</f>
        <v>0</v>
      </c>
      <c r="W24" s="10" cm="1">
        <f t="array" ref="W24">IFERROR(INDEX(PQ_Juli!$B$2:$AF$1048,MATCH($C24,PQ_Juli!$A$2:$A$1048,0),MATCH(W$3&amp;"",PQ_Juli!$B$1:$AF$1&amp;"",0)),0)</f>
        <v>0</v>
      </c>
      <c r="X24" s="10" cm="1">
        <f t="array" ref="X24">IFERROR(INDEX(PQ_Juli!$B$2:$AF$1048,MATCH($C24,PQ_Juli!$A$2:$A$1048,0),MATCH(X$3&amp;"",PQ_Juli!$B$1:$AF$1&amp;"",0)),0)</f>
        <v>0</v>
      </c>
      <c r="Y24" s="10" cm="1">
        <f t="array" ref="Y24">IFERROR(INDEX(PQ_Juli!$B$2:$AF$1048,MATCH($C24,PQ_Juli!$A$2:$A$1048,0),MATCH(Y$3&amp;"",PQ_Juli!$B$1:$AF$1&amp;"",0)),0)</f>
        <v>0</v>
      </c>
      <c r="Z24" s="11"/>
      <c r="AA24" s="10" cm="1">
        <f t="array" ref="AA24">IFERROR(INDEX(PQ_Juli!$B$2:$AF$1048,MATCH($C24,PQ_Juli!$A$2:$A$1048,0),MATCH(AA$3&amp;"",PQ_Juli!$B$1:$AF$1&amp;"",0)),0)</f>
        <v>0</v>
      </c>
      <c r="AB24" s="10" cm="1">
        <f t="array" ref="AB24">IFERROR(INDEX(PQ_Juli!$B$2:$AF$1048,MATCH($C24,PQ_Juli!$A$2:$A$1048,0),MATCH(AB$3&amp;"",PQ_Juli!$B$1:$AF$1&amp;"",0)),0)</f>
        <v>0</v>
      </c>
      <c r="AC24" s="10" cm="1">
        <f t="array" ref="AC24">IFERROR(INDEX(PQ_Juli!$B$2:$AF$1048,MATCH($C24,PQ_Juli!$A$2:$A$1048,0),MATCH(AC$3&amp;"",PQ_Juli!$B$1:$AF$1&amp;"",0)),0)</f>
        <v>0</v>
      </c>
      <c r="AD24" s="10" cm="1">
        <f t="array" ref="AD24">IFERROR(INDEX(PQ_Juli!$B$2:$AF$1048,MATCH($C24,PQ_Juli!$A$2:$A$1048,0),MATCH(AD$3&amp;"",PQ_Juli!$B$1:$AF$1&amp;"",0)),0)</f>
        <v>1</v>
      </c>
      <c r="AE24" s="10" cm="1">
        <f t="array" ref="AE24">IFERROR(INDEX(PQ_Juli!$B$2:$AF$1048,MATCH($C24,PQ_Juli!$A$2:$A$1048,0),MATCH(AE$3&amp;"",PQ_Juli!$B$1:$AF$1&amp;"",0)),0)</f>
        <v>0</v>
      </c>
      <c r="AF24" s="10" cm="1">
        <f t="array" ref="AF24">IFERROR(INDEX(PQ_Juli!$B$2:$AF$1048,MATCH($C24,PQ_Juli!$A$2:$A$1048,0),MATCH(AF$3&amp;"",PQ_Juli!$B$1:$AF$1&amp;"",0)),0)</f>
        <v>0</v>
      </c>
      <c r="AG24" s="11"/>
      <c r="AH24" s="10" cm="1">
        <f t="array" ref="AH24">IFERROR(INDEX(PQ_Juli!$B$2:$AF$1048,MATCH($C24,PQ_Juli!$A$2:$A$1048,0),MATCH(AH$3&amp;"",PQ_Juli!$B$1:$AF$1&amp;"",0)),0)</f>
        <v>0</v>
      </c>
      <c r="AI24" s="10" cm="1">
        <f t="array" ref="AI24">IFERROR(INDEX(PQ_Juli!$B$2:$AF$1048,MATCH($C24,PQ_Juli!$A$2:$A$1048,0),MATCH(AI$3&amp;"",PQ_Juli!$B$1:$AF$1&amp;"",0)),0)</f>
        <v>0</v>
      </c>
      <c r="AJ24" s="10" cm="1">
        <f t="array" ref="AJ24">IFERROR(INDEX(PQ_Juli!$B$2:$AF$1048,MATCH($C24,PQ_Juli!$A$2:$A$1048,0),MATCH(AJ$3&amp;"",PQ_Juli!$B$1:$AF$1&amp;"",0)),0)</f>
        <v>0</v>
      </c>
      <c r="AK24" s="10" cm="1">
        <f t="array" ref="AK24">IFERROR(INDEX(PQ_Juli!$B$2:$AF$1048,MATCH($C24,PQ_Juli!$A$2:$A$1048,0),MATCH(AK$3&amp;"",PQ_Juli!$B$1:$AF$1&amp;"",0)),0)</f>
        <v>0</v>
      </c>
      <c r="AL24" s="10" cm="1">
        <f t="array" ref="AL24">IFERROR(INDEX(PQ_Juli!$B$2:$AF$1048,MATCH($C24,PQ_Juli!$A$2:$A$1048,0),MATCH(AL$3&amp;"",PQ_Juli!$B$1:$AF$1&amp;"",0)),0)</f>
        <v>0</v>
      </c>
      <c r="AM24" s="13">
        <v>2</v>
      </c>
      <c r="AN24" s="14">
        <f t="shared" si="4"/>
        <v>4</v>
      </c>
      <c r="AO24" s="18">
        <f t="shared" si="1"/>
        <v>31</v>
      </c>
      <c r="AP24" s="19">
        <v>10</v>
      </c>
      <c r="AQ24" s="22" t="s">
        <v>21</v>
      </c>
      <c r="AR24" s="92"/>
      <c r="AS24" s="29"/>
      <c r="AT24" s="92"/>
      <c r="AU24" s="29"/>
      <c r="AV24" s="92"/>
      <c r="AW24" s="92"/>
      <c r="AX24" s="29">
        <f t="shared" si="5"/>
        <v>0</v>
      </c>
      <c r="AY24" s="29">
        <f t="shared" si="6"/>
        <v>0</v>
      </c>
      <c r="AZ24" s="18">
        <f t="shared" si="2"/>
        <v>0</v>
      </c>
      <c r="BA24" s="18">
        <f t="shared" si="3"/>
        <v>31</v>
      </c>
      <c r="BB24" s="21"/>
      <c r="BC24" s="30"/>
      <c r="BD24" s="30"/>
      <c r="BE24" s="30"/>
      <c r="BF24" s="30"/>
      <c r="BN24" s="41">
        <v>31</v>
      </c>
    </row>
    <row r="25" spans="1:66" ht="22.5" customHeight="1">
      <c r="A25" s="262" t="e">
        <f t="shared" si="0"/>
        <v>#REF!</v>
      </c>
      <c r="B25" s="263"/>
      <c r="C25" s="74" t="s">
        <v>120</v>
      </c>
      <c r="D25" s="75">
        <v>60</v>
      </c>
      <c r="E25" s="75">
        <v>60</v>
      </c>
      <c r="F25" s="75">
        <v>12</v>
      </c>
      <c r="G25" s="41" t="e">
        <f>#REF!</f>
        <v>#REF!</v>
      </c>
      <c r="H25" s="10" cm="1">
        <f t="array" ref="H25">IFERROR(INDEX(PQ_Juli!$B$2:$AF$1048,MATCH($C25,PQ_Juli!$A$2:$A$1048,0),MATCH(H$3&amp;"",PQ_Juli!$B$1:$AF$1&amp;"",0)),0)</f>
        <v>0</v>
      </c>
      <c r="I25" s="10" cm="1">
        <f t="array" ref="I25">IFERROR(INDEX(PQ_Juli!$B$2:$AF$1048,MATCH($C25,PQ_Juli!$A$2:$A$1048,0),MATCH(I$3&amp;"",PQ_Juli!$B$1:$AF$1&amp;"",0)),0)</f>
        <v>1</v>
      </c>
      <c r="J25" s="10" cm="1">
        <f t="array" ref="J25">IFERROR(INDEX(PQ_Juli!$B$2:$AF$1048,MATCH($C25,PQ_Juli!$A$2:$A$1048,0),MATCH(J$3&amp;"",PQ_Juli!$B$1:$AF$1&amp;"",0)),0)</f>
        <v>0</v>
      </c>
      <c r="K25" s="10" cm="1">
        <f t="array" ref="K25">IFERROR(INDEX(PQ_Juli!$B$2:$AF$1048,MATCH($C25,PQ_Juli!$A$2:$A$1048,0),MATCH(K$3&amp;"",PQ_Juli!$B$1:$AF$1&amp;"",0)),0)</f>
        <v>0</v>
      </c>
      <c r="L25" s="11"/>
      <c r="M25" s="10" cm="1">
        <f t="array" ref="M25">IFERROR(INDEX(PQ_Juli!$B$2:$AF$1048,MATCH($C25,PQ_Juli!$A$2:$A$1048,0),MATCH(M$3&amp;"",PQ_Juli!$B$1:$AF$1&amp;"",0)),0)</f>
        <v>0</v>
      </c>
      <c r="N25" s="10" cm="1">
        <f t="array" ref="N25">IFERROR(INDEX(PQ_Juli!$B$2:$AF$1048,MATCH($C25,PQ_Juli!$A$2:$A$1048,0),MATCH(N$3&amp;"",PQ_Juli!$B$1:$AF$1&amp;"",0)),0)</f>
        <v>0</v>
      </c>
      <c r="O25" s="10" cm="1">
        <f t="array" ref="O25">IFERROR(INDEX(PQ_Juli!$B$2:$AF$1048,MATCH($C25,PQ_Juli!$A$2:$A$1048,0),MATCH(O$3&amp;"",PQ_Juli!$B$1:$AF$1&amp;"",0)),0)</f>
        <v>0</v>
      </c>
      <c r="P25" s="10" cm="1">
        <f t="array" ref="P25">IFERROR(INDEX(PQ_Juli!$B$2:$AF$1048,MATCH($C25,PQ_Juli!$A$2:$A$1048,0),MATCH(P$3&amp;"",PQ_Juli!$B$1:$AF$1&amp;"",0)),0)</f>
        <v>0</v>
      </c>
      <c r="Q25" s="10" cm="1">
        <f t="array" ref="Q25">IFERROR(INDEX(PQ_Juli!$B$2:$AF$1048,MATCH($C25,PQ_Juli!$A$2:$A$1048,0),MATCH(Q$3&amp;"",PQ_Juli!$B$1:$AF$1&amp;"",0)),0)</f>
        <v>0</v>
      </c>
      <c r="R25" s="10" cm="1">
        <f t="array" ref="R25">IFERROR(INDEX(PQ_Juli!$B$2:$AF$1048,MATCH($C25,PQ_Juli!$A$2:$A$1048,0),MATCH(R$3&amp;"",PQ_Juli!$B$1:$AF$1&amp;"",0)),0)</f>
        <v>1</v>
      </c>
      <c r="S25" s="11"/>
      <c r="T25" s="10" cm="1">
        <f t="array" ref="T25">IFERROR(INDEX(PQ_Juli!$B$2:$AF$1048,MATCH($C25,PQ_Juli!$A$2:$A$1048,0),MATCH(T$3&amp;"",PQ_Juli!$B$1:$AF$1&amp;"",0)),0)</f>
        <v>1</v>
      </c>
      <c r="U25" s="10" cm="1">
        <f t="array" ref="U25">IFERROR(INDEX(PQ_Juli!$B$2:$AF$1048,MATCH($C25,PQ_Juli!$A$2:$A$1048,0),MATCH(U$3&amp;"",PQ_Juli!$B$1:$AF$1&amp;"",0)),0)</f>
        <v>0</v>
      </c>
      <c r="V25" s="10" cm="1">
        <f t="array" ref="V25">IFERROR(INDEX(PQ_Juli!$B$2:$AF$1048,MATCH($C25,PQ_Juli!$A$2:$A$1048,0),MATCH(V$3&amp;"",PQ_Juli!$B$1:$AF$1&amp;"",0)),0)</f>
        <v>0</v>
      </c>
      <c r="W25" s="10" cm="1">
        <f t="array" ref="W25">IFERROR(INDEX(PQ_Juli!$B$2:$AF$1048,MATCH($C25,PQ_Juli!$A$2:$A$1048,0),MATCH(W$3&amp;"",PQ_Juli!$B$1:$AF$1&amp;"",0)),0)</f>
        <v>0</v>
      </c>
      <c r="X25" s="10" cm="1">
        <f t="array" ref="X25">IFERROR(INDEX(PQ_Juli!$B$2:$AF$1048,MATCH($C25,PQ_Juli!$A$2:$A$1048,0),MATCH(X$3&amp;"",PQ_Juli!$B$1:$AF$1&amp;"",0)),0)</f>
        <v>1</v>
      </c>
      <c r="Y25" s="10" cm="1">
        <f t="array" ref="Y25">IFERROR(INDEX(PQ_Juli!$B$2:$AF$1048,MATCH($C25,PQ_Juli!$A$2:$A$1048,0),MATCH(Y$3&amp;"",PQ_Juli!$B$1:$AF$1&amp;"",0)),0)</f>
        <v>0</v>
      </c>
      <c r="Z25" s="11"/>
      <c r="AA25" s="10" cm="1">
        <f t="array" ref="AA25">IFERROR(INDEX(PQ_Juli!$B$2:$AF$1048,MATCH($C25,PQ_Juli!$A$2:$A$1048,0),MATCH(AA$3&amp;"",PQ_Juli!$B$1:$AF$1&amp;"",0)),0)</f>
        <v>1</v>
      </c>
      <c r="AB25" s="10" cm="1">
        <f t="array" ref="AB25">IFERROR(INDEX(PQ_Juli!$B$2:$AF$1048,MATCH($C25,PQ_Juli!$A$2:$A$1048,0),MATCH(AB$3&amp;"",PQ_Juli!$B$1:$AF$1&amp;"",0)),0)</f>
        <v>1</v>
      </c>
      <c r="AC25" s="10" cm="1">
        <f t="array" ref="AC25">IFERROR(INDEX(PQ_Juli!$B$2:$AF$1048,MATCH($C25,PQ_Juli!$A$2:$A$1048,0),MATCH(AC$3&amp;"",PQ_Juli!$B$1:$AF$1&amp;"",0)),0)</f>
        <v>0</v>
      </c>
      <c r="AD25" s="10" cm="1">
        <f t="array" ref="AD25">IFERROR(INDEX(PQ_Juli!$B$2:$AF$1048,MATCH($C25,PQ_Juli!$A$2:$A$1048,0),MATCH(AD$3&amp;"",PQ_Juli!$B$1:$AF$1&amp;"",0)),0)</f>
        <v>0</v>
      </c>
      <c r="AE25" s="10" cm="1">
        <f t="array" ref="AE25">IFERROR(INDEX(PQ_Juli!$B$2:$AF$1048,MATCH($C25,PQ_Juli!$A$2:$A$1048,0),MATCH(AE$3&amp;"",PQ_Juli!$B$1:$AF$1&amp;"",0)),0)</f>
        <v>1</v>
      </c>
      <c r="AF25" s="10" cm="1">
        <f t="array" ref="AF25">IFERROR(INDEX(PQ_Juli!$B$2:$AF$1048,MATCH($C25,PQ_Juli!$A$2:$A$1048,0),MATCH(AF$3&amp;"",PQ_Juli!$B$1:$AF$1&amp;"",0)),0)</f>
        <v>2</v>
      </c>
      <c r="AG25" s="11"/>
      <c r="AH25" s="10" cm="1">
        <f t="array" ref="AH25">IFERROR(INDEX(PQ_Juli!$B$2:$AF$1048,MATCH($C25,PQ_Juli!$A$2:$A$1048,0),MATCH(AH$3&amp;"",PQ_Juli!$B$1:$AF$1&amp;"",0)),0)</f>
        <v>1</v>
      </c>
      <c r="AI25" s="10" cm="1">
        <f t="array" ref="AI25">IFERROR(INDEX(PQ_Juli!$B$2:$AF$1048,MATCH($C25,PQ_Juli!$A$2:$A$1048,0),MATCH(AI$3&amp;"",PQ_Juli!$B$1:$AF$1&amp;"",0)),0)</f>
        <v>0</v>
      </c>
      <c r="AJ25" s="10" cm="1">
        <f t="array" ref="AJ25">IFERROR(INDEX(PQ_Juli!$B$2:$AF$1048,MATCH($C25,PQ_Juli!$A$2:$A$1048,0),MATCH(AJ$3&amp;"",PQ_Juli!$B$1:$AF$1&amp;"",0)),0)</f>
        <v>0</v>
      </c>
      <c r="AK25" s="10" cm="1">
        <f t="array" ref="AK25">IFERROR(INDEX(PQ_Juli!$B$2:$AF$1048,MATCH($C25,PQ_Juli!$A$2:$A$1048,0),MATCH(AK$3&amp;"",PQ_Juli!$B$1:$AF$1&amp;"",0)),0)</f>
        <v>0</v>
      </c>
      <c r="AL25" s="10" cm="1">
        <f t="array" ref="AL25">IFERROR(INDEX(PQ_Juli!$B$2:$AF$1048,MATCH($C25,PQ_Juli!$A$2:$A$1048,0),MATCH(AL$3&amp;"",PQ_Juli!$B$1:$AF$1&amp;"",0)),0)</f>
        <v>2</v>
      </c>
      <c r="AM25" s="13">
        <v>4</v>
      </c>
      <c r="AN25" s="14">
        <f t="shared" si="4"/>
        <v>16</v>
      </c>
      <c r="AO25" s="18" t="e">
        <f t="shared" si="1"/>
        <v>#REF!</v>
      </c>
      <c r="AP25" s="23">
        <v>20</v>
      </c>
      <c r="AQ25" s="23" t="s">
        <v>21</v>
      </c>
      <c r="AR25" s="92"/>
      <c r="AS25" s="29"/>
      <c r="AT25" s="92"/>
      <c r="AU25" s="29"/>
      <c r="AV25" s="92"/>
      <c r="AW25" s="92"/>
      <c r="AX25" s="29">
        <f t="shared" si="5"/>
        <v>0</v>
      </c>
      <c r="AY25" s="29">
        <f t="shared" si="6"/>
        <v>0</v>
      </c>
      <c r="AZ25" s="18">
        <f t="shared" si="2"/>
        <v>0</v>
      </c>
      <c r="BA25" s="18" t="e">
        <f t="shared" si="3"/>
        <v>#REF!</v>
      </c>
      <c r="BB25" s="21"/>
      <c r="BC25" s="30"/>
      <c r="BD25" s="30"/>
      <c r="BE25" s="30"/>
      <c r="BF25" s="30"/>
      <c r="BN25" s="41">
        <v>9</v>
      </c>
    </row>
    <row r="26" spans="1:66" ht="22.5" customHeight="1">
      <c r="A26" s="260" t="e">
        <f t="shared" si="0"/>
        <v>#REF!</v>
      </c>
      <c r="B26" s="261"/>
      <c r="C26" s="74" t="s">
        <v>121</v>
      </c>
      <c r="D26" s="75">
        <v>60</v>
      </c>
      <c r="E26" s="75">
        <v>23</v>
      </c>
      <c r="F26" s="75">
        <v>31</v>
      </c>
      <c r="G26" s="41" t="e">
        <f>#REF!</f>
        <v>#REF!</v>
      </c>
      <c r="H26" s="10" cm="1">
        <f t="array" ref="H26">IFERROR(INDEX(PQ_Juli!$B$2:$AF$1048,MATCH($C26,PQ_Juli!$A$2:$A$1048,0),MATCH(H$3&amp;"",PQ_Juli!$B$1:$AF$1&amp;"",0)),0)</f>
        <v>0</v>
      </c>
      <c r="I26" s="10" cm="1">
        <f t="array" ref="I26">IFERROR(INDEX(PQ_Juli!$B$2:$AF$1048,MATCH($C26,PQ_Juli!$A$2:$A$1048,0),MATCH(I$3&amp;"",PQ_Juli!$B$1:$AF$1&amp;"",0)),0)</f>
        <v>0</v>
      </c>
      <c r="J26" s="10" cm="1">
        <f t="array" ref="J26">IFERROR(INDEX(PQ_Juli!$B$2:$AF$1048,MATCH($C26,PQ_Juli!$A$2:$A$1048,0),MATCH(J$3&amp;"",PQ_Juli!$B$1:$AF$1&amp;"",0)),0)</f>
        <v>1</v>
      </c>
      <c r="K26" s="10" cm="1">
        <f t="array" ref="K26">IFERROR(INDEX(PQ_Juli!$B$2:$AF$1048,MATCH($C26,PQ_Juli!$A$2:$A$1048,0),MATCH(K$3&amp;"",PQ_Juli!$B$1:$AF$1&amp;"",0)),0)</f>
        <v>4</v>
      </c>
      <c r="L26" s="11"/>
      <c r="M26" s="10" cm="1">
        <f t="array" ref="M26">IFERROR(INDEX(PQ_Juli!$B$2:$AF$1048,MATCH($C26,PQ_Juli!$A$2:$A$1048,0),MATCH(M$3&amp;"",PQ_Juli!$B$1:$AF$1&amp;"",0)),0)</f>
        <v>1</v>
      </c>
      <c r="N26" s="10" cm="1">
        <f t="array" ref="N26">IFERROR(INDEX(PQ_Juli!$B$2:$AF$1048,MATCH($C26,PQ_Juli!$A$2:$A$1048,0),MATCH(N$3&amp;"",PQ_Juli!$B$1:$AF$1&amp;"",0)),0)</f>
        <v>0</v>
      </c>
      <c r="O26" s="10" cm="1">
        <f t="array" ref="O26">IFERROR(INDEX(PQ_Juli!$B$2:$AF$1048,MATCH($C26,PQ_Juli!$A$2:$A$1048,0),MATCH(O$3&amp;"",PQ_Juli!$B$1:$AF$1&amp;"",0)),0)</f>
        <v>0</v>
      </c>
      <c r="P26" s="10" cm="1">
        <f t="array" ref="P26">IFERROR(INDEX(PQ_Juli!$B$2:$AF$1048,MATCH($C26,PQ_Juli!$A$2:$A$1048,0),MATCH(P$3&amp;"",PQ_Juli!$B$1:$AF$1&amp;"",0)),0)</f>
        <v>1</v>
      </c>
      <c r="Q26" s="10" cm="1">
        <f t="array" ref="Q26">IFERROR(INDEX(PQ_Juli!$B$2:$AF$1048,MATCH($C26,PQ_Juli!$A$2:$A$1048,0),MATCH(Q$3&amp;"",PQ_Juli!$B$1:$AF$1&amp;"",0)),0)</f>
        <v>2</v>
      </c>
      <c r="R26" s="10" cm="1">
        <f t="array" ref="R26">IFERROR(INDEX(PQ_Juli!$B$2:$AF$1048,MATCH($C26,PQ_Juli!$A$2:$A$1048,0),MATCH(R$3&amp;"",PQ_Juli!$B$1:$AF$1&amp;"",0)),0)</f>
        <v>1</v>
      </c>
      <c r="S26" s="11"/>
      <c r="T26" s="10" cm="1">
        <f t="array" ref="T26">IFERROR(INDEX(PQ_Juli!$B$2:$AF$1048,MATCH($C26,PQ_Juli!$A$2:$A$1048,0),MATCH(T$3&amp;"",PQ_Juli!$B$1:$AF$1&amp;"",0)),0)</f>
        <v>3</v>
      </c>
      <c r="U26" s="10" cm="1">
        <f t="array" ref="U26">IFERROR(INDEX(PQ_Juli!$B$2:$AF$1048,MATCH($C26,PQ_Juli!$A$2:$A$1048,0),MATCH(U$3&amp;"",PQ_Juli!$B$1:$AF$1&amp;"",0)),0)</f>
        <v>1</v>
      </c>
      <c r="V26" s="10" cm="1">
        <f t="array" ref="V26">IFERROR(INDEX(PQ_Juli!$B$2:$AF$1048,MATCH($C26,PQ_Juli!$A$2:$A$1048,0),MATCH(V$3&amp;"",PQ_Juli!$B$1:$AF$1&amp;"",0)),0)</f>
        <v>0</v>
      </c>
      <c r="W26" s="10" cm="1">
        <f t="array" ref="W26">IFERROR(INDEX(PQ_Juli!$B$2:$AF$1048,MATCH($C26,PQ_Juli!$A$2:$A$1048,0),MATCH(W$3&amp;"",PQ_Juli!$B$1:$AF$1&amp;"",0)),0)</f>
        <v>1</v>
      </c>
      <c r="X26" s="10" cm="1">
        <f t="array" ref="X26">IFERROR(INDEX(PQ_Juli!$B$2:$AF$1048,MATCH($C26,PQ_Juli!$A$2:$A$1048,0),MATCH(X$3&amp;"",PQ_Juli!$B$1:$AF$1&amp;"",0)),0)</f>
        <v>1</v>
      </c>
      <c r="Y26" s="10" cm="1">
        <f t="array" ref="Y26">IFERROR(INDEX(PQ_Juli!$B$2:$AF$1048,MATCH($C26,PQ_Juli!$A$2:$A$1048,0),MATCH(Y$3&amp;"",PQ_Juli!$B$1:$AF$1&amp;"",0)),0)</f>
        <v>1</v>
      </c>
      <c r="Z26" s="11"/>
      <c r="AA26" s="10" cm="1">
        <f t="array" ref="AA26">IFERROR(INDEX(PQ_Juli!$B$2:$AF$1048,MATCH($C26,PQ_Juli!$A$2:$A$1048,0),MATCH(AA$3&amp;"",PQ_Juli!$B$1:$AF$1&amp;"",0)),0)</f>
        <v>1</v>
      </c>
      <c r="AB26" s="10" cm="1">
        <f t="array" ref="AB26">IFERROR(INDEX(PQ_Juli!$B$2:$AF$1048,MATCH($C26,PQ_Juli!$A$2:$A$1048,0),MATCH(AB$3&amp;"",PQ_Juli!$B$1:$AF$1&amp;"",0)),0)</f>
        <v>0</v>
      </c>
      <c r="AC26" s="10" cm="1">
        <f t="array" ref="AC26">IFERROR(INDEX(PQ_Juli!$B$2:$AF$1048,MATCH($C26,PQ_Juli!$A$2:$A$1048,0),MATCH(AC$3&amp;"",PQ_Juli!$B$1:$AF$1&amp;"",0)),0)</f>
        <v>0</v>
      </c>
      <c r="AD26" s="10" cm="1">
        <f t="array" ref="AD26">IFERROR(INDEX(PQ_Juli!$B$2:$AF$1048,MATCH($C26,PQ_Juli!$A$2:$A$1048,0),MATCH(AD$3&amp;"",PQ_Juli!$B$1:$AF$1&amp;"",0)),0)</f>
        <v>0</v>
      </c>
      <c r="AE26" s="10" cm="1">
        <f t="array" ref="AE26">IFERROR(INDEX(PQ_Juli!$B$2:$AF$1048,MATCH($C26,PQ_Juli!$A$2:$A$1048,0),MATCH(AE$3&amp;"",PQ_Juli!$B$1:$AF$1&amp;"",0)),0)</f>
        <v>1</v>
      </c>
      <c r="AF26" s="10" cm="1">
        <f t="array" ref="AF26">IFERROR(INDEX(PQ_Juli!$B$2:$AF$1048,MATCH($C26,PQ_Juli!$A$2:$A$1048,0),MATCH(AF$3&amp;"",PQ_Juli!$B$1:$AF$1&amp;"",0)),0)</f>
        <v>0</v>
      </c>
      <c r="AG26" s="11"/>
      <c r="AH26" s="10" cm="1">
        <f t="array" ref="AH26">IFERROR(INDEX(PQ_Juli!$B$2:$AF$1048,MATCH($C26,PQ_Juli!$A$2:$A$1048,0),MATCH(AH$3&amp;"",PQ_Juli!$B$1:$AF$1&amp;"",0)),0)</f>
        <v>2</v>
      </c>
      <c r="AI26" s="10" cm="1">
        <f t="array" ref="AI26">IFERROR(INDEX(PQ_Juli!$B$2:$AF$1048,MATCH($C26,PQ_Juli!$A$2:$A$1048,0),MATCH(AI$3&amp;"",PQ_Juli!$B$1:$AF$1&amp;"",0)),0)</f>
        <v>0</v>
      </c>
      <c r="AJ26" s="10" cm="1">
        <f t="array" ref="AJ26">IFERROR(INDEX(PQ_Juli!$B$2:$AF$1048,MATCH($C26,PQ_Juli!$A$2:$A$1048,0),MATCH(AJ$3&amp;"",PQ_Juli!$B$1:$AF$1&amp;"",0)),0)</f>
        <v>0</v>
      </c>
      <c r="AK26" s="10" cm="1">
        <f t="array" ref="AK26">IFERROR(INDEX(PQ_Juli!$B$2:$AF$1048,MATCH($C26,PQ_Juli!$A$2:$A$1048,0),MATCH(AK$3&amp;"",PQ_Juli!$B$1:$AF$1&amp;"",0)),0)</f>
        <v>0</v>
      </c>
      <c r="AL26" s="10" cm="1">
        <f t="array" ref="AL26">IFERROR(INDEX(PQ_Juli!$B$2:$AF$1048,MATCH($C26,PQ_Juli!$A$2:$A$1048,0),MATCH(AL$3&amp;"",PQ_Juli!$B$1:$AF$1&amp;"",0)),0)</f>
        <v>1</v>
      </c>
      <c r="AM26" s="13">
        <v>8</v>
      </c>
      <c r="AN26" s="14">
        <f t="shared" si="4"/>
        <v>30</v>
      </c>
      <c r="AO26" s="18" t="e">
        <f t="shared" si="1"/>
        <v>#REF!</v>
      </c>
      <c r="AP26" s="23">
        <v>20</v>
      </c>
      <c r="AQ26" s="23" t="s">
        <v>21</v>
      </c>
      <c r="AR26" s="92">
        <v>46210</v>
      </c>
      <c r="AS26" s="29">
        <v>1</v>
      </c>
      <c r="AT26" s="92"/>
      <c r="AU26" s="29"/>
      <c r="AV26" s="91">
        <v>46213</v>
      </c>
      <c r="AW26" s="92"/>
      <c r="AX26" s="29">
        <f t="shared" si="5"/>
        <v>60</v>
      </c>
      <c r="AY26" s="29">
        <f t="shared" si="6"/>
        <v>0</v>
      </c>
      <c r="AZ26" s="18">
        <f t="shared" si="2"/>
        <v>60</v>
      </c>
      <c r="BA26" s="18" t="e">
        <f t="shared" si="3"/>
        <v>#REF!</v>
      </c>
      <c r="BB26" s="21"/>
      <c r="BC26" s="30"/>
      <c r="BD26" s="30"/>
      <c r="BE26" s="30"/>
      <c r="BF26" s="30"/>
      <c r="BN26" s="41">
        <v>52</v>
      </c>
    </row>
    <row r="27" spans="1:66" ht="22.5" customHeight="1">
      <c r="A27" s="262">
        <f t="shared" si="0"/>
        <v>36</v>
      </c>
      <c r="B27" s="263"/>
      <c r="C27" s="74" t="s">
        <v>122</v>
      </c>
      <c r="D27" s="75">
        <v>60</v>
      </c>
      <c r="E27" s="75">
        <v>12</v>
      </c>
      <c r="F27" s="75">
        <v>17</v>
      </c>
      <c r="G27" s="41">
        <v>71</v>
      </c>
      <c r="H27" s="10" cm="1">
        <f t="array" ref="H27">IFERROR(INDEX(PQ_Juli!$B$2:$AF$1048,MATCH($C27,PQ_Juli!$A$2:$A$1048,0),MATCH(H$3&amp;"",PQ_Juli!$B$1:$AF$1&amp;"",0)),0)</f>
        <v>1</v>
      </c>
      <c r="I27" s="10" cm="1">
        <f t="array" ref="I27">IFERROR(INDEX(PQ_Juli!$B$2:$AF$1048,MATCH($C27,PQ_Juli!$A$2:$A$1048,0),MATCH(I$3&amp;"",PQ_Juli!$B$1:$AF$1&amp;"",0)),0)</f>
        <v>0</v>
      </c>
      <c r="J27" s="10" cm="1">
        <f t="array" ref="J27">IFERROR(INDEX(PQ_Juli!$B$2:$AF$1048,MATCH($C27,PQ_Juli!$A$2:$A$1048,0),MATCH(J$3&amp;"",PQ_Juli!$B$1:$AF$1&amp;"",0)),0)</f>
        <v>0</v>
      </c>
      <c r="K27" s="10" cm="1">
        <f t="array" ref="K27">IFERROR(INDEX(PQ_Juli!$B$2:$AF$1048,MATCH($C27,PQ_Juli!$A$2:$A$1048,0),MATCH(K$3&amp;"",PQ_Juli!$B$1:$AF$1&amp;"",0)),0)</f>
        <v>2</v>
      </c>
      <c r="L27" s="11"/>
      <c r="M27" s="10" cm="1">
        <f t="array" ref="M27">IFERROR(INDEX(PQ_Juli!$B$2:$AF$1048,MATCH($C27,PQ_Juli!$A$2:$A$1048,0),MATCH(M$3&amp;"",PQ_Juli!$B$1:$AF$1&amp;"",0)),0)</f>
        <v>0</v>
      </c>
      <c r="N27" s="10" cm="1">
        <f t="array" ref="N27">IFERROR(INDEX(PQ_Juli!$B$2:$AF$1048,MATCH($C27,PQ_Juli!$A$2:$A$1048,0),MATCH(N$3&amp;"",PQ_Juli!$B$1:$AF$1&amp;"",0)),0)</f>
        <v>2</v>
      </c>
      <c r="O27" s="10" cm="1">
        <f t="array" ref="O27">IFERROR(INDEX(PQ_Juli!$B$2:$AF$1048,MATCH($C27,PQ_Juli!$A$2:$A$1048,0),MATCH(O$3&amp;"",PQ_Juli!$B$1:$AF$1&amp;"",0)),0)</f>
        <v>1</v>
      </c>
      <c r="P27" s="10" cm="1">
        <f t="array" ref="P27">IFERROR(INDEX(PQ_Juli!$B$2:$AF$1048,MATCH($C27,PQ_Juli!$A$2:$A$1048,0),MATCH(P$3&amp;"",PQ_Juli!$B$1:$AF$1&amp;"",0)),0)</f>
        <v>1</v>
      </c>
      <c r="Q27" s="10" cm="1">
        <f t="array" ref="Q27">IFERROR(INDEX(PQ_Juli!$B$2:$AF$1048,MATCH($C27,PQ_Juli!$A$2:$A$1048,0),MATCH(Q$3&amp;"",PQ_Juli!$B$1:$AF$1&amp;"",0)),0)</f>
        <v>0</v>
      </c>
      <c r="R27" s="10" cm="1">
        <f t="array" ref="R27">IFERROR(INDEX(PQ_Juli!$B$2:$AF$1048,MATCH($C27,PQ_Juli!$A$2:$A$1048,0),MATCH(R$3&amp;"",PQ_Juli!$B$1:$AF$1&amp;"",0)),0)</f>
        <v>2</v>
      </c>
      <c r="S27" s="11"/>
      <c r="T27" s="10" cm="1">
        <f t="array" ref="T27">IFERROR(INDEX(PQ_Juli!$B$2:$AF$1048,MATCH($C27,PQ_Juli!$A$2:$A$1048,0),MATCH(T$3&amp;"",PQ_Juli!$B$1:$AF$1&amp;"",0)),0)</f>
        <v>2</v>
      </c>
      <c r="U27" s="10" cm="1">
        <f t="array" ref="U27">IFERROR(INDEX(PQ_Juli!$B$2:$AF$1048,MATCH($C27,PQ_Juli!$A$2:$A$1048,0),MATCH(U$3&amp;"",PQ_Juli!$B$1:$AF$1&amp;"",0)),0)</f>
        <v>2</v>
      </c>
      <c r="V27" s="10" cm="1">
        <f t="array" ref="V27">IFERROR(INDEX(PQ_Juli!$B$2:$AF$1048,MATCH($C27,PQ_Juli!$A$2:$A$1048,0),MATCH(V$3&amp;"",PQ_Juli!$B$1:$AF$1&amp;"",0)),0)</f>
        <v>0</v>
      </c>
      <c r="W27" s="10" cm="1">
        <f t="array" ref="W27">IFERROR(INDEX(PQ_Juli!$B$2:$AF$1048,MATCH($C27,PQ_Juli!$A$2:$A$1048,0),MATCH(W$3&amp;"",PQ_Juli!$B$1:$AF$1&amp;"",0)),0)</f>
        <v>0</v>
      </c>
      <c r="X27" s="10" cm="1">
        <f t="array" ref="X27">IFERROR(INDEX(PQ_Juli!$B$2:$AF$1048,MATCH($C27,PQ_Juli!$A$2:$A$1048,0),MATCH(X$3&amp;"",PQ_Juli!$B$1:$AF$1&amp;"",0)),0)</f>
        <v>0</v>
      </c>
      <c r="Y27" s="10" cm="1">
        <f t="array" ref="Y27">IFERROR(INDEX(PQ_Juli!$B$2:$AF$1048,MATCH($C27,PQ_Juli!$A$2:$A$1048,0),MATCH(Y$3&amp;"",PQ_Juli!$B$1:$AF$1&amp;"",0)),0)</f>
        <v>4</v>
      </c>
      <c r="Z27" s="11"/>
      <c r="AA27" s="10" cm="1">
        <f t="array" ref="AA27">IFERROR(INDEX(PQ_Juli!$B$2:$AF$1048,MATCH($C27,PQ_Juli!$A$2:$A$1048,0),MATCH(AA$3&amp;"",PQ_Juli!$B$1:$AF$1&amp;"",0)),0)</f>
        <v>3</v>
      </c>
      <c r="AB27" s="10" cm="1">
        <f t="array" ref="AB27">IFERROR(INDEX(PQ_Juli!$B$2:$AF$1048,MATCH($C27,PQ_Juli!$A$2:$A$1048,0),MATCH(AB$3&amp;"",PQ_Juli!$B$1:$AF$1&amp;"",0)),0)</f>
        <v>0</v>
      </c>
      <c r="AC27" s="10" cm="1">
        <f t="array" ref="AC27">IFERROR(INDEX(PQ_Juli!$B$2:$AF$1048,MATCH($C27,PQ_Juli!$A$2:$A$1048,0),MATCH(AC$3&amp;"",PQ_Juli!$B$1:$AF$1&amp;"",0)),0)</f>
        <v>0</v>
      </c>
      <c r="AD27" s="10" cm="1">
        <f t="array" ref="AD27">IFERROR(INDEX(PQ_Juli!$B$2:$AF$1048,MATCH($C27,PQ_Juli!$A$2:$A$1048,0),MATCH(AD$3&amp;"",PQ_Juli!$B$1:$AF$1&amp;"",0)),0)</f>
        <v>4</v>
      </c>
      <c r="AE27" s="10" cm="1">
        <f t="array" ref="AE27">IFERROR(INDEX(PQ_Juli!$B$2:$AF$1048,MATCH($C27,PQ_Juli!$A$2:$A$1048,0),MATCH(AE$3&amp;"",PQ_Juli!$B$1:$AF$1&amp;"",0)),0)</f>
        <v>3</v>
      </c>
      <c r="AF27" s="10" cm="1">
        <f t="array" ref="AF27">IFERROR(INDEX(PQ_Juli!$B$2:$AF$1048,MATCH($C27,PQ_Juli!$A$2:$A$1048,0),MATCH(AF$3&amp;"",PQ_Juli!$B$1:$AF$1&amp;"",0)),0)</f>
        <v>0</v>
      </c>
      <c r="AG27" s="11"/>
      <c r="AH27" s="10" cm="1">
        <f t="array" ref="AH27">IFERROR(INDEX(PQ_Juli!$B$2:$AF$1048,MATCH($C27,PQ_Juli!$A$2:$A$1048,0),MATCH(AH$3&amp;"",PQ_Juli!$B$1:$AF$1&amp;"",0)),0)</f>
        <v>2</v>
      </c>
      <c r="AI27" s="10" cm="1">
        <f t="array" ref="AI27">IFERROR(INDEX(PQ_Juli!$B$2:$AF$1048,MATCH($C27,PQ_Juli!$A$2:$A$1048,0),MATCH(AI$3&amp;"",PQ_Juli!$B$1:$AF$1&amp;"",0)),0)</f>
        <v>1</v>
      </c>
      <c r="AJ27" s="10" cm="1">
        <f t="array" ref="AJ27">IFERROR(INDEX(PQ_Juli!$B$2:$AF$1048,MATCH($C27,PQ_Juli!$A$2:$A$1048,0),MATCH(AJ$3&amp;"",PQ_Juli!$B$1:$AF$1&amp;"",0)),0)</f>
        <v>0</v>
      </c>
      <c r="AK27" s="10" cm="1">
        <f t="array" ref="AK27">IFERROR(INDEX(PQ_Juli!$B$2:$AF$1048,MATCH($C27,PQ_Juli!$A$2:$A$1048,0),MATCH(AK$3&amp;"",PQ_Juli!$B$1:$AF$1&amp;"",0)),0)</f>
        <v>0</v>
      </c>
      <c r="AL27" s="10" cm="1">
        <f t="array" ref="AL27">IFERROR(INDEX(PQ_Juli!$B$2:$AF$1048,MATCH($C27,PQ_Juli!$A$2:$A$1048,0),MATCH(AL$3&amp;"",PQ_Juli!$B$1:$AF$1&amp;"",0)),0)</f>
        <v>1</v>
      </c>
      <c r="AM27" s="13">
        <v>4</v>
      </c>
      <c r="AN27" s="14">
        <f t="shared" si="4"/>
        <v>35</v>
      </c>
      <c r="AO27" s="18">
        <f t="shared" si="1"/>
        <v>36</v>
      </c>
      <c r="AP27" s="23">
        <v>30</v>
      </c>
      <c r="AQ27" s="23" t="s">
        <v>21</v>
      </c>
      <c r="AR27" s="92"/>
      <c r="AS27" s="29"/>
      <c r="AT27" s="92"/>
      <c r="AU27" s="29"/>
      <c r="AV27" s="92"/>
      <c r="AW27" s="92"/>
      <c r="AX27" s="29">
        <f t="shared" si="5"/>
        <v>0</v>
      </c>
      <c r="AY27" s="29">
        <f t="shared" si="6"/>
        <v>0</v>
      </c>
      <c r="AZ27" s="18">
        <f t="shared" si="2"/>
        <v>0</v>
      </c>
      <c r="BA27" s="18">
        <f t="shared" si="3"/>
        <v>36</v>
      </c>
      <c r="BB27" s="21"/>
      <c r="BC27" s="30"/>
      <c r="BD27" s="30"/>
      <c r="BE27" s="30"/>
      <c r="BF27" s="30"/>
      <c r="BN27" s="41">
        <v>24</v>
      </c>
    </row>
    <row r="28" spans="1:66" ht="22.5" customHeight="1">
      <c r="A28" s="262">
        <f t="shared" si="0"/>
        <v>65</v>
      </c>
      <c r="B28" s="263"/>
      <c r="C28" s="74" t="s">
        <v>123</v>
      </c>
      <c r="D28" s="75">
        <v>60</v>
      </c>
      <c r="E28" s="75">
        <v>15</v>
      </c>
      <c r="F28" s="75">
        <v>20</v>
      </c>
      <c r="G28" s="41">
        <v>36</v>
      </c>
      <c r="H28" s="10" cm="1">
        <f t="array" ref="H28">IFERROR(INDEX(PQ_Juli!$B$2:$AF$1048,MATCH($C28,PQ_Juli!$A$2:$A$1048,0),MATCH(H$3&amp;"",PQ_Juli!$B$1:$AF$1&amp;"",0)),0)</f>
        <v>0</v>
      </c>
      <c r="I28" s="10" cm="1">
        <f t="array" ref="I28">IFERROR(INDEX(PQ_Juli!$B$2:$AF$1048,MATCH($C28,PQ_Juli!$A$2:$A$1048,0),MATCH(I$3&amp;"",PQ_Juli!$B$1:$AF$1&amp;"",0)),0)</f>
        <v>0</v>
      </c>
      <c r="J28" s="10" cm="1">
        <f t="array" ref="J28">IFERROR(INDEX(PQ_Juli!$B$2:$AF$1048,MATCH($C28,PQ_Juli!$A$2:$A$1048,0),MATCH(J$3&amp;"",PQ_Juli!$B$1:$AF$1&amp;"",0)),0)</f>
        <v>1</v>
      </c>
      <c r="K28" s="10" cm="1">
        <f t="array" ref="K28">IFERROR(INDEX(PQ_Juli!$B$2:$AF$1048,MATCH($C28,PQ_Juli!$A$2:$A$1048,0),MATCH(K$3&amp;"",PQ_Juli!$B$1:$AF$1&amp;"",0)),0)</f>
        <v>1</v>
      </c>
      <c r="L28" s="11"/>
      <c r="M28" s="10" cm="1">
        <f t="array" ref="M28">IFERROR(INDEX(PQ_Juli!$B$2:$AF$1048,MATCH($C28,PQ_Juli!$A$2:$A$1048,0),MATCH(M$3&amp;"",PQ_Juli!$B$1:$AF$1&amp;"",0)),0)</f>
        <v>0</v>
      </c>
      <c r="N28" s="10" cm="1">
        <f t="array" ref="N28">IFERROR(INDEX(PQ_Juli!$B$2:$AF$1048,MATCH($C28,PQ_Juli!$A$2:$A$1048,0),MATCH(N$3&amp;"",PQ_Juli!$B$1:$AF$1&amp;"",0)),0)</f>
        <v>2</v>
      </c>
      <c r="O28" s="10" cm="1">
        <f t="array" ref="O28">IFERROR(INDEX(PQ_Juli!$B$2:$AF$1048,MATCH($C28,PQ_Juli!$A$2:$A$1048,0),MATCH(O$3&amp;"",PQ_Juli!$B$1:$AF$1&amp;"",0)),0)</f>
        <v>2</v>
      </c>
      <c r="P28" s="10" cm="1">
        <f t="array" ref="P28">IFERROR(INDEX(PQ_Juli!$B$2:$AF$1048,MATCH($C28,PQ_Juli!$A$2:$A$1048,0),MATCH(P$3&amp;"",PQ_Juli!$B$1:$AF$1&amp;"",0)),0)</f>
        <v>2</v>
      </c>
      <c r="Q28" s="10" cm="1">
        <f t="array" ref="Q28">IFERROR(INDEX(PQ_Juli!$B$2:$AF$1048,MATCH($C28,PQ_Juli!$A$2:$A$1048,0),MATCH(Q$3&amp;"",PQ_Juli!$B$1:$AF$1&amp;"",0)),0)</f>
        <v>0</v>
      </c>
      <c r="R28" s="10" cm="1">
        <f t="array" ref="R28">IFERROR(INDEX(PQ_Juli!$B$2:$AF$1048,MATCH($C28,PQ_Juli!$A$2:$A$1048,0),MATCH(R$3&amp;"",PQ_Juli!$B$1:$AF$1&amp;"",0)),0)</f>
        <v>2</v>
      </c>
      <c r="S28" s="11"/>
      <c r="T28" s="10" cm="1">
        <f t="array" ref="T28">IFERROR(INDEX(PQ_Juli!$B$2:$AF$1048,MATCH($C28,PQ_Juli!$A$2:$A$1048,0),MATCH(T$3&amp;"",PQ_Juli!$B$1:$AF$1&amp;"",0)),0)</f>
        <v>2</v>
      </c>
      <c r="U28" s="10" cm="1">
        <f t="array" ref="U28">IFERROR(INDEX(PQ_Juli!$B$2:$AF$1048,MATCH($C28,PQ_Juli!$A$2:$A$1048,0),MATCH(U$3&amp;"",PQ_Juli!$B$1:$AF$1&amp;"",0)),0)</f>
        <v>2</v>
      </c>
      <c r="V28" s="10" cm="1">
        <f t="array" ref="V28">IFERROR(INDEX(PQ_Juli!$B$2:$AF$1048,MATCH($C28,PQ_Juli!$A$2:$A$1048,0),MATCH(V$3&amp;"",PQ_Juli!$B$1:$AF$1&amp;"",0)),0)</f>
        <v>0</v>
      </c>
      <c r="W28" s="10" cm="1">
        <f t="array" ref="W28">IFERROR(INDEX(PQ_Juli!$B$2:$AF$1048,MATCH($C28,PQ_Juli!$A$2:$A$1048,0),MATCH(W$3&amp;"",PQ_Juli!$B$1:$AF$1&amp;"",0)),0)</f>
        <v>0</v>
      </c>
      <c r="X28" s="10" cm="1">
        <f t="array" ref="X28">IFERROR(INDEX(PQ_Juli!$B$2:$AF$1048,MATCH($C28,PQ_Juli!$A$2:$A$1048,0),MATCH(X$3&amp;"",PQ_Juli!$B$1:$AF$1&amp;"",0)),0)</f>
        <v>0</v>
      </c>
      <c r="Y28" s="10" cm="1">
        <f t="array" ref="Y28">IFERROR(INDEX(PQ_Juli!$B$2:$AF$1048,MATCH($C28,PQ_Juli!$A$2:$A$1048,0),MATCH(Y$3&amp;"",PQ_Juli!$B$1:$AF$1&amp;"",0)),0)</f>
        <v>2</v>
      </c>
      <c r="Z28" s="11"/>
      <c r="AA28" s="10" cm="1">
        <f t="array" ref="AA28">IFERROR(INDEX(PQ_Juli!$B$2:$AF$1048,MATCH($C28,PQ_Juli!$A$2:$A$1048,0),MATCH(AA$3&amp;"",PQ_Juli!$B$1:$AF$1&amp;"",0)),0)</f>
        <v>3</v>
      </c>
      <c r="AB28" s="10" cm="1">
        <f t="array" ref="AB28">IFERROR(INDEX(PQ_Juli!$B$2:$AF$1048,MATCH($C28,PQ_Juli!$A$2:$A$1048,0),MATCH(AB$3&amp;"",PQ_Juli!$B$1:$AF$1&amp;"",0)),0)</f>
        <v>0</v>
      </c>
      <c r="AC28" s="10" cm="1">
        <f t="array" ref="AC28">IFERROR(INDEX(PQ_Juli!$B$2:$AF$1048,MATCH($C28,PQ_Juli!$A$2:$A$1048,0),MATCH(AC$3&amp;"",PQ_Juli!$B$1:$AF$1&amp;"",0)),0)</f>
        <v>0</v>
      </c>
      <c r="AD28" s="10" cm="1">
        <f t="array" ref="AD28">IFERROR(INDEX(PQ_Juli!$B$2:$AF$1048,MATCH($C28,PQ_Juli!$A$2:$A$1048,0),MATCH(AD$3&amp;"",PQ_Juli!$B$1:$AF$1&amp;"",0)),0)</f>
        <v>1</v>
      </c>
      <c r="AE28" s="10" cm="1">
        <f t="array" ref="AE28">IFERROR(INDEX(PQ_Juli!$B$2:$AF$1048,MATCH($C28,PQ_Juli!$A$2:$A$1048,0),MATCH(AE$3&amp;"",PQ_Juli!$B$1:$AF$1&amp;"",0)),0)</f>
        <v>2</v>
      </c>
      <c r="AF28" s="10" cm="1">
        <f t="array" ref="AF28">IFERROR(INDEX(PQ_Juli!$B$2:$AF$1048,MATCH($C28,PQ_Juli!$A$2:$A$1048,0),MATCH(AF$3&amp;"",PQ_Juli!$B$1:$AF$1&amp;"",0)),0)</f>
        <v>1</v>
      </c>
      <c r="AG28" s="11"/>
      <c r="AH28" s="10" cm="1">
        <f t="array" ref="AH28">IFERROR(INDEX(PQ_Juli!$B$2:$AF$1048,MATCH($C28,PQ_Juli!$A$2:$A$1048,0),MATCH(AH$3&amp;"",PQ_Juli!$B$1:$AF$1&amp;"",0)),0)</f>
        <v>3</v>
      </c>
      <c r="AI28" s="10" cm="1">
        <f t="array" ref="AI28">IFERROR(INDEX(PQ_Juli!$B$2:$AF$1048,MATCH($C28,PQ_Juli!$A$2:$A$1048,0),MATCH(AI$3&amp;"",PQ_Juli!$B$1:$AF$1&amp;"",0)),0)</f>
        <v>1</v>
      </c>
      <c r="AJ28" s="10" cm="1">
        <f t="array" ref="AJ28">IFERROR(INDEX(PQ_Juli!$B$2:$AF$1048,MATCH($C28,PQ_Juli!$A$2:$A$1048,0),MATCH(AJ$3&amp;"",PQ_Juli!$B$1:$AF$1&amp;"",0)),0)</f>
        <v>0</v>
      </c>
      <c r="AK28" s="10" cm="1">
        <f t="array" ref="AK28">IFERROR(INDEX(PQ_Juli!$B$2:$AF$1048,MATCH($C28,PQ_Juli!$A$2:$A$1048,0),MATCH(AK$3&amp;"",PQ_Juli!$B$1:$AF$1&amp;"",0)),0)</f>
        <v>0</v>
      </c>
      <c r="AL28" s="10" cm="1">
        <f t="array" ref="AL28">IFERROR(INDEX(PQ_Juli!$B$2:$AF$1048,MATCH($C28,PQ_Juli!$A$2:$A$1048,0),MATCH(AL$3&amp;"",PQ_Juli!$B$1:$AF$1&amp;"",0)),0)</f>
        <v>1</v>
      </c>
      <c r="AM28" s="13">
        <v>3</v>
      </c>
      <c r="AN28" s="14">
        <f t="shared" si="4"/>
        <v>31</v>
      </c>
      <c r="AO28" s="18">
        <f t="shared" si="1"/>
        <v>65</v>
      </c>
      <c r="AP28" s="23">
        <v>30</v>
      </c>
      <c r="AQ28" s="23" t="s">
        <v>21</v>
      </c>
      <c r="AR28" s="92">
        <v>46210</v>
      </c>
      <c r="AS28" s="29">
        <v>1</v>
      </c>
      <c r="AT28" s="92"/>
      <c r="AU28" s="29"/>
      <c r="AV28" s="91">
        <v>46213</v>
      </c>
      <c r="AW28" s="92"/>
      <c r="AX28" s="29">
        <f t="shared" si="5"/>
        <v>60</v>
      </c>
      <c r="AY28" s="29">
        <f t="shared" si="6"/>
        <v>0</v>
      </c>
      <c r="AZ28" s="18">
        <f t="shared" si="2"/>
        <v>60</v>
      </c>
      <c r="BA28" s="18">
        <f t="shared" si="3"/>
        <v>65</v>
      </c>
      <c r="BB28" s="21"/>
      <c r="BC28" s="30"/>
      <c r="BD28" s="30"/>
      <c r="BE28" s="30"/>
      <c r="BF28" s="30"/>
      <c r="BN28" s="41">
        <v>43</v>
      </c>
    </row>
    <row r="29" spans="1:66" ht="22.5" customHeight="1">
      <c r="A29" s="260" t="e">
        <f t="shared" si="0"/>
        <v>#REF!</v>
      </c>
      <c r="B29" s="261"/>
      <c r="C29" s="74" t="s">
        <v>124</v>
      </c>
      <c r="D29" s="75">
        <v>60</v>
      </c>
      <c r="E29" s="75">
        <v>8</v>
      </c>
      <c r="F29" s="75">
        <v>16</v>
      </c>
      <c r="G29" s="41" t="e">
        <f>#REF!</f>
        <v>#REF!</v>
      </c>
      <c r="H29" s="10" cm="1">
        <f t="array" ref="H29">IFERROR(INDEX(PQ_Juli!$B$2:$AF$1048,MATCH($C29,PQ_Juli!$A$2:$A$1048,0),MATCH(H$3&amp;"",PQ_Juli!$B$1:$AF$1&amp;"",0)),0)</f>
        <v>0</v>
      </c>
      <c r="I29" s="10" cm="1">
        <f t="array" ref="I29">IFERROR(INDEX(PQ_Juli!$B$2:$AF$1048,MATCH($C29,PQ_Juli!$A$2:$A$1048,0),MATCH(I$3&amp;"",PQ_Juli!$B$1:$AF$1&amp;"",0)),0)</f>
        <v>1</v>
      </c>
      <c r="J29" s="10" cm="1">
        <f t="array" ref="J29">IFERROR(INDEX(PQ_Juli!$B$2:$AF$1048,MATCH($C29,PQ_Juli!$A$2:$A$1048,0),MATCH(J$3&amp;"",PQ_Juli!$B$1:$AF$1&amp;"",0)),0)</f>
        <v>1</v>
      </c>
      <c r="K29" s="10" cm="1">
        <f t="array" ref="K29">IFERROR(INDEX(PQ_Juli!$B$2:$AF$1048,MATCH($C29,PQ_Juli!$A$2:$A$1048,0),MATCH(K$3&amp;"",PQ_Juli!$B$1:$AF$1&amp;"",0)),0)</f>
        <v>4</v>
      </c>
      <c r="L29" s="11"/>
      <c r="M29" s="10" cm="1">
        <f t="array" ref="M29">IFERROR(INDEX(PQ_Juli!$B$2:$AF$1048,MATCH($C29,PQ_Juli!$A$2:$A$1048,0),MATCH(M$3&amp;"",PQ_Juli!$B$1:$AF$1&amp;"",0)),0)</f>
        <v>1</v>
      </c>
      <c r="N29" s="10" cm="1">
        <f t="array" ref="N29">IFERROR(INDEX(PQ_Juli!$B$2:$AF$1048,MATCH($C29,PQ_Juli!$A$2:$A$1048,0),MATCH(N$3&amp;"",PQ_Juli!$B$1:$AF$1&amp;"",0)),0)</f>
        <v>1</v>
      </c>
      <c r="O29" s="10" cm="1">
        <f t="array" ref="O29">IFERROR(INDEX(PQ_Juli!$B$2:$AF$1048,MATCH($C29,PQ_Juli!$A$2:$A$1048,0),MATCH(O$3&amp;"",PQ_Juli!$B$1:$AF$1&amp;"",0)),0)</f>
        <v>0</v>
      </c>
      <c r="P29" s="10" cm="1">
        <f t="array" ref="P29">IFERROR(INDEX(PQ_Juli!$B$2:$AF$1048,MATCH($C29,PQ_Juli!$A$2:$A$1048,0),MATCH(P$3&amp;"",PQ_Juli!$B$1:$AF$1&amp;"",0)),0)</f>
        <v>1</v>
      </c>
      <c r="Q29" s="10" cm="1">
        <f t="array" ref="Q29">IFERROR(INDEX(PQ_Juli!$B$2:$AF$1048,MATCH($C29,PQ_Juli!$A$2:$A$1048,0),MATCH(Q$3&amp;"",PQ_Juli!$B$1:$AF$1&amp;"",0)),0)</f>
        <v>3</v>
      </c>
      <c r="R29" s="10" cm="1">
        <f t="array" ref="R29">IFERROR(INDEX(PQ_Juli!$B$2:$AF$1048,MATCH($C29,PQ_Juli!$A$2:$A$1048,0),MATCH(R$3&amp;"",PQ_Juli!$B$1:$AF$1&amp;"",0)),0)</f>
        <v>4</v>
      </c>
      <c r="S29" s="11"/>
      <c r="T29" s="10" cm="1">
        <f t="array" ref="T29">IFERROR(INDEX(PQ_Juli!$B$2:$AF$1048,MATCH($C29,PQ_Juli!$A$2:$A$1048,0),MATCH(T$3&amp;"",PQ_Juli!$B$1:$AF$1&amp;"",0)),0)</f>
        <v>3</v>
      </c>
      <c r="U29" s="10" cm="1">
        <f t="array" ref="U29">IFERROR(INDEX(PQ_Juli!$B$2:$AF$1048,MATCH($C29,PQ_Juli!$A$2:$A$1048,0),MATCH(U$3&amp;"",PQ_Juli!$B$1:$AF$1&amp;"",0)),0)</f>
        <v>2</v>
      </c>
      <c r="V29" s="10" cm="1">
        <f t="array" ref="V29">IFERROR(INDEX(PQ_Juli!$B$2:$AF$1048,MATCH($C29,PQ_Juli!$A$2:$A$1048,0),MATCH(V$3&amp;"",PQ_Juli!$B$1:$AF$1&amp;"",0)),0)</f>
        <v>1</v>
      </c>
      <c r="W29" s="10" cm="1">
        <f t="array" ref="W29">IFERROR(INDEX(PQ_Juli!$B$2:$AF$1048,MATCH($C29,PQ_Juli!$A$2:$A$1048,0),MATCH(W$3&amp;"",PQ_Juli!$B$1:$AF$1&amp;"",0)),0)</f>
        <v>0</v>
      </c>
      <c r="X29" s="10" cm="1">
        <f t="array" ref="X29">IFERROR(INDEX(PQ_Juli!$B$2:$AF$1048,MATCH($C29,PQ_Juli!$A$2:$A$1048,0),MATCH(X$3&amp;"",PQ_Juli!$B$1:$AF$1&amp;"",0)),0)</f>
        <v>3</v>
      </c>
      <c r="Y29" s="10" cm="1">
        <f t="array" ref="Y29">IFERROR(INDEX(PQ_Juli!$B$2:$AF$1048,MATCH($C29,PQ_Juli!$A$2:$A$1048,0),MATCH(Y$3&amp;"",PQ_Juli!$B$1:$AF$1&amp;"",0)),0)</f>
        <v>4</v>
      </c>
      <c r="Z29" s="11"/>
      <c r="AA29" s="10" cm="1">
        <f t="array" ref="AA29">IFERROR(INDEX(PQ_Juli!$B$2:$AF$1048,MATCH($C29,PQ_Juli!$A$2:$A$1048,0),MATCH(AA$3&amp;"",PQ_Juli!$B$1:$AF$1&amp;"",0)),0)</f>
        <v>6</v>
      </c>
      <c r="AB29" s="10" cm="1">
        <f t="array" ref="AB29">IFERROR(INDEX(PQ_Juli!$B$2:$AF$1048,MATCH($C29,PQ_Juli!$A$2:$A$1048,0),MATCH(AB$3&amp;"",PQ_Juli!$B$1:$AF$1&amp;"",0)),0)</f>
        <v>1</v>
      </c>
      <c r="AC29" s="10" cm="1">
        <f t="array" ref="AC29">IFERROR(INDEX(PQ_Juli!$B$2:$AF$1048,MATCH($C29,PQ_Juli!$A$2:$A$1048,0),MATCH(AC$3&amp;"",PQ_Juli!$B$1:$AF$1&amp;"",0)),0)</f>
        <v>1</v>
      </c>
      <c r="AD29" s="10" cm="1">
        <f t="array" ref="AD29">IFERROR(INDEX(PQ_Juli!$B$2:$AF$1048,MATCH($C29,PQ_Juli!$A$2:$A$1048,0),MATCH(AD$3&amp;"",PQ_Juli!$B$1:$AF$1&amp;"",0)),0)</f>
        <v>2</v>
      </c>
      <c r="AE29" s="10" cm="1">
        <f t="array" ref="AE29">IFERROR(INDEX(PQ_Juli!$B$2:$AF$1048,MATCH($C29,PQ_Juli!$A$2:$A$1048,0),MATCH(AE$3&amp;"",PQ_Juli!$B$1:$AF$1&amp;"",0)),0)</f>
        <v>3</v>
      </c>
      <c r="AF29" s="10" cm="1">
        <f t="array" ref="AF29">IFERROR(INDEX(PQ_Juli!$B$2:$AF$1048,MATCH($C29,PQ_Juli!$A$2:$A$1048,0),MATCH(AF$3&amp;"",PQ_Juli!$B$1:$AF$1&amp;"",0)),0)</f>
        <v>2</v>
      </c>
      <c r="AG29" s="11"/>
      <c r="AH29" s="10" cm="1">
        <f t="array" ref="AH29">IFERROR(INDEX(PQ_Juli!$B$2:$AF$1048,MATCH($C29,PQ_Juli!$A$2:$A$1048,0),MATCH(AH$3&amp;"",PQ_Juli!$B$1:$AF$1&amp;"",0)),0)</f>
        <v>6</v>
      </c>
      <c r="AI29" s="10" cm="1">
        <f t="array" ref="AI29">IFERROR(INDEX(PQ_Juli!$B$2:$AF$1048,MATCH($C29,PQ_Juli!$A$2:$A$1048,0),MATCH(AI$3&amp;"",PQ_Juli!$B$1:$AF$1&amp;"",0)),0)</f>
        <v>0</v>
      </c>
      <c r="AJ29" s="10" cm="1">
        <f t="array" ref="AJ29">IFERROR(INDEX(PQ_Juli!$B$2:$AF$1048,MATCH($C29,PQ_Juli!$A$2:$A$1048,0),MATCH(AJ$3&amp;"",PQ_Juli!$B$1:$AF$1&amp;"",0)),0)</f>
        <v>1</v>
      </c>
      <c r="AK29" s="10" cm="1">
        <f t="array" ref="AK29">IFERROR(INDEX(PQ_Juli!$B$2:$AF$1048,MATCH($C29,PQ_Juli!$A$2:$A$1048,0),MATCH(AK$3&amp;"",PQ_Juli!$B$1:$AF$1&amp;"",0)),0)</f>
        <v>1</v>
      </c>
      <c r="AL29" s="10" cm="1">
        <f t="array" ref="AL29">IFERROR(INDEX(PQ_Juli!$B$2:$AF$1048,MATCH($C29,PQ_Juli!$A$2:$A$1048,0),MATCH(AL$3&amp;"",PQ_Juli!$B$1:$AF$1&amp;"",0)),0)</f>
        <v>1</v>
      </c>
      <c r="AM29" s="13">
        <v>8</v>
      </c>
      <c r="AN29" s="14">
        <f t="shared" si="4"/>
        <v>61</v>
      </c>
      <c r="AO29" s="18" t="e">
        <f t="shared" si="1"/>
        <v>#REF!</v>
      </c>
      <c r="AP29" s="23">
        <v>30</v>
      </c>
      <c r="AQ29" s="23" t="s">
        <v>21</v>
      </c>
      <c r="AR29" s="92">
        <v>46216</v>
      </c>
      <c r="AS29" s="29">
        <v>1</v>
      </c>
      <c r="AT29" s="92"/>
      <c r="AU29" s="29"/>
      <c r="AV29" s="92">
        <v>46220</v>
      </c>
      <c r="AW29" s="92"/>
      <c r="AX29" s="29">
        <f t="shared" si="5"/>
        <v>60</v>
      </c>
      <c r="AY29" s="29">
        <f t="shared" si="6"/>
        <v>0</v>
      </c>
      <c r="AZ29" s="18">
        <f t="shared" si="2"/>
        <v>60</v>
      </c>
      <c r="BA29" s="18" t="e">
        <f t="shared" si="3"/>
        <v>#REF!</v>
      </c>
      <c r="BB29" s="21"/>
      <c r="BC29" s="30"/>
      <c r="BD29" s="30"/>
      <c r="BE29" s="30"/>
      <c r="BF29" s="30"/>
      <c r="BN29" s="41">
        <v>46</v>
      </c>
    </row>
    <row r="30" spans="1:66" ht="22.5" customHeight="1">
      <c r="A30" s="262" t="e">
        <f t="shared" si="0"/>
        <v>#REF!</v>
      </c>
      <c r="B30" s="263"/>
      <c r="C30" s="74" t="s">
        <v>125</v>
      </c>
      <c r="D30" s="75">
        <v>30</v>
      </c>
      <c r="E30" s="75">
        <v>13</v>
      </c>
      <c r="F30" s="75">
        <v>23</v>
      </c>
      <c r="G30" s="41" t="e">
        <f>#REF!</f>
        <v>#REF!</v>
      </c>
      <c r="H30" s="10" cm="1">
        <f t="array" ref="H30">IFERROR(INDEX(PQ_Juli!$B$2:$AF$1048,MATCH($C30,PQ_Juli!$A$2:$A$1048,0),MATCH(H$3&amp;"",PQ_Juli!$B$1:$AF$1&amp;"",0)),0)</f>
        <v>0</v>
      </c>
      <c r="I30" s="10" cm="1">
        <f t="array" ref="I30">IFERROR(INDEX(PQ_Juli!$B$2:$AF$1048,MATCH($C30,PQ_Juli!$A$2:$A$1048,0),MATCH(I$3&amp;"",PQ_Juli!$B$1:$AF$1&amp;"",0)),0)</f>
        <v>0</v>
      </c>
      <c r="J30" s="10" cm="1">
        <f t="array" ref="J30">IFERROR(INDEX(PQ_Juli!$B$2:$AF$1048,MATCH($C30,PQ_Juli!$A$2:$A$1048,0),MATCH(J$3&amp;"",PQ_Juli!$B$1:$AF$1&amp;"",0)),0)</f>
        <v>1</v>
      </c>
      <c r="K30" s="10" cm="1">
        <f t="array" ref="K30">IFERROR(INDEX(PQ_Juli!$B$2:$AF$1048,MATCH($C30,PQ_Juli!$A$2:$A$1048,0),MATCH(K$3&amp;"",PQ_Juli!$B$1:$AF$1&amp;"",0)),0)</f>
        <v>0</v>
      </c>
      <c r="L30" s="11"/>
      <c r="M30" s="10" cm="1">
        <f t="array" ref="M30">IFERROR(INDEX(PQ_Juli!$B$2:$AF$1048,MATCH($C30,PQ_Juli!$A$2:$A$1048,0),MATCH(M$3&amp;"",PQ_Juli!$B$1:$AF$1&amp;"",0)),0)</f>
        <v>1</v>
      </c>
      <c r="N30" s="10" cm="1">
        <f t="array" ref="N30">IFERROR(INDEX(PQ_Juli!$B$2:$AF$1048,MATCH($C30,PQ_Juli!$A$2:$A$1048,0),MATCH(N$3&amp;"",PQ_Juli!$B$1:$AF$1&amp;"",0)),0)</f>
        <v>1</v>
      </c>
      <c r="O30" s="10" cm="1">
        <f t="array" ref="O30">IFERROR(INDEX(PQ_Juli!$B$2:$AF$1048,MATCH($C30,PQ_Juli!$A$2:$A$1048,0),MATCH(O$3&amp;"",PQ_Juli!$B$1:$AF$1&amp;"",0)),0)</f>
        <v>0</v>
      </c>
      <c r="P30" s="10" cm="1">
        <f t="array" ref="P30">IFERROR(INDEX(PQ_Juli!$B$2:$AF$1048,MATCH($C30,PQ_Juli!$A$2:$A$1048,0),MATCH(P$3&amp;"",PQ_Juli!$B$1:$AF$1&amp;"",0)),0)</f>
        <v>1</v>
      </c>
      <c r="Q30" s="10" cm="1">
        <f t="array" ref="Q30">IFERROR(INDEX(PQ_Juli!$B$2:$AF$1048,MATCH($C30,PQ_Juli!$A$2:$A$1048,0),MATCH(Q$3&amp;"",PQ_Juli!$B$1:$AF$1&amp;"",0)),0)</f>
        <v>0</v>
      </c>
      <c r="R30" s="10" cm="1">
        <f t="array" ref="R30">IFERROR(INDEX(PQ_Juli!$B$2:$AF$1048,MATCH($C30,PQ_Juli!$A$2:$A$1048,0),MATCH(R$3&amp;"",PQ_Juli!$B$1:$AF$1&amp;"",0)),0)</f>
        <v>2</v>
      </c>
      <c r="S30" s="11"/>
      <c r="T30" s="10" cm="1">
        <f t="array" ref="T30">IFERROR(INDEX(PQ_Juli!$B$2:$AF$1048,MATCH($C30,PQ_Juli!$A$2:$A$1048,0),MATCH(T$3&amp;"",PQ_Juli!$B$1:$AF$1&amp;"",0)),0)</f>
        <v>1</v>
      </c>
      <c r="U30" s="10" cm="1">
        <f t="array" ref="U30">IFERROR(INDEX(PQ_Juli!$B$2:$AF$1048,MATCH($C30,PQ_Juli!$A$2:$A$1048,0),MATCH(U$3&amp;"",PQ_Juli!$B$1:$AF$1&amp;"",0)),0)</f>
        <v>1</v>
      </c>
      <c r="V30" s="10" cm="1">
        <f t="array" ref="V30">IFERROR(INDEX(PQ_Juli!$B$2:$AF$1048,MATCH($C30,PQ_Juli!$A$2:$A$1048,0),MATCH(V$3&amp;"",PQ_Juli!$B$1:$AF$1&amp;"",0)),0)</f>
        <v>0</v>
      </c>
      <c r="W30" s="10" cm="1">
        <f t="array" ref="W30">IFERROR(INDEX(PQ_Juli!$B$2:$AF$1048,MATCH($C30,PQ_Juli!$A$2:$A$1048,0),MATCH(W$3&amp;"",PQ_Juli!$B$1:$AF$1&amp;"",0)),0)</f>
        <v>0</v>
      </c>
      <c r="X30" s="10" cm="1">
        <f t="array" ref="X30">IFERROR(INDEX(PQ_Juli!$B$2:$AF$1048,MATCH($C30,PQ_Juli!$A$2:$A$1048,0),MATCH(X$3&amp;"",PQ_Juli!$B$1:$AF$1&amp;"",0)),0)</f>
        <v>0</v>
      </c>
      <c r="Y30" s="10" cm="1">
        <f t="array" ref="Y30">IFERROR(INDEX(PQ_Juli!$B$2:$AF$1048,MATCH($C30,PQ_Juli!$A$2:$A$1048,0),MATCH(Y$3&amp;"",PQ_Juli!$B$1:$AF$1&amp;"",0)),0)</f>
        <v>2</v>
      </c>
      <c r="Z30" s="11"/>
      <c r="AA30" s="10" cm="1">
        <f t="array" ref="AA30">IFERROR(INDEX(PQ_Juli!$B$2:$AF$1048,MATCH($C30,PQ_Juli!$A$2:$A$1048,0),MATCH(AA$3&amp;"",PQ_Juli!$B$1:$AF$1&amp;"",0)),0)</f>
        <v>1</v>
      </c>
      <c r="AB30" s="10" cm="1">
        <f t="array" ref="AB30">IFERROR(INDEX(PQ_Juli!$B$2:$AF$1048,MATCH($C30,PQ_Juli!$A$2:$A$1048,0),MATCH(AB$3&amp;"",PQ_Juli!$B$1:$AF$1&amp;"",0)),0)</f>
        <v>0</v>
      </c>
      <c r="AC30" s="10" cm="1">
        <f t="array" ref="AC30">IFERROR(INDEX(PQ_Juli!$B$2:$AF$1048,MATCH($C30,PQ_Juli!$A$2:$A$1048,0),MATCH(AC$3&amp;"",PQ_Juli!$B$1:$AF$1&amp;"",0)),0)</f>
        <v>0</v>
      </c>
      <c r="AD30" s="10" cm="1">
        <f t="array" ref="AD30">IFERROR(INDEX(PQ_Juli!$B$2:$AF$1048,MATCH($C30,PQ_Juli!$A$2:$A$1048,0),MATCH(AD$3&amp;"",PQ_Juli!$B$1:$AF$1&amp;"",0)),0)</f>
        <v>1</v>
      </c>
      <c r="AE30" s="10" cm="1">
        <f t="array" ref="AE30">IFERROR(INDEX(PQ_Juli!$B$2:$AF$1048,MATCH($C30,PQ_Juli!$A$2:$A$1048,0),MATCH(AE$3&amp;"",PQ_Juli!$B$1:$AF$1&amp;"",0)),0)</f>
        <v>2</v>
      </c>
      <c r="AF30" s="10" cm="1">
        <f t="array" ref="AF30">IFERROR(INDEX(PQ_Juli!$B$2:$AF$1048,MATCH($C30,PQ_Juli!$A$2:$A$1048,0),MATCH(AF$3&amp;"",PQ_Juli!$B$1:$AF$1&amp;"",0)),0)</f>
        <v>1</v>
      </c>
      <c r="AG30" s="11"/>
      <c r="AH30" s="10" cm="1">
        <f t="array" ref="AH30">IFERROR(INDEX(PQ_Juli!$B$2:$AF$1048,MATCH($C30,PQ_Juli!$A$2:$A$1048,0),MATCH(AH$3&amp;"",PQ_Juli!$B$1:$AF$1&amp;"",0)),0)</f>
        <v>2</v>
      </c>
      <c r="AI30" s="10" cm="1">
        <f t="array" ref="AI30">IFERROR(INDEX(PQ_Juli!$B$2:$AF$1048,MATCH($C30,PQ_Juli!$A$2:$A$1048,0),MATCH(AI$3&amp;"",PQ_Juli!$B$1:$AF$1&amp;"",0)),0)</f>
        <v>0</v>
      </c>
      <c r="AJ30" s="10" cm="1">
        <f t="array" ref="AJ30">IFERROR(INDEX(PQ_Juli!$B$2:$AF$1048,MATCH($C30,PQ_Juli!$A$2:$A$1048,0),MATCH(AJ$3&amp;"",PQ_Juli!$B$1:$AF$1&amp;"",0)),0)</f>
        <v>0</v>
      </c>
      <c r="AK30" s="10" cm="1">
        <f t="array" ref="AK30">IFERROR(INDEX(PQ_Juli!$B$2:$AF$1048,MATCH($C30,PQ_Juli!$A$2:$A$1048,0),MATCH(AK$3&amp;"",PQ_Juli!$B$1:$AF$1&amp;"",0)),0)</f>
        <v>0</v>
      </c>
      <c r="AL30" s="10" cm="1">
        <f t="array" ref="AL30">IFERROR(INDEX(PQ_Juli!$B$2:$AF$1048,MATCH($C30,PQ_Juli!$A$2:$A$1048,0),MATCH(AL$3&amp;"",PQ_Juli!$B$1:$AF$1&amp;"",0)),0)</f>
        <v>0</v>
      </c>
      <c r="AM30" s="13">
        <v>8</v>
      </c>
      <c r="AN30" s="14">
        <f t="shared" si="4"/>
        <v>25</v>
      </c>
      <c r="AO30" s="18" t="e">
        <f t="shared" si="1"/>
        <v>#REF!</v>
      </c>
      <c r="AP30" s="23">
        <v>30</v>
      </c>
      <c r="AQ30" s="23" t="s">
        <v>21</v>
      </c>
      <c r="AR30" s="92">
        <v>46216</v>
      </c>
      <c r="AS30" s="29">
        <v>1</v>
      </c>
      <c r="AT30" s="92"/>
      <c r="AU30" s="29"/>
      <c r="AV30" s="92">
        <v>46220</v>
      </c>
      <c r="AW30" s="92"/>
      <c r="AX30" s="29">
        <f t="shared" si="5"/>
        <v>30</v>
      </c>
      <c r="AY30" s="29">
        <f t="shared" si="6"/>
        <v>0</v>
      </c>
      <c r="AZ30" s="18">
        <f t="shared" si="2"/>
        <v>30</v>
      </c>
      <c r="BA30" s="18" t="e">
        <f t="shared" si="3"/>
        <v>#REF!</v>
      </c>
      <c r="BB30" s="21"/>
      <c r="BC30" s="30"/>
      <c r="BD30" s="30"/>
      <c r="BE30" s="30"/>
      <c r="BF30" s="30"/>
      <c r="BN30" s="41">
        <v>77</v>
      </c>
    </row>
    <row r="31" spans="1:66" ht="22.5" customHeight="1">
      <c r="A31" s="262">
        <f t="shared" si="0"/>
        <v>37</v>
      </c>
      <c r="B31" s="263"/>
      <c r="C31" s="74" t="s">
        <v>126</v>
      </c>
      <c r="D31" s="75">
        <v>60</v>
      </c>
      <c r="E31" s="75">
        <v>16</v>
      </c>
      <c r="F31" s="75">
        <v>25</v>
      </c>
      <c r="G31" s="41">
        <v>71</v>
      </c>
      <c r="H31" s="10" cm="1">
        <f t="array" ref="H31">IFERROR(INDEX(PQ_Juli!$B$2:$AF$1048,MATCH($C31,PQ_Juli!$A$2:$A$1048,0),MATCH(H$3&amp;"",PQ_Juli!$B$1:$AF$1&amp;"",0)),0)</f>
        <v>0</v>
      </c>
      <c r="I31" s="10" cm="1">
        <f t="array" ref="I31">IFERROR(INDEX(PQ_Juli!$B$2:$AF$1048,MATCH($C31,PQ_Juli!$A$2:$A$1048,0),MATCH(I$3&amp;"",PQ_Juli!$B$1:$AF$1&amp;"",0)),0)</f>
        <v>0</v>
      </c>
      <c r="J31" s="10" cm="1">
        <f t="array" ref="J31">IFERROR(INDEX(PQ_Juli!$B$2:$AF$1048,MATCH($C31,PQ_Juli!$A$2:$A$1048,0),MATCH(J$3&amp;"",PQ_Juli!$B$1:$AF$1&amp;"",0)),0)</f>
        <v>0</v>
      </c>
      <c r="K31" s="10" cm="1">
        <f t="array" ref="K31">IFERROR(INDEX(PQ_Juli!$B$2:$AF$1048,MATCH($C31,PQ_Juli!$A$2:$A$1048,0),MATCH(K$3&amp;"",PQ_Juli!$B$1:$AF$1&amp;"",0)),0)</f>
        <v>0</v>
      </c>
      <c r="L31" s="11"/>
      <c r="M31" s="10" cm="1">
        <f t="array" ref="M31">IFERROR(INDEX(PQ_Juli!$B$2:$AF$1048,MATCH($C31,PQ_Juli!$A$2:$A$1048,0),MATCH(M$3&amp;"",PQ_Juli!$B$1:$AF$1&amp;"",0)),0)</f>
        <v>1</v>
      </c>
      <c r="N31" s="10" cm="1">
        <f t="array" ref="N31">IFERROR(INDEX(PQ_Juli!$B$2:$AF$1048,MATCH($C31,PQ_Juli!$A$2:$A$1048,0),MATCH(N$3&amp;"",PQ_Juli!$B$1:$AF$1&amp;"",0)),0)</f>
        <v>1</v>
      </c>
      <c r="O31" s="10" cm="1">
        <f t="array" ref="O31">IFERROR(INDEX(PQ_Juli!$B$2:$AF$1048,MATCH($C31,PQ_Juli!$A$2:$A$1048,0),MATCH(O$3&amp;"",PQ_Juli!$B$1:$AF$1&amp;"",0)),0)</f>
        <v>0</v>
      </c>
      <c r="P31" s="10" cm="1">
        <f t="array" ref="P31">IFERROR(INDEX(PQ_Juli!$B$2:$AF$1048,MATCH($C31,PQ_Juli!$A$2:$A$1048,0),MATCH(P$3&amp;"",PQ_Juli!$B$1:$AF$1&amp;"",0)),0)</f>
        <v>0</v>
      </c>
      <c r="Q31" s="10" cm="1">
        <f t="array" ref="Q31">IFERROR(INDEX(PQ_Juli!$B$2:$AF$1048,MATCH($C31,PQ_Juli!$A$2:$A$1048,0),MATCH(Q$3&amp;"",PQ_Juli!$B$1:$AF$1&amp;"",0)),0)</f>
        <v>1</v>
      </c>
      <c r="R31" s="10" cm="1">
        <f t="array" ref="R31">IFERROR(INDEX(PQ_Juli!$B$2:$AF$1048,MATCH($C31,PQ_Juli!$A$2:$A$1048,0),MATCH(R$3&amp;"",PQ_Juli!$B$1:$AF$1&amp;"",0)),0)</f>
        <v>2</v>
      </c>
      <c r="S31" s="11"/>
      <c r="T31" s="10" cm="1">
        <f t="array" ref="T31">IFERROR(INDEX(PQ_Juli!$B$2:$AF$1048,MATCH($C31,PQ_Juli!$A$2:$A$1048,0),MATCH(T$3&amp;"",PQ_Juli!$B$1:$AF$1&amp;"",0)),0)</f>
        <v>1</v>
      </c>
      <c r="U31" s="10" cm="1">
        <f t="array" ref="U31">IFERROR(INDEX(PQ_Juli!$B$2:$AF$1048,MATCH($C31,PQ_Juli!$A$2:$A$1048,0),MATCH(U$3&amp;"",PQ_Juli!$B$1:$AF$1&amp;"",0)),0)</f>
        <v>2</v>
      </c>
      <c r="V31" s="10" cm="1">
        <f t="array" ref="V31">IFERROR(INDEX(PQ_Juli!$B$2:$AF$1048,MATCH($C31,PQ_Juli!$A$2:$A$1048,0),MATCH(V$3&amp;"",PQ_Juli!$B$1:$AF$1&amp;"",0)),0)</f>
        <v>1</v>
      </c>
      <c r="W31" s="10" cm="1">
        <f t="array" ref="W31">IFERROR(INDEX(PQ_Juli!$B$2:$AF$1048,MATCH($C31,PQ_Juli!$A$2:$A$1048,0),MATCH(W$3&amp;"",PQ_Juli!$B$1:$AF$1&amp;"",0)),0)</f>
        <v>0</v>
      </c>
      <c r="X31" s="10" cm="1">
        <f t="array" ref="X31">IFERROR(INDEX(PQ_Juli!$B$2:$AF$1048,MATCH($C31,PQ_Juli!$A$2:$A$1048,0),MATCH(X$3&amp;"",PQ_Juli!$B$1:$AF$1&amp;"",0)),0)</f>
        <v>2</v>
      </c>
      <c r="Y31" s="10" cm="1">
        <f t="array" ref="Y31">IFERROR(INDEX(PQ_Juli!$B$2:$AF$1048,MATCH($C31,PQ_Juli!$A$2:$A$1048,0),MATCH(Y$3&amp;"",PQ_Juli!$B$1:$AF$1&amp;"",0)),0)</f>
        <v>1</v>
      </c>
      <c r="Z31" s="11"/>
      <c r="AA31" s="10" cm="1">
        <f t="array" ref="AA31">IFERROR(INDEX(PQ_Juli!$B$2:$AF$1048,MATCH($C31,PQ_Juli!$A$2:$A$1048,0),MATCH(AA$3&amp;"",PQ_Juli!$B$1:$AF$1&amp;"",0)),0)</f>
        <v>4</v>
      </c>
      <c r="AB31" s="10" cm="1">
        <f t="array" ref="AB31">IFERROR(INDEX(PQ_Juli!$B$2:$AF$1048,MATCH($C31,PQ_Juli!$A$2:$A$1048,0),MATCH(AB$3&amp;"",PQ_Juli!$B$1:$AF$1&amp;"",0)),0)</f>
        <v>0</v>
      </c>
      <c r="AC31" s="10" cm="1">
        <f t="array" ref="AC31">IFERROR(INDEX(PQ_Juli!$B$2:$AF$1048,MATCH($C31,PQ_Juli!$A$2:$A$1048,0),MATCH(AC$3&amp;"",PQ_Juli!$B$1:$AF$1&amp;"",0)),0)</f>
        <v>2</v>
      </c>
      <c r="AD31" s="10" cm="1">
        <f t="array" ref="AD31">IFERROR(INDEX(PQ_Juli!$B$2:$AF$1048,MATCH($C31,PQ_Juli!$A$2:$A$1048,0),MATCH(AD$3&amp;"",PQ_Juli!$B$1:$AF$1&amp;"",0)),0)</f>
        <v>2</v>
      </c>
      <c r="AE31" s="10" cm="1">
        <f t="array" ref="AE31">IFERROR(INDEX(PQ_Juli!$B$2:$AF$1048,MATCH($C31,PQ_Juli!$A$2:$A$1048,0),MATCH(AE$3&amp;"",PQ_Juli!$B$1:$AF$1&amp;"",0)),0)</f>
        <v>1</v>
      </c>
      <c r="AF31" s="10" cm="1">
        <f t="array" ref="AF31">IFERROR(INDEX(PQ_Juli!$B$2:$AF$1048,MATCH($C31,PQ_Juli!$A$2:$A$1048,0),MATCH(AF$3&amp;"",PQ_Juli!$B$1:$AF$1&amp;"",0)),0)</f>
        <v>0</v>
      </c>
      <c r="AG31" s="11"/>
      <c r="AH31" s="10" cm="1">
        <f t="array" ref="AH31">IFERROR(INDEX(PQ_Juli!$B$2:$AF$1048,MATCH($C31,PQ_Juli!$A$2:$A$1048,0),MATCH(AH$3&amp;"",PQ_Juli!$B$1:$AF$1&amp;"",0)),0)</f>
        <v>3</v>
      </c>
      <c r="AI31" s="10" cm="1">
        <f t="array" ref="AI31">IFERROR(INDEX(PQ_Juli!$B$2:$AF$1048,MATCH($C31,PQ_Juli!$A$2:$A$1048,0),MATCH(AI$3&amp;"",PQ_Juli!$B$1:$AF$1&amp;"",0)),0)</f>
        <v>1</v>
      </c>
      <c r="AJ31" s="10" cm="1">
        <f t="array" ref="AJ31">IFERROR(INDEX(PQ_Juli!$B$2:$AF$1048,MATCH($C31,PQ_Juli!$A$2:$A$1048,0),MATCH(AJ$3&amp;"",PQ_Juli!$B$1:$AF$1&amp;"",0)),0)</f>
        <v>1</v>
      </c>
      <c r="AK31" s="10" cm="1">
        <f t="array" ref="AK31">IFERROR(INDEX(PQ_Juli!$B$2:$AF$1048,MATCH($C31,PQ_Juli!$A$2:$A$1048,0),MATCH(AK$3&amp;"",PQ_Juli!$B$1:$AF$1&amp;"",0)),0)</f>
        <v>0</v>
      </c>
      <c r="AL31" s="10" cm="1">
        <f t="array" ref="AL31">IFERROR(INDEX(PQ_Juli!$B$2:$AF$1048,MATCH($C31,PQ_Juli!$A$2:$A$1048,0),MATCH(AL$3&amp;"",PQ_Juli!$B$1:$AF$1&amp;"",0)),0)</f>
        <v>0</v>
      </c>
      <c r="AM31" s="13">
        <v>8</v>
      </c>
      <c r="AN31" s="14">
        <f t="shared" si="4"/>
        <v>34</v>
      </c>
      <c r="AO31" s="18">
        <f t="shared" si="1"/>
        <v>37</v>
      </c>
      <c r="AP31" s="23">
        <v>30</v>
      </c>
      <c r="AQ31" s="23" t="s">
        <v>21</v>
      </c>
      <c r="AR31" s="92"/>
      <c r="AS31" s="29"/>
      <c r="AT31" s="92"/>
      <c r="AU31" s="29"/>
      <c r="AV31" s="92"/>
      <c r="AW31" s="92"/>
      <c r="AX31" s="29">
        <f t="shared" si="5"/>
        <v>0</v>
      </c>
      <c r="AY31" s="29">
        <f t="shared" si="6"/>
        <v>0</v>
      </c>
      <c r="AZ31" s="18">
        <f t="shared" si="2"/>
        <v>0</v>
      </c>
      <c r="BA31" s="18">
        <f t="shared" si="3"/>
        <v>37</v>
      </c>
      <c r="BB31" s="21"/>
      <c r="BC31" s="30"/>
      <c r="BD31" s="30"/>
      <c r="BE31" s="30"/>
      <c r="BF31" s="30"/>
      <c r="BN31" s="41">
        <v>63</v>
      </c>
    </row>
    <row r="32" spans="1:66" ht="22.5" customHeight="1">
      <c r="A32" s="260">
        <f t="shared" si="0"/>
        <v>22</v>
      </c>
      <c r="B32" s="261"/>
      <c r="C32" s="74" t="s">
        <v>127</v>
      </c>
      <c r="D32" s="75">
        <v>30</v>
      </c>
      <c r="E32" s="75">
        <v>12</v>
      </c>
      <c r="F32" s="75">
        <v>21</v>
      </c>
      <c r="G32" s="41">
        <v>15</v>
      </c>
      <c r="H32" s="10" cm="1">
        <f t="array" ref="H32">IFERROR(INDEX(PQ_Juli!$B$2:$AF$1048,MATCH($C32,PQ_Juli!$A$2:$A$1048,0),MATCH(H$3&amp;"",PQ_Juli!$B$1:$AF$1&amp;"",0)),0)</f>
        <v>0</v>
      </c>
      <c r="I32" s="10" cm="1">
        <f t="array" ref="I32">IFERROR(INDEX(PQ_Juli!$B$2:$AF$1048,MATCH($C32,PQ_Juli!$A$2:$A$1048,0),MATCH(I$3&amp;"",PQ_Juli!$B$1:$AF$1&amp;"",0)),0)</f>
        <v>0</v>
      </c>
      <c r="J32" s="10" cm="1">
        <f t="array" ref="J32">IFERROR(INDEX(PQ_Juli!$B$2:$AF$1048,MATCH($C32,PQ_Juli!$A$2:$A$1048,0),MATCH(J$3&amp;"",PQ_Juli!$B$1:$AF$1&amp;"",0)),0)</f>
        <v>1</v>
      </c>
      <c r="K32" s="10" cm="1">
        <f t="array" ref="K32">IFERROR(INDEX(PQ_Juli!$B$2:$AF$1048,MATCH($C32,PQ_Juli!$A$2:$A$1048,0),MATCH(K$3&amp;"",PQ_Juli!$B$1:$AF$1&amp;"",0)),0)</f>
        <v>0</v>
      </c>
      <c r="L32" s="11"/>
      <c r="M32" s="10" cm="1">
        <f t="array" ref="M32">IFERROR(INDEX(PQ_Juli!$B$2:$AF$1048,MATCH($C32,PQ_Juli!$A$2:$A$1048,0),MATCH(M$3&amp;"",PQ_Juli!$B$1:$AF$1&amp;"",0)),0)</f>
        <v>1</v>
      </c>
      <c r="N32" s="10" cm="1">
        <f t="array" ref="N32">IFERROR(INDEX(PQ_Juli!$B$2:$AF$1048,MATCH($C32,PQ_Juli!$A$2:$A$1048,0),MATCH(N$3&amp;"",PQ_Juli!$B$1:$AF$1&amp;"",0)),0)</f>
        <v>1</v>
      </c>
      <c r="O32" s="10" cm="1">
        <f t="array" ref="O32">IFERROR(INDEX(PQ_Juli!$B$2:$AF$1048,MATCH($C32,PQ_Juli!$A$2:$A$1048,0),MATCH(O$3&amp;"",PQ_Juli!$B$1:$AF$1&amp;"",0)),0)</f>
        <v>0</v>
      </c>
      <c r="P32" s="10" cm="1">
        <f t="array" ref="P32">IFERROR(INDEX(PQ_Juli!$B$2:$AF$1048,MATCH($C32,PQ_Juli!$A$2:$A$1048,0),MATCH(P$3&amp;"",PQ_Juli!$B$1:$AF$1&amp;"",0)),0)</f>
        <v>1</v>
      </c>
      <c r="Q32" s="10" cm="1">
        <f t="array" ref="Q32">IFERROR(INDEX(PQ_Juli!$B$2:$AF$1048,MATCH($C32,PQ_Juli!$A$2:$A$1048,0),MATCH(Q$3&amp;"",PQ_Juli!$B$1:$AF$1&amp;"",0)),0)</f>
        <v>0</v>
      </c>
      <c r="R32" s="10" cm="1">
        <f t="array" ref="R32">IFERROR(INDEX(PQ_Juli!$B$2:$AF$1048,MATCH($C32,PQ_Juli!$A$2:$A$1048,0),MATCH(R$3&amp;"",PQ_Juli!$B$1:$AF$1&amp;"",0)),0)</f>
        <v>3</v>
      </c>
      <c r="S32" s="11"/>
      <c r="T32" s="10" cm="1">
        <f t="array" ref="T32">IFERROR(INDEX(PQ_Juli!$B$2:$AF$1048,MATCH($C32,PQ_Juli!$A$2:$A$1048,0),MATCH(T$3&amp;"",PQ_Juli!$B$1:$AF$1&amp;"",0)),0)</f>
        <v>1</v>
      </c>
      <c r="U32" s="10" cm="1">
        <f t="array" ref="U32">IFERROR(INDEX(PQ_Juli!$B$2:$AF$1048,MATCH($C32,PQ_Juli!$A$2:$A$1048,0),MATCH(U$3&amp;"",PQ_Juli!$B$1:$AF$1&amp;"",0)),0)</f>
        <v>2</v>
      </c>
      <c r="V32" s="10" cm="1">
        <f t="array" ref="V32">IFERROR(INDEX(PQ_Juli!$B$2:$AF$1048,MATCH($C32,PQ_Juli!$A$2:$A$1048,0),MATCH(V$3&amp;"",PQ_Juli!$B$1:$AF$1&amp;"",0)),0)</f>
        <v>0</v>
      </c>
      <c r="W32" s="10" cm="1">
        <f t="array" ref="W32">IFERROR(INDEX(PQ_Juli!$B$2:$AF$1048,MATCH($C32,PQ_Juli!$A$2:$A$1048,0),MATCH(W$3&amp;"",PQ_Juli!$B$1:$AF$1&amp;"",0)),0)</f>
        <v>0</v>
      </c>
      <c r="X32" s="10" cm="1">
        <f t="array" ref="X32">IFERROR(INDEX(PQ_Juli!$B$2:$AF$1048,MATCH($C32,PQ_Juli!$A$2:$A$1048,0),MATCH(X$3&amp;"",PQ_Juli!$B$1:$AF$1&amp;"",0)),0)</f>
        <v>0</v>
      </c>
      <c r="Y32" s="10" cm="1">
        <f t="array" ref="Y32">IFERROR(INDEX(PQ_Juli!$B$2:$AF$1048,MATCH($C32,PQ_Juli!$A$2:$A$1048,0),MATCH(Y$3&amp;"",PQ_Juli!$B$1:$AF$1&amp;"",0)),0)</f>
        <v>1</v>
      </c>
      <c r="Z32" s="11"/>
      <c r="AA32" s="10" cm="1">
        <f t="array" ref="AA32">IFERROR(INDEX(PQ_Juli!$B$2:$AF$1048,MATCH($C32,PQ_Juli!$A$2:$A$1048,0),MATCH(AA$3&amp;"",PQ_Juli!$B$1:$AF$1&amp;"",0)),0)</f>
        <v>1</v>
      </c>
      <c r="AB32" s="10" cm="1">
        <f t="array" ref="AB32">IFERROR(INDEX(PQ_Juli!$B$2:$AF$1048,MATCH($C32,PQ_Juli!$A$2:$A$1048,0),MATCH(AB$3&amp;"",PQ_Juli!$B$1:$AF$1&amp;"",0)),0)</f>
        <v>0</v>
      </c>
      <c r="AC32" s="10" cm="1">
        <f t="array" ref="AC32">IFERROR(INDEX(PQ_Juli!$B$2:$AF$1048,MATCH($C32,PQ_Juli!$A$2:$A$1048,0),MATCH(AC$3&amp;"",PQ_Juli!$B$1:$AF$1&amp;"",0)),0)</f>
        <v>1</v>
      </c>
      <c r="AD32" s="10" cm="1">
        <f t="array" ref="AD32">IFERROR(INDEX(PQ_Juli!$B$2:$AF$1048,MATCH($C32,PQ_Juli!$A$2:$A$1048,0),MATCH(AD$3&amp;"",PQ_Juli!$B$1:$AF$1&amp;"",0)),0)</f>
        <v>0</v>
      </c>
      <c r="AE32" s="10" cm="1">
        <f t="array" ref="AE32">IFERROR(INDEX(PQ_Juli!$B$2:$AF$1048,MATCH($C32,PQ_Juli!$A$2:$A$1048,0),MATCH(AE$3&amp;"",PQ_Juli!$B$1:$AF$1&amp;"",0)),0)</f>
        <v>2</v>
      </c>
      <c r="AF32" s="10" cm="1">
        <f t="array" ref="AF32">IFERROR(INDEX(PQ_Juli!$B$2:$AF$1048,MATCH($C32,PQ_Juli!$A$2:$A$1048,0),MATCH(AF$3&amp;"",PQ_Juli!$B$1:$AF$1&amp;"",0)),0)</f>
        <v>1</v>
      </c>
      <c r="AG32" s="11"/>
      <c r="AH32" s="10" cm="1">
        <f t="array" ref="AH32">IFERROR(INDEX(PQ_Juli!$B$2:$AF$1048,MATCH($C32,PQ_Juli!$A$2:$A$1048,0),MATCH(AH$3&amp;"",PQ_Juli!$B$1:$AF$1&amp;"",0)),0)</f>
        <v>2</v>
      </c>
      <c r="AI32" s="10" cm="1">
        <f t="array" ref="AI32">IFERROR(INDEX(PQ_Juli!$B$2:$AF$1048,MATCH($C32,PQ_Juli!$A$2:$A$1048,0),MATCH(AI$3&amp;"",PQ_Juli!$B$1:$AF$1&amp;"",0)),0)</f>
        <v>1</v>
      </c>
      <c r="AJ32" s="10" cm="1">
        <f t="array" ref="AJ32">IFERROR(INDEX(PQ_Juli!$B$2:$AF$1048,MATCH($C32,PQ_Juli!$A$2:$A$1048,0),MATCH(AJ$3&amp;"",PQ_Juli!$B$1:$AF$1&amp;"",0)),0)</f>
        <v>0</v>
      </c>
      <c r="AK32" s="10" cm="1">
        <f t="array" ref="AK32">IFERROR(INDEX(PQ_Juli!$B$2:$AF$1048,MATCH($C32,PQ_Juli!$A$2:$A$1048,0),MATCH(AK$3&amp;"",PQ_Juli!$B$1:$AF$1&amp;"",0)),0)</f>
        <v>0</v>
      </c>
      <c r="AL32" s="10" cm="1">
        <f t="array" ref="AL32">IFERROR(INDEX(PQ_Juli!$B$2:$AF$1048,MATCH($C32,PQ_Juli!$A$2:$A$1048,0),MATCH(AL$3&amp;"",PQ_Juli!$B$1:$AF$1&amp;"",0)),0)</f>
        <v>0</v>
      </c>
      <c r="AM32" s="13">
        <v>4</v>
      </c>
      <c r="AN32" s="14">
        <f t="shared" si="4"/>
        <v>23</v>
      </c>
      <c r="AO32" s="18">
        <f t="shared" si="1"/>
        <v>22</v>
      </c>
      <c r="AP32" s="23">
        <v>20</v>
      </c>
      <c r="AQ32" s="23" t="s">
        <v>21</v>
      </c>
      <c r="AR32" s="103">
        <v>46210</v>
      </c>
      <c r="AS32" s="63">
        <v>1</v>
      </c>
      <c r="AT32" s="103"/>
      <c r="AU32" s="63"/>
      <c r="AV32" s="127">
        <v>46213</v>
      </c>
      <c r="AW32" s="92"/>
      <c r="AX32" s="29">
        <f t="shared" si="5"/>
        <v>30</v>
      </c>
      <c r="AY32" s="29">
        <f t="shared" si="6"/>
        <v>0</v>
      </c>
      <c r="AZ32" s="18">
        <f t="shared" si="2"/>
        <v>30</v>
      </c>
      <c r="BA32" s="18">
        <f t="shared" si="3"/>
        <v>22</v>
      </c>
      <c r="BB32" s="21"/>
      <c r="BC32" s="30"/>
      <c r="BD32" s="30"/>
      <c r="BE32" s="30"/>
      <c r="BF32" s="30"/>
      <c r="BN32" s="41">
        <v>30</v>
      </c>
    </row>
    <row r="33" spans="1:66" ht="22.5" customHeight="1">
      <c r="A33" s="262">
        <f t="shared" si="0"/>
        <v>31</v>
      </c>
      <c r="B33" s="263"/>
      <c r="C33" s="74" t="s">
        <v>128</v>
      </c>
      <c r="D33" s="75">
        <v>30</v>
      </c>
      <c r="E33" s="75">
        <v>12</v>
      </c>
      <c r="F33" s="75">
        <v>14</v>
      </c>
      <c r="G33" s="41">
        <v>51</v>
      </c>
      <c r="H33" s="10" cm="1">
        <f t="array" ref="H33">IFERROR(INDEX(PQ_Juli!$B$2:$AF$1048,MATCH($C33,PQ_Juli!$A$2:$A$1048,0),MATCH(H$3&amp;"",PQ_Juli!$B$1:$AF$1&amp;"",0)),0)</f>
        <v>1</v>
      </c>
      <c r="I33" s="10" cm="1">
        <f t="array" ref="I33">IFERROR(INDEX(PQ_Juli!$B$2:$AF$1048,MATCH($C33,PQ_Juli!$A$2:$A$1048,0),MATCH(I$3&amp;"",PQ_Juli!$B$1:$AF$1&amp;"",0)),0)</f>
        <v>0</v>
      </c>
      <c r="J33" s="10" cm="1">
        <f t="array" ref="J33">IFERROR(INDEX(PQ_Juli!$B$2:$AF$1048,MATCH($C33,PQ_Juli!$A$2:$A$1048,0),MATCH(J$3&amp;"",PQ_Juli!$B$1:$AF$1&amp;"",0)),0)</f>
        <v>0</v>
      </c>
      <c r="K33" s="10" cm="1">
        <f t="array" ref="K33">IFERROR(INDEX(PQ_Juli!$B$2:$AF$1048,MATCH($C33,PQ_Juli!$A$2:$A$1048,0),MATCH(K$3&amp;"",PQ_Juli!$B$1:$AF$1&amp;"",0)),0)</f>
        <v>0</v>
      </c>
      <c r="L33" s="11"/>
      <c r="M33" s="10" cm="1">
        <f t="array" ref="M33">IFERROR(INDEX(PQ_Juli!$B$2:$AF$1048,MATCH($C33,PQ_Juli!$A$2:$A$1048,0),MATCH(M$3&amp;"",PQ_Juli!$B$1:$AF$1&amp;"",0)),0)</f>
        <v>1</v>
      </c>
      <c r="N33" s="10" cm="1">
        <f t="array" ref="N33">IFERROR(INDEX(PQ_Juli!$B$2:$AF$1048,MATCH($C33,PQ_Juli!$A$2:$A$1048,0),MATCH(N$3&amp;"",PQ_Juli!$B$1:$AF$1&amp;"",0)),0)</f>
        <v>0</v>
      </c>
      <c r="O33" s="10" cm="1">
        <f t="array" ref="O33">IFERROR(INDEX(PQ_Juli!$B$2:$AF$1048,MATCH($C33,PQ_Juli!$A$2:$A$1048,0),MATCH(O$3&amp;"",PQ_Juli!$B$1:$AF$1&amp;"",0)),0)</f>
        <v>0</v>
      </c>
      <c r="P33" s="10" cm="1">
        <f t="array" ref="P33">IFERROR(INDEX(PQ_Juli!$B$2:$AF$1048,MATCH($C33,PQ_Juli!$A$2:$A$1048,0),MATCH(P$3&amp;"",PQ_Juli!$B$1:$AF$1&amp;"",0)),0)</f>
        <v>0</v>
      </c>
      <c r="Q33" s="10" cm="1">
        <f t="array" ref="Q33">IFERROR(INDEX(PQ_Juli!$B$2:$AF$1048,MATCH($C33,PQ_Juli!$A$2:$A$1048,0),MATCH(Q$3&amp;"",PQ_Juli!$B$1:$AF$1&amp;"",0)),0)</f>
        <v>1</v>
      </c>
      <c r="R33" s="10" cm="1">
        <f t="array" ref="R33">IFERROR(INDEX(PQ_Juli!$B$2:$AF$1048,MATCH($C33,PQ_Juli!$A$2:$A$1048,0),MATCH(R$3&amp;"",PQ_Juli!$B$1:$AF$1&amp;"",0)),0)</f>
        <v>1</v>
      </c>
      <c r="S33" s="11"/>
      <c r="T33" s="10" cm="1">
        <f t="array" ref="T33">IFERROR(INDEX(PQ_Juli!$B$2:$AF$1048,MATCH($C33,PQ_Juli!$A$2:$A$1048,0),MATCH(T$3&amp;"",PQ_Juli!$B$1:$AF$1&amp;"",0)),0)</f>
        <v>2</v>
      </c>
      <c r="U33" s="10" cm="1">
        <f t="array" ref="U33">IFERROR(INDEX(PQ_Juli!$B$2:$AF$1048,MATCH($C33,PQ_Juli!$A$2:$A$1048,0),MATCH(U$3&amp;"",PQ_Juli!$B$1:$AF$1&amp;"",0)),0)</f>
        <v>2</v>
      </c>
      <c r="V33" s="10" cm="1">
        <f t="array" ref="V33">IFERROR(INDEX(PQ_Juli!$B$2:$AF$1048,MATCH($C33,PQ_Juli!$A$2:$A$1048,0),MATCH(V$3&amp;"",PQ_Juli!$B$1:$AF$1&amp;"",0)),0)</f>
        <v>0</v>
      </c>
      <c r="W33" s="10" cm="1">
        <f t="array" ref="W33">IFERROR(INDEX(PQ_Juli!$B$2:$AF$1048,MATCH($C33,PQ_Juli!$A$2:$A$1048,0),MATCH(W$3&amp;"",PQ_Juli!$B$1:$AF$1&amp;"",0)),0)</f>
        <v>0</v>
      </c>
      <c r="X33" s="10" cm="1">
        <f t="array" ref="X33">IFERROR(INDEX(PQ_Juli!$B$2:$AF$1048,MATCH($C33,PQ_Juli!$A$2:$A$1048,0),MATCH(X$3&amp;"",PQ_Juli!$B$1:$AF$1&amp;"",0)),0)</f>
        <v>0</v>
      </c>
      <c r="Y33" s="10" cm="1">
        <f t="array" ref="Y33">IFERROR(INDEX(PQ_Juli!$B$2:$AF$1048,MATCH($C33,PQ_Juli!$A$2:$A$1048,0),MATCH(Y$3&amp;"",PQ_Juli!$B$1:$AF$1&amp;"",0)),0)</f>
        <v>0</v>
      </c>
      <c r="Z33" s="11"/>
      <c r="AA33" s="10" cm="1">
        <f t="array" ref="AA33">IFERROR(INDEX(PQ_Juli!$B$2:$AF$1048,MATCH($C33,PQ_Juli!$A$2:$A$1048,0),MATCH(AA$3&amp;"",PQ_Juli!$B$1:$AF$1&amp;"",0)),0)</f>
        <v>0</v>
      </c>
      <c r="AB33" s="10" cm="1">
        <f t="array" ref="AB33">IFERROR(INDEX(PQ_Juli!$B$2:$AF$1048,MATCH($C33,PQ_Juli!$A$2:$A$1048,0),MATCH(AB$3&amp;"",PQ_Juli!$B$1:$AF$1&amp;"",0)),0)</f>
        <v>1</v>
      </c>
      <c r="AC33" s="10" cm="1">
        <f t="array" ref="AC33">IFERROR(INDEX(PQ_Juli!$B$2:$AF$1048,MATCH($C33,PQ_Juli!$A$2:$A$1048,0),MATCH(AC$3&amp;"",PQ_Juli!$B$1:$AF$1&amp;"",0)),0)</f>
        <v>1</v>
      </c>
      <c r="AD33" s="10" cm="1">
        <f t="array" ref="AD33">IFERROR(INDEX(PQ_Juli!$B$2:$AF$1048,MATCH($C33,PQ_Juli!$A$2:$A$1048,0),MATCH(AD$3&amp;"",PQ_Juli!$B$1:$AF$1&amp;"",0)),0)</f>
        <v>0</v>
      </c>
      <c r="AE33" s="10" cm="1">
        <f t="array" ref="AE33">IFERROR(INDEX(PQ_Juli!$B$2:$AF$1048,MATCH($C33,PQ_Juli!$A$2:$A$1048,0),MATCH(AE$3&amp;"",PQ_Juli!$B$1:$AF$1&amp;"",0)),0)</f>
        <v>4</v>
      </c>
      <c r="AF33" s="10" cm="1">
        <f t="array" ref="AF33">IFERROR(INDEX(PQ_Juli!$B$2:$AF$1048,MATCH($C33,PQ_Juli!$A$2:$A$1048,0),MATCH(AF$3&amp;"",PQ_Juli!$B$1:$AF$1&amp;"",0)),0)</f>
        <v>0</v>
      </c>
      <c r="AG33" s="11"/>
      <c r="AH33" s="10" cm="1">
        <f t="array" ref="AH33">IFERROR(INDEX(PQ_Juli!$B$2:$AF$1048,MATCH($C33,PQ_Juli!$A$2:$A$1048,0),MATCH(AH$3&amp;"",PQ_Juli!$B$1:$AF$1&amp;"",0)),0)</f>
        <v>1</v>
      </c>
      <c r="AI33" s="10" cm="1">
        <f t="array" ref="AI33">IFERROR(INDEX(PQ_Juli!$B$2:$AF$1048,MATCH($C33,PQ_Juli!$A$2:$A$1048,0),MATCH(AI$3&amp;"",PQ_Juli!$B$1:$AF$1&amp;"",0)),0)</f>
        <v>0</v>
      </c>
      <c r="AJ33" s="10" cm="1">
        <f t="array" ref="AJ33">IFERROR(INDEX(PQ_Juli!$B$2:$AF$1048,MATCH($C33,PQ_Juli!$A$2:$A$1048,0),MATCH(AJ$3&amp;"",PQ_Juli!$B$1:$AF$1&amp;"",0)),0)</f>
        <v>0</v>
      </c>
      <c r="AK33" s="10" cm="1">
        <f t="array" ref="AK33">IFERROR(INDEX(PQ_Juli!$B$2:$AF$1048,MATCH($C33,PQ_Juli!$A$2:$A$1048,0),MATCH(AK$3&amp;"",PQ_Juli!$B$1:$AF$1&amp;"",0)),0)</f>
        <v>0</v>
      </c>
      <c r="AL33" s="10" cm="1">
        <f t="array" ref="AL33">IFERROR(INDEX(PQ_Juli!$B$2:$AF$1048,MATCH($C33,PQ_Juli!$A$2:$A$1048,0),MATCH(AL$3&amp;"",PQ_Juli!$B$1:$AF$1&amp;"",0)),0)</f>
        <v>1</v>
      </c>
      <c r="AM33" s="13">
        <v>4</v>
      </c>
      <c r="AN33" s="14">
        <f t="shared" si="4"/>
        <v>20</v>
      </c>
      <c r="AO33" s="18">
        <f t="shared" si="1"/>
        <v>31</v>
      </c>
      <c r="AP33" s="23">
        <v>20</v>
      </c>
      <c r="AQ33" s="51" t="s">
        <v>21</v>
      </c>
      <c r="AR33" s="105"/>
      <c r="AS33" s="104"/>
      <c r="AT33" s="105"/>
      <c r="AU33" s="104"/>
      <c r="AV33" s="105"/>
      <c r="AW33" s="125"/>
      <c r="AX33" s="29">
        <f t="shared" si="5"/>
        <v>0</v>
      </c>
      <c r="AY33" s="29">
        <f t="shared" si="6"/>
        <v>0</v>
      </c>
      <c r="AZ33" s="18">
        <f t="shared" si="2"/>
        <v>0</v>
      </c>
      <c r="BA33" s="18">
        <f t="shared" si="3"/>
        <v>31</v>
      </c>
      <c r="BB33" s="21"/>
      <c r="BC33" s="30"/>
      <c r="BD33" s="30"/>
      <c r="BE33" s="30"/>
      <c r="BF33" s="30"/>
      <c r="BN33" s="41">
        <v>8</v>
      </c>
    </row>
    <row r="34" spans="1:66" ht="22.5" customHeight="1">
      <c r="A34" s="262" t="e">
        <f t="shared" si="0"/>
        <v>#REF!</v>
      </c>
      <c r="B34" s="263"/>
      <c r="C34" s="74" t="s">
        <v>95</v>
      </c>
      <c r="D34" s="75">
        <v>30</v>
      </c>
      <c r="E34" s="75">
        <v>3</v>
      </c>
      <c r="F34" s="75">
        <v>1</v>
      </c>
      <c r="G34" s="41" t="e">
        <f>#REF!</f>
        <v>#REF!</v>
      </c>
      <c r="H34" s="10" cm="1">
        <f t="array" ref="H34">IFERROR(INDEX(PQ_Juli!$B$2:$AF$1048,MATCH($C34,PQ_Juli!$A$2:$A$1048,0),MATCH(H$3&amp;"",PQ_Juli!$B$1:$AF$1&amp;"",0)),0)</f>
        <v>0</v>
      </c>
      <c r="I34" s="10" cm="1">
        <f t="array" ref="I34">IFERROR(INDEX(PQ_Juli!$B$2:$AF$1048,MATCH($C34,PQ_Juli!$A$2:$A$1048,0),MATCH(I$3&amp;"",PQ_Juli!$B$1:$AF$1&amp;"",0)),0)</f>
        <v>0</v>
      </c>
      <c r="J34" s="10" cm="1">
        <f t="array" ref="J34">IFERROR(INDEX(PQ_Juli!$B$2:$AF$1048,MATCH($C34,PQ_Juli!$A$2:$A$1048,0),MATCH(J$3&amp;"",PQ_Juli!$B$1:$AF$1&amp;"",0)),0)</f>
        <v>0</v>
      </c>
      <c r="K34" s="10" cm="1">
        <f t="array" ref="K34">IFERROR(INDEX(PQ_Juli!$B$2:$AF$1048,MATCH($C34,PQ_Juli!$A$2:$A$1048,0),MATCH(K$3&amp;"",PQ_Juli!$B$1:$AF$1&amp;"",0)),0)</f>
        <v>0</v>
      </c>
      <c r="L34" s="11"/>
      <c r="M34" s="10" cm="1">
        <f t="array" ref="M34">IFERROR(INDEX(PQ_Juli!$B$2:$AF$1048,MATCH($C34,PQ_Juli!$A$2:$A$1048,0),MATCH(M$3&amp;"",PQ_Juli!$B$1:$AF$1&amp;"",0)),0)</f>
        <v>0</v>
      </c>
      <c r="N34" s="10" cm="1">
        <f t="array" ref="N34">IFERROR(INDEX(PQ_Juli!$B$2:$AF$1048,MATCH($C34,PQ_Juli!$A$2:$A$1048,0),MATCH(N$3&amp;"",PQ_Juli!$B$1:$AF$1&amp;"",0)),0)</f>
        <v>0</v>
      </c>
      <c r="O34" s="10" cm="1">
        <f t="array" ref="O34">IFERROR(INDEX(PQ_Juli!$B$2:$AF$1048,MATCH($C34,PQ_Juli!$A$2:$A$1048,0),MATCH(O$3&amp;"",PQ_Juli!$B$1:$AF$1&amp;"",0)),0)</f>
        <v>0</v>
      </c>
      <c r="P34" s="10" cm="1">
        <f t="array" ref="P34">IFERROR(INDEX(PQ_Juli!$B$2:$AF$1048,MATCH($C34,PQ_Juli!$A$2:$A$1048,0),MATCH(P$3&amp;"",PQ_Juli!$B$1:$AF$1&amp;"",0)),0)</f>
        <v>0</v>
      </c>
      <c r="Q34" s="10" cm="1">
        <f t="array" ref="Q34">IFERROR(INDEX(PQ_Juli!$B$2:$AF$1048,MATCH($C34,PQ_Juli!$A$2:$A$1048,0),MATCH(Q$3&amp;"",PQ_Juli!$B$1:$AF$1&amp;"",0)),0)</f>
        <v>0</v>
      </c>
      <c r="R34" s="10" cm="1">
        <f t="array" ref="R34">IFERROR(INDEX(PQ_Juli!$B$2:$AF$1048,MATCH($C34,PQ_Juli!$A$2:$A$1048,0),MATCH(R$3&amp;"",PQ_Juli!$B$1:$AF$1&amp;"",0)),0)</f>
        <v>0</v>
      </c>
      <c r="S34" s="11"/>
      <c r="T34" s="10" cm="1">
        <f t="array" ref="T34">IFERROR(INDEX(PQ_Juli!$B$2:$AF$1048,MATCH($C34,PQ_Juli!$A$2:$A$1048,0),MATCH(T$3&amp;"",PQ_Juli!$B$1:$AF$1&amp;"",0)),0)</f>
        <v>0</v>
      </c>
      <c r="U34" s="10" cm="1">
        <f t="array" ref="U34">IFERROR(INDEX(PQ_Juli!$B$2:$AF$1048,MATCH($C34,PQ_Juli!$A$2:$A$1048,0),MATCH(U$3&amp;"",PQ_Juli!$B$1:$AF$1&amp;"",0)),0)</f>
        <v>0</v>
      </c>
      <c r="V34" s="10" cm="1">
        <f t="array" ref="V34">IFERROR(INDEX(PQ_Juli!$B$2:$AF$1048,MATCH($C34,PQ_Juli!$A$2:$A$1048,0),MATCH(V$3&amp;"",PQ_Juli!$B$1:$AF$1&amp;"",0)),0)</f>
        <v>0</v>
      </c>
      <c r="W34" s="10" cm="1">
        <f t="array" ref="W34">IFERROR(INDEX(PQ_Juli!$B$2:$AF$1048,MATCH($C34,PQ_Juli!$A$2:$A$1048,0),MATCH(W$3&amp;"",PQ_Juli!$B$1:$AF$1&amp;"",0)),0)</f>
        <v>0</v>
      </c>
      <c r="X34" s="10" cm="1">
        <f t="array" ref="X34">IFERROR(INDEX(PQ_Juli!$B$2:$AF$1048,MATCH($C34,PQ_Juli!$A$2:$A$1048,0),MATCH(X$3&amp;"",PQ_Juli!$B$1:$AF$1&amp;"",0)),0)</f>
        <v>0</v>
      </c>
      <c r="Y34" s="10" cm="1">
        <f t="array" ref="Y34">IFERROR(INDEX(PQ_Juli!$B$2:$AF$1048,MATCH($C34,PQ_Juli!$A$2:$A$1048,0),MATCH(Y$3&amp;"",PQ_Juli!$B$1:$AF$1&amp;"",0)),0)</f>
        <v>0</v>
      </c>
      <c r="Z34" s="11"/>
      <c r="AA34" s="10" cm="1">
        <f t="array" ref="AA34">IFERROR(INDEX(PQ_Juli!$B$2:$AF$1048,MATCH($C34,PQ_Juli!$A$2:$A$1048,0),MATCH(AA$3&amp;"",PQ_Juli!$B$1:$AF$1&amp;"",0)),0)</f>
        <v>0</v>
      </c>
      <c r="AB34" s="10" cm="1">
        <f t="array" ref="AB34">IFERROR(INDEX(PQ_Juli!$B$2:$AF$1048,MATCH($C34,PQ_Juli!$A$2:$A$1048,0),MATCH(AB$3&amp;"",PQ_Juli!$B$1:$AF$1&amp;"",0)),0)</f>
        <v>0</v>
      </c>
      <c r="AC34" s="10" cm="1">
        <f t="array" ref="AC34">IFERROR(INDEX(PQ_Juli!$B$2:$AF$1048,MATCH($C34,PQ_Juli!$A$2:$A$1048,0),MATCH(AC$3&amp;"",PQ_Juli!$B$1:$AF$1&amp;"",0)),0)</f>
        <v>0</v>
      </c>
      <c r="AD34" s="10" cm="1">
        <f t="array" ref="AD34">IFERROR(INDEX(PQ_Juli!$B$2:$AF$1048,MATCH($C34,PQ_Juli!$A$2:$A$1048,0),MATCH(AD$3&amp;"",PQ_Juli!$B$1:$AF$1&amp;"",0)),0)</f>
        <v>0</v>
      </c>
      <c r="AE34" s="10" cm="1">
        <f t="array" ref="AE34">IFERROR(INDEX(PQ_Juli!$B$2:$AF$1048,MATCH($C34,PQ_Juli!$A$2:$A$1048,0),MATCH(AE$3&amp;"",PQ_Juli!$B$1:$AF$1&amp;"",0)),0)</f>
        <v>0</v>
      </c>
      <c r="AF34" s="10" cm="1">
        <f t="array" ref="AF34">IFERROR(INDEX(PQ_Juli!$B$2:$AF$1048,MATCH($C34,PQ_Juli!$A$2:$A$1048,0),MATCH(AF$3&amp;"",PQ_Juli!$B$1:$AF$1&amp;"",0)),0)</f>
        <v>0</v>
      </c>
      <c r="AG34" s="11"/>
      <c r="AH34" s="10" cm="1">
        <f t="array" ref="AH34">IFERROR(INDEX(PQ_Juli!$B$2:$AF$1048,MATCH($C34,PQ_Juli!$A$2:$A$1048,0),MATCH(AH$3&amp;"",PQ_Juli!$B$1:$AF$1&amp;"",0)),0)</f>
        <v>0</v>
      </c>
      <c r="AI34" s="10" cm="1">
        <f t="array" ref="AI34">IFERROR(INDEX(PQ_Juli!$B$2:$AF$1048,MATCH($C34,PQ_Juli!$A$2:$A$1048,0),MATCH(AI$3&amp;"",PQ_Juli!$B$1:$AF$1&amp;"",0)),0)</f>
        <v>0</v>
      </c>
      <c r="AJ34" s="10" cm="1">
        <f t="array" ref="AJ34">IFERROR(INDEX(PQ_Juli!$B$2:$AF$1048,MATCH($C34,PQ_Juli!$A$2:$A$1048,0),MATCH(AJ$3&amp;"",PQ_Juli!$B$1:$AF$1&amp;"",0)),0)</f>
        <v>0</v>
      </c>
      <c r="AK34" s="10" cm="1">
        <f t="array" ref="AK34">IFERROR(INDEX(PQ_Juli!$B$2:$AF$1048,MATCH($C34,PQ_Juli!$A$2:$A$1048,0),MATCH(AK$3&amp;"",PQ_Juli!$B$1:$AF$1&amp;"",0)),0)</f>
        <v>0</v>
      </c>
      <c r="AL34" s="10" cm="1">
        <f t="array" ref="AL34">IFERROR(INDEX(PQ_Juli!$B$2:$AF$1048,MATCH($C34,PQ_Juli!$A$2:$A$1048,0),MATCH(AL$3&amp;"",PQ_Juli!$B$1:$AF$1&amp;"",0)),0)</f>
        <v>0</v>
      </c>
      <c r="AM34" s="13">
        <v>3</v>
      </c>
      <c r="AN34" s="14">
        <f t="shared" si="4"/>
        <v>3</v>
      </c>
      <c r="AO34" s="18" t="e">
        <f t="shared" si="1"/>
        <v>#REF!</v>
      </c>
      <c r="AP34" s="23">
        <v>10</v>
      </c>
      <c r="AQ34" s="51" t="s">
        <v>21</v>
      </c>
      <c r="AR34" s="128"/>
      <c r="AS34" s="129"/>
      <c r="AT34" s="105"/>
      <c r="AU34" s="104"/>
      <c r="AV34" s="105"/>
      <c r="AW34" s="125"/>
      <c r="AX34" s="29">
        <f t="shared" si="5"/>
        <v>0</v>
      </c>
      <c r="AY34" s="29">
        <f t="shared" si="6"/>
        <v>0</v>
      </c>
      <c r="AZ34" s="18">
        <f t="shared" si="2"/>
        <v>0</v>
      </c>
      <c r="BA34" s="18" t="e">
        <f t="shared" si="3"/>
        <v>#REF!</v>
      </c>
      <c r="BB34" s="21"/>
      <c r="BC34" s="30"/>
      <c r="BD34" s="30"/>
      <c r="BE34" s="30"/>
      <c r="BF34" s="30"/>
      <c r="BN34" s="41">
        <v>26</v>
      </c>
    </row>
    <row r="35" spans="1:66" ht="22.5" customHeight="1">
      <c r="A35" s="260">
        <f t="shared" si="0"/>
        <v>66</v>
      </c>
      <c r="B35" s="261"/>
      <c r="C35" s="74" t="s">
        <v>129</v>
      </c>
      <c r="D35" s="75">
        <v>60</v>
      </c>
      <c r="E35" s="75">
        <v>0</v>
      </c>
      <c r="F35" s="75">
        <v>29</v>
      </c>
      <c r="G35" s="41">
        <v>28</v>
      </c>
      <c r="H35" s="10" cm="1">
        <f t="array" ref="H35">IFERROR(INDEX(PQ_Juli!$B$2:$AF$1048,MATCH($C35,PQ_Juli!$A$2:$A$1048,0),MATCH(H$3&amp;"",PQ_Juli!$B$1:$AF$1&amp;"",0)),0)</f>
        <v>5</v>
      </c>
      <c r="I35" s="10" cm="1">
        <f t="array" ref="I35">IFERROR(INDEX(PQ_Juli!$B$2:$AF$1048,MATCH($C35,PQ_Juli!$A$2:$A$1048,0),MATCH(I$3&amp;"",PQ_Juli!$B$1:$AF$1&amp;"",0)),0)</f>
        <v>2</v>
      </c>
      <c r="J35" s="10" cm="1">
        <f t="array" ref="J35">IFERROR(INDEX(PQ_Juli!$B$2:$AF$1048,MATCH($C35,PQ_Juli!$A$2:$A$1048,0),MATCH(J$3&amp;"",PQ_Juli!$B$1:$AF$1&amp;"",0)),0)</f>
        <v>2</v>
      </c>
      <c r="K35" s="10" cm="1">
        <f t="array" ref="K35">IFERROR(INDEX(PQ_Juli!$B$2:$AF$1048,MATCH($C35,PQ_Juli!$A$2:$A$1048,0),MATCH(K$3&amp;"",PQ_Juli!$B$1:$AF$1&amp;"",0)),0)</f>
        <v>2</v>
      </c>
      <c r="L35" s="11"/>
      <c r="M35" s="10" cm="1">
        <f t="array" ref="M35">IFERROR(INDEX(PQ_Juli!$B$2:$AF$1048,MATCH($C35,PQ_Juli!$A$2:$A$1048,0),MATCH(M$3&amp;"",PQ_Juli!$B$1:$AF$1&amp;"",0)),0)</f>
        <v>3</v>
      </c>
      <c r="N35" s="10" cm="1">
        <f t="array" ref="N35">IFERROR(INDEX(PQ_Juli!$B$2:$AF$1048,MATCH($C35,PQ_Juli!$A$2:$A$1048,0),MATCH(N$3&amp;"",PQ_Juli!$B$1:$AF$1&amp;"",0)),0)</f>
        <v>4</v>
      </c>
      <c r="O35" s="10" cm="1">
        <f t="array" ref="O35">IFERROR(INDEX(PQ_Juli!$B$2:$AF$1048,MATCH($C35,PQ_Juli!$A$2:$A$1048,0),MATCH(O$3&amp;"",PQ_Juli!$B$1:$AF$1&amp;"",0)),0)</f>
        <v>4</v>
      </c>
      <c r="P35" s="10" cm="1">
        <f t="array" ref="P35">IFERROR(INDEX(PQ_Juli!$B$2:$AF$1048,MATCH($C35,PQ_Juli!$A$2:$A$1048,0),MATCH(P$3&amp;"",PQ_Juli!$B$1:$AF$1&amp;"",0)),0)</f>
        <v>2</v>
      </c>
      <c r="Q35" s="10" cm="1">
        <f t="array" ref="Q35">IFERROR(INDEX(PQ_Juli!$B$2:$AF$1048,MATCH($C35,PQ_Juli!$A$2:$A$1048,0),MATCH(Q$3&amp;"",PQ_Juli!$B$1:$AF$1&amp;"",0)),0)</f>
        <v>2</v>
      </c>
      <c r="R35" s="10" cm="1">
        <f t="array" ref="R35">IFERROR(INDEX(PQ_Juli!$B$2:$AF$1048,MATCH($C35,PQ_Juli!$A$2:$A$1048,0),MATCH(R$3&amp;"",PQ_Juli!$B$1:$AF$1&amp;"",0)),0)</f>
        <v>3</v>
      </c>
      <c r="S35" s="11"/>
      <c r="T35" s="10" cm="1">
        <f t="array" ref="T35">IFERROR(INDEX(PQ_Juli!$B$2:$AF$1048,MATCH($C35,PQ_Juli!$A$2:$A$1048,0),MATCH(T$3&amp;"",PQ_Juli!$B$1:$AF$1&amp;"",0)),0)</f>
        <v>5</v>
      </c>
      <c r="U35" s="10" cm="1">
        <f t="array" ref="U35">IFERROR(INDEX(PQ_Juli!$B$2:$AF$1048,MATCH($C35,PQ_Juli!$A$2:$A$1048,0),MATCH(U$3&amp;"",PQ_Juli!$B$1:$AF$1&amp;"",0)),0)</f>
        <v>2</v>
      </c>
      <c r="V35" s="10" cm="1">
        <f t="array" ref="V35">IFERROR(INDEX(PQ_Juli!$B$2:$AF$1048,MATCH($C35,PQ_Juli!$A$2:$A$1048,0),MATCH(V$3&amp;"",PQ_Juli!$B$1:$AF$1&amp;"",0)),0)</f>
        <v>4</v>
      </c>
      <c r="W35" s="10" cm="1">
        <f t="array" ref="W35">IFERROR(INDEX(PQ_Juli!$B$2:$AF$1048,MATCH($C35,PQ_Juli!$A$2:$A$1048,0),MATCH(W$3&amp;"",PQ_Juli!$B$1:$AF$1&amp;"",0)),0)</f>
        <v>1</v>
      </c>
      <c r="X35" s="10" cm="1">
        <f t="array" ref="X35">IFERROR(INDEX(PQ_Juli!$B$2:$AF$1048,MATCH($C35,PQ_Juli!$A$2:$A$1048,0),MATCH(X$3&amp;"",PQ_Juli!$B$1:$AF$1&amp;"",0)),0)</f>
        <v>2</v>
      </c>
      <c r="Y35" s="10" cm="1">
        <f t="array" ref="Y35">IFERROR(INDEX(PQ_Juli!$B$2:$AF$1048,MATCH($C35,PQ_Juli!$A$2:$A$1048,0),MATCH(Y$3&amp;"",PQ_Juli!$B$1:$AF$1&amp;"",0)),0)</f>
        <v>2</v>
      </c>
      <c r="Z35" s="11"/>
      <c r="AA35" s="10" cm="1">
        <f t="array" ref="AA35">IFERROR(INDEX(PQ_Juli!$B$2:$AF$1048,MATCH($C35,PQ_Juli!$A$2:$A$1048,0),MATCH(AA$3&amp;"",PQ_Juli!$B$1:$AF$1&amp;"",0)),0)</f>
        <v>2</v>
      </c>
      <c r="AB35" s="10" cm="1">
        <f t="array" ref="AB35">IFERROR(INDEX(PQ_Juli!$B$2:$AF$1048,MATCH($C35,PQ_Juli!$A$2:$A$1048,0),MATCH(AB$3&amp;"",PQ_Juli!$B$1:$AF$1&amp;"",0)),0)</f>
        <v>2</v>
      </c>
      <c r="AC35" s="10" cm="1">
        <f t="array" ref="AC35">IFERROR(INDEX(PQ_Juli!$B$2:$AF$1048,MATCH($C35,PQ_Juli!$A$2:$A$1048,0),MATCH(AC$3&amp;"",PQ_Juli!$B$1:$AF$1&amp;"",0)),0)</f>
        <v>2</v>
      </c>
      <c r="AD35" s="10" cm="1">
        <f t="array" ref="AD35">IFERROR(INDEX(PQ_Juli!$B$2:$AF$1048,MATCH($C35,PQ_Juli!$A$2:$A$1048,0),MATCH(AD$3&amp;"",PQ_Juli!$B$1:$AF$1&amp;"",0)),0)</f>
        <v>3</v>
      </c>
      <c r="AE35" s="10" cm="1">
        <f t="array" ref="AE35">IFERROR(INDEX(PQ_Juli!$B$2:$AF$1048,MATCH($C35,PQ_Juli!$A$2:$A$1048,0),MATCH(AE$3&amp;"",PQ_Juli!$B$1:$AF$1&amp;"",0)),0)</f>
        <v>3</v>
      </c>
      <c r="AF35" s="10" cm="1">
        <f t="array" ref="AF35">IFERROR(INDEX(PQ_Juli!$B$2:$AF$1048,MATCH($C35,PQ_Juli!$A$2:$A$1048,0),MATCH(AF$3&amp;"",PQ_Juli!$B$1:$AF$1&amp;"",0)),0)</f>
        <v>2</v>
      </c>
      <c r="AG35" s="11"/>
      <c r="AH35" s="10" cm="1">
        <f t="array" ref="AH35">IFERROR(INDEX(PQ_Juli!$B$2:$AF$1048,MATCH($C35,PQ_Juli!$A$2:$A$1048,0),MATCH(AH$3&amp;"",PQ_Juli!$B$1:$AF$1&amp;"",0)),0)</f>
        <v>3</v>
      </c>
      <c r="AI35" s="10" cm="1">
        <f t="array" ref="AI35">IFERROR(INDEX(PQ_Juli!$B$2:$AF$1048,MATCH($C35,PQ_Juli!$A$2:$A$1048,0),MATCH(AI$3&amp;"",PQ_Juli!$B$1:$AF$1&amp;"",0)),0)</f>
        <v>2</v>
      </c>
      <c r="AJ35" s="10" cm="1">
        <f t="array" ref="AJ35">IFERROR(INDEX(PQ_Juli!$B$2:$AF$1048,MATCH($C35,PQ_Juli!$A$2:$A$1048,0),MATCH(AJ$3&amp;"",PQ_Juli!$B$1:$AF$1&amp;"",0)),0)</f>
        <v>5</v>
      </c>
      <c r="AK35" s="10" cm="1">
        <f t="array" ref="AK35">IFERROR(INDEX(PQ_Juli!$B$2:$AF$1048,MATCH($C35,PQ_Juli!$A$2:$A$1048,0),MATCH(AK$3&amp;"",PQ_Juli!$B$1:$AF$1&amp;"",0)),0)</f>
        <v>0</v>
      </c>
      <c r="AL35" s="10" cm="1">
        <f t="array" ref="AL35">IFERROR(INDEX(PQ_Juli!$B$2:$AF$1048,MATCH($C35,PQ_Juli!$A$2:$A$1048,0),MATCH(AL$3&amp;"",PQ_Juli!$B$1:$AF$1&amp;"",0)),0)</f>
        <v>1</v>
      </c>
      <c r="AM35" s="13">
        <v>12</v>
      </c>
      <c r="AN35" s="14">
        <f t="shared" si="4"/>
        <v>82</v>
      </c>
      <c r="AO35" s="18">
        <f t="shared" si="1"/>
        <v>66</v>
      </c>
      <c r="AP35" s="23">
        <v>40</v>
      </c>
      <c r="AQ35" s="51" t="s">
        <v>21</v>
      </c>
      <c r="AR35" s="105">
        <v>46210</v>
      </c>
      <c r="AS35" s="104">
        <v>1</v>
      </c>
      <c r="AT35" s="105">
        <v>46219</v>
      </c>
      <c r="AU35" s="104">
        <v>1</v>
      </c>
      <c r="AV35" s="130">
        <v>46213</v>
      </c>
      <c r="AW35" s="126">
        <v>46231</v>
      </c>
      <c r="AX35" s="29">
        <f t="shared" si="5"/>
        <v>60</v>
      </c>
      <c r="AY35" s="29">
        <f t="shared" si="6"/>
        <v>60</v>
      </c>
      <c r="AZ35" s="18">
        <f t="shared" si="2"/>
        <v>120</v>
      </c>
      <c r="BA35" s="18">
        <f t="shared" si="3"/>
        <v>66</v>
      </c>
      <c r="BB35" s="21"/>
      <c r="BC35" s="30"/>
      <c r="BD35" s="30"/>
      <c r="BE35" s="30"/>
      <c r="BF35" s="30"/>
      <c r="BN35" s="41">
        <v>56</v>
      </c>
    </row>
    <row r="36" spans="1:66" ht="22.5" customHeight="1">
      <c r="A36" s="262" t="e">
        <f t="shared" si="0"/>
        <v>#REF!</v>
      </c>
      <c r="B36" s="263"/>
      <c r="C36" s="74" t="s">
        <v>130</v>
      </c>
      <c r="D36" s="75">
        <v>60</v>
      </c>
      <c r="E36" s="75">
        <v>9</v>
      </c>
      <c r="F36" s="75">
        <v>12</v>
      </c>
      <c r="G36" s="41" t="e">
        <f>#REF!</f>
        <v>#REF!</v>
      </c>
      <c r="H36" s="10" cm="1">
        <f t="array" ref="H36">IFERROR(INDEX(PQ_Juli!$B$2:$AF$1048,MATCH($C36,PQ_Juli!$A$2:$A$1048,0),MATCH(H$3&amp;"",PQ_Juli!$B$1:$AF$1&amp;"",0)),0)</f>
        <v>0</v>
      </c>
      <c r="I36" s="10" cm="1">
        <f t="array" ref="I36">IFERROR(INDEX(PQ_Juli!$B$2:$AF$1048,MATCH($C36,PQ_Juli!$A$2:$A$1048,0),MATCH(I$3&amp;"",PQ_Juli!$B$1:$AF$1&amp;"",0)),0)</f>
        <v>0</v>
      </c>
      <c r="J36" s="10" cm="1">
        <f t="array" ref="J36">IFERROR(INDEX(PQ_Juli!$B$2:$AF$1048,MATCH($C36,PQ_Juli!$A$2:$A$1048,0),MATCH(J$3&amp;"",PQ_Juli!$B$1:$AF$1&amp;"",0)),0)</f>
        <v>0</v>
      </c>
      <c r="K36" s="10" cm="1">
        <f t="array" ref="K36">IFERROR(INDEX(PQ_Juli!$B$2:$AF$1048,MATCH($C36,PQ_Juli!$A$2:$A$1048,0),MATCH(K$3&amp;"",PQ_Juli!$B$1:$AF$1&amp;"",0)),0)</f>
        <v>1</v>
      </c>
      <c r="L36" s="11"/>
      <c r="M36" s="10" cm="1">
        <f t="array" ref="M36">IFERROR(INDEX(PQ_Juli!$B$2:$AF$1048,MATCH($C36,PQ_Juli!$A$2:$A$1048,0),MATCH(M$3&amp;"",PQ_Juli!$B$1:$AF$1&amp;"",0)),0)</f>
        <v>1</v>
      </c>
      <c r="N36" s="10" cm="1">
        <f t="array" ref="N36">IFERROR(INDEX(PQ_Juli!$B$2:$AF$1048,MATCH($C36,PQ_Juli!$A$2:$A$1048,0),MATCH(N$3&amp;"",PQ_Juli!$B$1:$AF$1&amp;"",0)),0)</f>
        <v>1</v>
      </c>
      <c r="O36" s="10" cm="1">
        <f t="array" ref="O36">IFERROR(INDEX(PQ_Juli!$B$2:$AF$1048,MATCH($C36,PQ_Juli!$A$2:$A$1048,0),MATCH(O$3&amp;"",PQ_Juli!$B$1:$AF$1&amp;"",0)),0)</f>
        <v>0</v>
      </c>
      <c r="P36" s="10" cm="1">
        <f t="array" ref="P36">IFERROR(INDEX(PQ_Juli!$B$2:$AF$1048,MATCH($C36,PQ_Juli!$A$2:$A$1048,0),MATCH(P$3&amp;"",PQ_Juli!$B$1:$AF$1&amp;"",0)),0)</f>
        <v>0</v>
      </c>
      <c r="Q36" s="10" cm="1">
        <f t="array" ref="Q36">IFERROR(INDEX(PQ_Juli!$B$2:$AF$1048,MATCH($C36,PQ_Juli!$A$2:$A$1048,0),MATCH(Q$3&amp;"",PQ_Juli!$B$1:$AF$1&amp;"",0)),0)</f>
        <v>0</v>
      </c>
      <c r="R36" s="10" cm="1">
        <f t="array" ref="R36">IFERROR(INDEX(PQ_Juli!$B$2:$AF$1048,MATCH($C36,PQ_Juli!$A$2:$A$1048,0),MATCH(R$3&amp;"",PQ_Juli!$B$1:$AF$1&amp;"",0)),0)</f>
        <v>4</v>
      </c>
      <c r="S36" s="11"/>
      <c r="T36" s="10" cm="1">
        <f t="array" ref="T36">IFERROR(INDEX(PQ_Juli!$B$2:$AF$1048,MATCH($C36,PQ_Juli!$A$2:$A$1048,0),MATCH(T$3&amp;"",PQ_Juli!$B$1:$AF$1&amp;"",0)),0)</f>
        <v>1</v>
      </c>
      <c r="U36" s="10" cm="1">
        <f t="array" ref="U36">IFERROR(INDEX(PQ_Juli!$B$2:$AF$1048,MATCH($C36,PQ_Juli!$A$2:$A$1048,0),MATCH(U$3&amp;"",PQ_Juli!$B$1:$AF$1&amp;"",0)),0)</f>
        <v>0</v>
      </c>
      <c r="V36" s="10" cm="1">
        <f t="array" ref="V36">IFERROR(INDEX(PQ_Juli!$B$2:$AF$1048,MATCH($C36,PQ_Juli!$A$2:$A$1048,0),MATCH(V$3&amp;"",PQ_Juli!$B$1:$AF$1&amp;"",0)),0)</f>
        <v>1</v>
      </c>
      <c r="W36" s="10" cm="1">
        <f t="array" ref="W36">IFERROR(INDEX(PQ_Juli!$B$2:$AF$1048,MATCH($C36,PQ_Juli!$A$2:$A$1048,0),MATCH(W$3&amp;"",PQ_Juli!$B$1:$AF$1&amp;"",0)),0)</f>
        <v>0</v>
      </c>
      <c r="X36" s="10" cm="1">
        <f t="array" ref="X36">IFERROR(INDEX(PQ_Juli!$B$2:$AF$1048,MATCH($C36,PQ_Juli!$A$2:$A$1048,0),MATCH(X$3&amp;"",PQ_Juli!$B$1:$AF$1&amp;"",0)),0)</f>
        <v>1</v>
      </c>
      <c r="Y36" s="10" cm="1">
        <f t="array" ref="Y36">IFERROR(INDEX(PQ_Juli!$B$2:$AF$1048,MATCH($C36,PQ_Juli!$A$2:$A$1048,0),MATCH(Y$3&amp;"",PQ_Juli!$B$1:$AF$1&amp;"",0)),0)</f>
        <v>0</v>
      </c>
      <c r="Z36" s="11"/>
      <c r="AA36" s="10" cm="1">
        <f t="array" ref="AA36">IFERROR(INDEX(PQ_Juli!$B$2:$AF$1048,MATCH($C36,PQ_Juli!$A$2:$A$1048,0),MATCH(AA$3&amp;"",PQ_Juli!$B$1:$AF$1&amp;"",0)),0)</f>
        <v>2</v>
      </c>
      <c r="AB36" s="10" cm="1">
        <f t="array" ref="AB36">IFERROR(INDEX(PQ_Juli!$B$2:$AF$1048,MATCH($C36,PQ_Juli!$A$2:$A$1048,0),MATCH(AB$3&amp;"",PQ_Juli!$B$1:$AF$1&amp;"",0)),0)</f>
        <v>0</v>
      </c>
      <c r="AC36" s="10" cm="1">
        <f t="array" ref="AC36">IFERROR(INDEX(PQ_Juli!$B$2:$AF$1048,MATCH($C36,PQ_Juli!$A$2:$A$1048,0),MATCH(AC$3&amp;"",PQ_Juli!$B$1:$AF$1&amp;"",0)),0)</f>
        <v>2</v>
      </c>
      <c r="AD36" s="10" cm="1">
        <f t="array" ref="AD36">IFERROR(INDEX(PQ_Juli!$B$2:$AF$1048,MATCH($C36,PQ_Juli!$A$2:$A$1048,0),MATCH(AD$3&amp;"",PQ_Juli!$B$1:$AF$1&amp;"",0)),0)</f>
        <v>0</v>
      </c>
      <c r="AE36" s="10" cm="1">
        <f t="array" ref="AE36">IFERROR(INDEX(PQ_Juli!$B$2:$AF$1048,MATCH($C36,PQ_Juli!$A$2:$A$1048,0),MATCH(AE$3&amp;"",PQ_Juli!$B$1:$AF$1&amp;"",0)),0)</f>
        <v>1</v>
      </c>
      <c r="AF36" s="10" cm="1">
        <f t="array" ref="AF36">IFERROR(INDEX(PQ_Juli!$B$2:$AF$1048,MATCH($C36,PQ_Juli!$A$2:$A$1048,0),MATCH(AF$3&amp;"",PQ_Juli!$B$1:$AF$1&amp;"",0)),0)</f>
        <v>0</v>
      </c>
      <c r="AG36" s="11"/>
      <c r="AH36" s="10" cm="1">
        <f t="array" ref="AH36">IFERROR(INDEX(PQ_Juli!$B$2:$AF$1048,MATCH($C36,PQ_Juli!$A$2:$A$1048,0),MATCH(AH$3&amp;"",PQ_Juli!$B$1:$AF$1&amp;"",0)),0)</f>
        <v>1</v>
      </c>
      <c r="AI36" s="10" cm="1">
        <f t="array" ref="AI36">IFERROR(INDEX(PQ_Juli!$B$2:$AF$1048,MATCH($C36,PQ_Juli!$A$2:$A$1048,0),MATCH(AI$3&amp;"",PQ_Juli!$B$1:$AF$1&amp;"",0)),0)</f>
        <v>0</v>
      </c>
      <c r="AJ36" s="10" cm="1">
        <f t="array" ref="AJ36">IFERROR(INDEX(PQ_Juli!$B$2:$AF$1048,MATCH($C36,PQ_Juli!$A$2:$A$1048,0),MATCH(AJ$3&amp;"",PQ_Juli!$B$1:$AF$1&amp;"",0)),0)</f>
        <v>0</v>
      </c>
      <c r="AK36" s="10" cm="1">
        <f t="array" ref="AK36">IFERROR(INDEX(PQ_Juli!$B$2:$AF$1048,MATCH($C36,PQ_Juli!$A$2:$A$1048,0),MATCH(AK$3&amp;"",PQ_Juli!$B$1:$AF$1&amp;"",0)),0)</f>
        <v>1</v>
      </c>
      <c r="AL36" s="10" cm="1">
        <f t="array" ref="AL36">IFERROR(INDEX(PQ_Juli!$B$2:$AF$1048,MATCH($C36,PQ_Juli!$A$2:$A$1048,0),MATCH(AL$3&amp;"",PQ_Juli!$B$1:$AF$1&amp;"",0)),0)</f>
        <v>0</v>
      </c>
      <c r="AM36" s="13">
        <v>10</v>
      </c>
      <c r="AN36" s="14">
        <f t="shared" si="4"/>
        <v>27</v>
      </c>
      <c r="AO36" s="18" t="e">
        <f t="shared" ref="AO36:AO67" si="7">(G36-AN36)+AZ36</f>
        <v>#REF!</v>
      </c>
      <c r="AP36" s="23">
        <v>20</v>
      </c>
      <c r="AQ36" s="51" t="s">
        <v>21</v>
      </c>
      <c r="AR36" s="105"/>
      <c r="AS36" s="104"/>
      <c r="AT36" s="105"/>
      <c r="AU36" s="104"/>
      <c r="AV36" s="105"/>
      <c r="AW36" s="125"/>
      <c r="AX36" s="29">
        <f t="shared" si="5"/>
        <v>0</v>
      </c>
      <c r="AY36" s="29">
        <f t="shared" si="6"/>
        <v>0</v>
      </c>
      <c r="AZ36" s="18">
        <f t="shared" si="2"/>
        <v>0</v>
      </c>
      <c r="BA36" s="18" t="e">
        <f t="shared" ref="BA36:BA67" si="8">(G36-AN36)+AZ36</f>
        <v>#REF!</v>
      </c>
      <c r="BB36" s="21"/>
      <c r="BC36" s="30"/>
      <c r="BD36" s="30"/>
      <c r="BE36" s="30"/>
      <c r="BF36" s="30"/>
      <c r="BN36" s="41">
        <v>39</v>
      </c>
    </row>
    <row r="37" spans="1:66" ht="22.5" customHeight="1">
      <c r="A37" s="262" t="e">
        <f t="shared" si="0"/>
        <v>#REF!</v>
      </c>
      <c r="B37" s="263"/>
      <c r="C37" s="74" t="s">
        <v>82</v>
      </c>
      <c r="D37" s="75">
        <v>30</v>
      </c>
      <c r="E37" s="75">
        <v>9</v>
      </c>
      <c r="F37" s="75">
        <v>12</v>
      </c>
      <c r="G37" s="41" t="e">
        <f>#REF!</f>
        <v>#REF!</v>
      </c>
      <c r="H37" s="10" cm="1">
        <f t="array" ref="H37">IFERROR(INDEX(PQ_Juli!$B$2:$AF$1048,MATCH($C37,PQ_Juli!$A$2:$A$1048,0),MATCH(H$3&amp;"",PQ_Juli!$B$1:$AF$1&amp;"",0)),0)</f>
        <v>0</v>
      </c>
      <c r="I37" s="10" cm="1">
        <f t="array" ref="I37">IFERROR(INDEX(PQ_Juli!$B$2:$AF$1048,MATCH($C37,PQ_Juli!$A$2:$A$1048,0),MATCH(I$3&amp;"",PQ_Juli!$B$1:$AF$1&amp;"",0)),0)</f>
        <v>0</v>
      </c>
      <c r="J37" s="10" cm="1">
        <f t="array" ref="J37">IFERROR(INDEX(PQ_Juli!$B$2:$AF$1048,MATCH($C37,PQ_Juli!$A$2:$A$1048,0),MATCH(J$3&amp;"",PQ_Juli!$B$1:$AF$1&amp;"",0)),0)</f>
        <v>1</v>
      </c>
      <c r="K37" s="10" cm="1">
        <f t="array" ref="K37">IFERROR(INDEX(PQ_Juli!$B$2:$AF$1048,MATCH($C37,PQ_Juli!$A$2:$A$1048,0),MATCH(K$3&amp;"",PQ_Juli!$B$1:$AF$1&amp;"",0)),0)</f>
        <v>0</v>
      </c>
      <c r="L37" s="11"/>
      <c r="M37" s="10" cm="1">
        <f t="array" ref="M37">IFERROR(INDEX(PQ_Juli!$B$2:$AF$1048,MATCH($C37,PQ_Juli!$A$2:$A$1048,0),MATCH(M$3&amp;"",PQ_Juli!$B$1:$AF$1&amp;"",0)),0)</f>
        <v>0</v>
      </c>
      <c r="N37" s="10" cm="1">
        <f t="array" ref="N37">IFERROR(INDEX(PQ_Juli!$B$2:$AF$1048,MATCH($C37,PQ_Juli!$A$2:$A$1048,0),MATCH(N$3&amp;"",PQ_Juli!$B$1:$AF$1&amp;"",0)),0)</f>
        <v>0</v>
      </c>
      <c r="O37" s="10" cm="1">
        <f t="array" ref="O37">IFERROR(INDEX(PQ_Juli!$B$2:$AF$1048,MATCH($C37,PQ_Juli!$A$2:$A$1048,0),MATCH(O$3&amp;"",PQ_Juli!$B$1:$AF$1&amp;"",0)),0)</f>
        <v>0</v>
      </c>
      <c r="P37" s="10" cm="1">
        <f t="array" ref="P37">IFERROR(INDEX(PQ_Juli!$B$2:$AF$1048,MATCH($C37,PQ_Juli!$A$2:$A$1048,0),MATCH(P$3&amp;"",PQ_Juli!$B$1:$AF$1&amp;"",0)),0)</f>
        <v>1</v>
      </c>
      <c r="Q37" s="10" cm="1">
        <f t="array" ref="Q37">IFERROR(INDEX(PQ_Juli!$B$2:$AF$1048,MATCH($C37,PQ_Juli!$A$2:$A$1048,0),MATCH(Q$3&amp;"",PQ_Juli!$B$1:$AF$1&amp;"",0)),0)</f>
        <v>0</v>
      </c>
      <c r="R37" s="10" cm="1">
        <f t="array" ref="R37">IFERROR(INDEX(PQ_Juli!$B$2:$AF$1048,MATCH($C37,PQ_Juli!$A$2:$A$1048,0),MATCH(R$3&amp;"",PQ_Juli!$B$1:$AF$1&amp;"",0)),0)</f>
        <v>1</v>
      </c>
      <c r="S37" s="11"/>
      <c r="T37" s="10" cm="1">
        <f t="array" ref="T37">IFERROR(INDEX(PQ_Juli!$B$2:$AF$1048,MATCH($C37,PQ_Juli!$A$2:$A$1048,0),MATCH(T$3&amp;"",PQ_Juli!$B$1:$AF$1&amp;"",0)),0)</f>
        <v>0</v>
      </c>
      <c r="U37" s="10" cm="1">
        <f t="array" ref="U37">IFERROR(INDEX(PQ_Juli!$B$2:$AF$1048,MATCH($C37,PQ_Juli!$A$2:$A$1048,0),MATCH(U$3&amp;"",PQ_Juli!$B$1:$AF$1&amp;"",0)),0)</f>
        <v>1</v>
      </c>
      <c r="V37" s="10" cm="1">
        <f t="array" ref="V37">IFERROR(INDEX(PQ_Juli!$B$2:$AF$1048,MATCH($C37,PQ_Juli!$A$2:$A$1048,0),MATCH(V$3&amp;"",PQ_Juli!$B$1:$AF$1&amp;"",0)),0)</f>
        <v>0</v>
      </c>
      <c r="W37" s="10" cm="1">
        <f t="array" ref="W37">IFERROR(INDEX(PQ_Juli!$B$2:$AF$1048,MATCH($C37,PQ_Juli!$A$2:$A$1048,0),MATCH(W$3&amp;"",PQ_Juli!$B$1:$AF$1&amp;"",0)),0)</f>
        <v>0</v>
      </c>
      <c r="X37" s="10" cm="1">
        <f t="array" ref="X37">IFERROR(INDEX(PQ_Juli!$B$2:$AF$1048,MATCH($C37,PQ_Juli!$A$2:$A$1048,0),MATCH(X$3&amp;"",PQ_Juli!$B$1:$AF$1&amp;"",0)),0)</f>
        <v>0</v>
      </c>
      <c r="Y37" s="10" cm="1">
        <f t="array" ref="Y37">IFERROR(INDEX(PQ_Juli!$B$2:$AF$1048,MATCH($C37,PQ_Juli!$A$2:$A$1048,0),MATCH(Y$3&amp;"",PQ_Juli!$B$1:$AF$1&amp;"",0)),0)</f>
        <v>2</v>
      </c>
      <c r="Z37" s="11"/>
      <c r="AA37" s="10" cm="1">
        <f t="array" ref="AA37">IFERROR(INDEX(PQ_Juli!$B$2:$AF$1048,MATCH($C37,PQ_Juli!$A$2:$A$1048,0),MATCH(AA$3&amp;"",PQ_Juli!$B$1:$AF$1&amp;"",0)),0)</f>
        <v>0</v>
      </c>
      <c r="AB37" s="10" cm="1">
        <f t="array" ref="AB37">IFERROR(INDEX(PQ_Juli!$B$2:$AF$1048,MATCH($C37,PQ_Juli!$A$2:$A$1048,0),MATCH(AB$3&amp;"",PQ_Juli!$B$1:$AF$1&amp;"",0)),0)</f>
        <v>2</v>
      </c>
      <c r="AC37" s="10" cm="1">
        <f t="array" ref="AC37">IFERROR(INDEX(PQ_Juli!$B$2:$AF$1048,MATCH($C37,PQ_Juli!$A$2:$A$1048,0),MATCH(AC$3&amp;"",PQ_Juli!$B$1:$AF$1&amp;"",0)),0)</f>
        <v>0</v>
      </c>
      <c r="AD37" s="10" cm="1">
        <f t="array" ref="AD37">IFERROR(INDEX(PQ_Juli!$B$2:$AF$1048,MATCH($C37,PQ_Juli!$A$2:$A$1048,0),MATCH(AD$3&amp;"",PQ_Juli!$B$1:$AF$1&amp;"",0)),0)</f>
        <v>0</v>
      </c>
      <c r="AE37" s="10" cm="1">
        <f t="array" ref="AE37">IFERROR(INDEX(PQ_Juli!$B$2:$AF$1048,MATCH($C37,PQ_Juli!$A$2:$A$1048,0),MATCH(AE$3&amp;"",PQ_Juli!$B$1:$AF$1&amp;"",0)),0)</f>
        <v>0</v>
      </c>
      <c r="AF37" s="10" cm="1">
        <f t="array" ref="AF37">IFERROR(INDEX(PQ_Juli!$B$2:$AF$1048,MATCH($C37,PQ_Juli!$A$2:$A$1048,0),MATCH(AF$3&amp;"",PQ_Juli!$B$1:$AF$1&amp;"",0)),0)</f>
        <v>1</v>
      </c>
      <c r="AG37" s="11"/>
      <c r="AH37" s="10" cm="1">
        <f t="array" ref="AH37">IFERROR(INDEX(PQ_Juli!$B$2:$AF$1048,MATCH($C37,PQ_Juli!$A$2:$A$1048,0),MATCH(AH$3&amp;"",PQ_Juli!$B$1:$AF$1&amp;"",0)),0)</f>
        <v>0</v>
      </c>
      <c r="AI37" s="10" cm="1">
        <f t="array" ref="AI37">IFERROR(INDEX(PQ_Juli!$B$2:$AF$1048,MATCH($C37,PQ_Juli!$A$2:$A$1048,0),MATCH(AI$3&amp;"",PQ_Juli!$B$1:$AF$1&amp;"",0)),0)</f>
        <v>0</v>
      </c>
      <c r="AJ37" s="10" cm="1">
        <f t="array" ref="AJ37">IFERROR(INDEX(PQ_Juli!$B$2:$AF$1048,MATCH($C37,PQ_Juli!$A$2:$A$1048,0),MATCH(AJ$3&amp;"",PQ_Juli!$B$1:$AF$1&amp;"",0)),0)</f>
        <v>0</v>
      </c>
      <c r="AK37" s="10" cm="1">
        <f t="array" ref="AK37">IFERROR(INDEX(PQ_Juli!$B$2:$AF$1048,MATCH($C37,PQ_Juli!$A$2:$A$1048,0),MATCH(AK$3&amp;"",PQ_Juli!$B$1:$AF$1&amp;"",0)),0)</f>
        <v>0</v>
      </c>
      <c r="AL37" s="10" cm="1">
        <f t="array" ref="AL37">IFERROR(INDEX(PQ_Juli!$B$2:$AF$1048,MATCH($C37,PQ_Juli!$A$2:$A$1048,0),MATCH(AL$3&amp;"",PQ_Juli!$B$1:$AF$1&amp;"",0)),0)</f>
        <v>0</v>
      </c>
      <c r="AM37" s="13">
        <v>4</v>
      </c>
      <c r="AN37" s="14">
        <f t="shared" si="4"/>
        <v>13</v>
      </c>
      <c r="AO37" s="18" t="e">
        <f t="shared" si="7"/>
        <v>#REF!</v>
      </c>
      <c r="AP37" s="23">
        <v>15</v>
      </c>
      <c r="AQ37" s="51" t="s">
        <v>21</v>
      </c>
      <c r="AR37" s="105"/>
      <c r="AS37" s="104"/>
      <c r="AT37" s="105"/>
      <c r="AU37" s="104"/>
      <c r="AV37" s="105"/>
      <c r="AW37" s="125"/>
      <c r="AX37" s="29">
        <f t="shared" si="5"/>
        <v>0</v>
      </c>
      <c r="AY37" s="29">
        <f t="shared" si="6"/>
        <v>0</v>
      </c>
      <c r="AZ37" s="18">
        <f t="shared" si="2"/>
        <v>0</v>
      </c>
      <c r="BA37" s="18" t="e">
        <f t="shared" si="8"/>
        <v>#REF!</v>
      </c>
      <c r="BB37" s="21"/>
      <c r="BC37" s="30"/>
      <c r="BD37" s="30"/>
      <c r="BE37" s="30"/>
      <c r="BF37" s="30"/>
      <c r="BN37" s="41">
        <v>27</v>
      </c>
    </row>
    <row r="38" spans="1:66" ht="22.5" customHeight="1">
      <c r="A38" s="260" t="e">
        <f t="shared" si="0"/>
        <v>#REF!</v>
      </c>
      <c r="B38" s="261"/>
      <c r="C38" s="74" t="s">
        <v>131</v>
      </c>
      <c r="D38" s="75">
        <v>30</v>
      </c>
      <c r="E38" s="75" t="s">
        <v>29</v>
      </c>
      <c r="F38" s="75" t="s">
        <v>29</v>
      </c>
      <c r="G38" s="41" t="e">
        <f>#REF!</f>
        <v>#REF!</v>
      </c>
      <c r="H38" s="10" cm="1">
        <f t="array" ref="H38">IFERROR(INDEX(PQ_Juli!$B$2:$AF$1048,MATCH($C38,PQ_Juli!$A$2:$A$1048,0),MATCH(H$3&amp;"",PQ_Juli!$B$1:$AF$1&amp;"",0)),0)</f>
        <v>0</v>
      </c>
      <c r="I38" s="10" cm="1">
        <f t="array" ref="I38">IFERROR(INDEX(PQ_Juli!$B$2:$AF$1048,MATCH($C38,PQ_Juli!$A$2:$A$1048,0),MATCH(I$3&amp;"",PQ_Juli!$B$1:$AF$1&amp;"",0)),0)</f>
        <v>0</v>
      </c>
      <c r="J38" s="10" cm="1">
        <f t="array" ref="J38">IFERROR(INDEX(PQ_Juli!$B$2:$AF$1048,MATCH($C38,PQ_Juli!$A$2:$A$1048,0),MATCH(J$3&amp;"",PQ_Juli!$B$1:$AF$1&amp;"",0)),0)</f>
        <v>0</v>
      </c>
      <c r="K38" s="10" cm="1">
        <f t="array" ref="K38">IFERROR(INDEX(PQ_Juli!$B$2:$AF$1048,MATCH($C38,PQ_Juli!$A$2:$A$1048,0),MATCH(K$3&amp;"",PQ_Juli!$B$1:$AF$1&amp;"",0)),0)</f>
        <v>0</v>
      </c>
      <c r="L38" s="11"/>
      <c r="M38" s="10" cm="1">
        <f t="array" ref="M38">IFERROR(INDEX(PQ_Juli!$B$2:$AF$1048,MATCH($C38,PQ_Juli!$A$2:$A$1048,0),MATCH(M$3&amp;"",PQ_Juli!$B$1:$AF$1&amp;"",0)),0)</f>
        <v>0</v>
      </c>
      <c r="N38" s="10" cm="1">
        <f t="array" ref="N38">IFERROR(INDEX(PQ_Juli!$B$2:$AF$1048,MATCH($C38,PQ_Juli!$A$2:$A$1048,0),MATCH(N$3&amp;"",PQ_Juli!$B$1:$AF$1&amp;"",0)),0)</f>
        <v>0</v>
      </c>
      <c r="O38" s="10" cm="1">
        <f t="array" ref="O38">IFERROR(INDEX(PQ_Juli!$B$2:$AF$1048,MATCH($C38,PQ_Juli!$A$2:$A$1048,0),MATCH(O$3&amp;"",PQ_Juli!$B$1:$AF$1&amp;"",0)),0)</f>
        <v>1</v>
      </c>
      <c r="P38" s="10" cm="1">
        <f t="array" ref="P38">IFERROR(INDEX(PQ_Juli!$B$2:$AF$1048,MATCH($C38,PQ_Juli!$A$2:$A$1048,0),MATCH(P$3&amp;"",PQ_Juli!$B$1:$AF$1&amp;"",0)),0)</f>
        <v>0</v>
      </c>
      <c r="Q38" s="10" cm="1">
        <f t="array" ref="Q38">IFERROR(INDEX(PQ_Juli!$B$2:$AF$1048,MATCH($C38,PQ_Juli!$A$2:$A$1048,0),MATCH(Q$3&amp;"",PQ_Juli!$B$1:$AF$1&amp;"",0)),0)</f>
        <v>0</v>
      </c>
      <c r="R38" s="10" cm="1">
        <f t="array" ref="R38">IFERROR(INDEX(PQ_Juli!$B$2:$AF$1048,MATCH($C38,PQ_Juli!$A$2:$A$1048,0),MATCH(R$3&amp;"",PQ_Juli!$B$1:$AF$1&amp;"",0)),0)</f>
        <v>0</v>
      </c>
      <c r="S38" s="11"/>
      <c r="T38" s="10" cm="1">
        <f t="array" ref="T38">IFERROR(INDEX(PQ_Juli!$B$2:$AF$1048,MATCH($C38,PQ_Juli!$A$2:$A$1048,0),MATCH(T$3&amp;"",PQ_Juli!$B$1:$AF$1&amp;"",0)),0)</f>
        <v>1</v>
      </c>
      <c r="U38" s="10" cm="1">
        <f t="array" ref="U38">IFERROR(INDEX(PQ_Juli!$B$2:$AF$1048,MATCH($C38,PQ_Juli!$A$2:$A$1048,0),MATCH(U$3&amp;"",PQ_Juli!$B$1:$AF$1&amp;"",0)),0)</f>
        <v>0</v>
      </c>
      <c r="V38" s="10" cm="1">
        <f t="array" ref="V38">IFERROR(INDEX(PQ_Juli!$B$2:$AF$1048,MATCH($C38,PQ_Juli!$A$2:$A$1048,0),MATCH(V$3&amp;"",PQ_Juli!$B$1:$AF$1&amp;"",0)),0)</f>
        <v>0</v>
      </c>
      <c r="W38" s="10" cm="1">
        <f t="array" ref="W38">IFERROR(INDEX(PQ_Juli!$B$2:$AF$1048,MATCH($C38,PQ_Juli!$A$2:$A$1048,0),MATCH(W$3&amp;"",PQ_Juli!$B$1:$AF$1&amp;"",0)),0)</f>
        <v>0</v>
      </c>
      <c r="X38" s="10" cm="1">
        <f t="array" ref="X38">IFERROR(INDEX(PQ_Juli!$B$2:$AF$1048,MATCH($C38,PQ_Juli!$A$2:$A$1048,0),MATCH(X$3&amp;"",PQ_Juli!$B$1:$AF$1&amp;"",0)),0)</f>
        <v>0</v>
      </c>
      <c r="Y38" s="10" cm="1">
        <f t="array" ref="Y38">IFERROR(INDEX(PQ_Juli!$B$2:$AF$1048,MATCH($C38,PQ_Juli!$A$2:$A$1048,0),MATCH(Y$3&amp;"",PQ_Juli!$B$1:$AF$1&amp;"",0)),0)</f>
        <v>0</v>
      </c>
      <c r="Z38" s="11"/>
      <c r="AA38" s="10" cm="1">
        <f t="array" ref="AA38">IFERROR(INDEX(PQ_Juli!$B$2:$AF$1048,MATCH($C38,PQ_Juli!$A$2:$A$1048,0),MATCH(AA$3&amp;"",PQ_Juli!$B$1:$AF$1&amp;"",0)),0)</f>
        <v>1</v>
      </c>
      <c r="AB38" s="10" cm="1">
        <f t="array" ref="AB38">IFERROR(INDEX(PQ_Juli!$B$2:$AF$1048,MATCH($C38,PQ_Juli!$A$2:$A$1048,0),MATCH(AB$3&amp;"",PQ_Juli!$B$1:$AF$1&amp;"",0)),0)</f>
        <v>0</v>
      </c>
      <c r="AC38" s="10" cm="1">
        <f t="array" ref="AC38">IFERROR(INDEX(PQ_Juli!$B$2:$AF$1048,MATCH($C38,PQ_Juli!$A$2:$A$1048,0),MATCH(AC$3&amp;"",PQ_Juli!$B$1:$AF$1&amp;"",0)),0)</f>
        <v>1</v>
      </c>
      <c r="AD38" s="10" cm="1">
        <f t="array" ref="AD38">IFERROR(INDEX(PQ_Juli!$B$2:$AF$1048,MATCH($C38,PQ_Juli!$A$2:$A$1048,0),MATCH(AD$3&amp;"",PQ_Juli!$B$1:$AF$1&amp;"",0)),0)</f>
        <v>0</v>
      </c>
      <c r="AE38" s="10" cm="1">
        <f t="array" ref="AE38">IFERROR(INDEX(PQ_Juli!$B$2:$AF$1048,MATCH($C38,PQ_Juli!$A$2:$A$1048,0),MATCH(AE$3&amp;"",PQ_Juli!$B$1:$AF$1&amp;"",0)),0)</f>
        <v>0</v>
      </c>
      <c r="AF38" s="10" cm="1">
        <f t="array" ref="AF38">IFERROR(INDEX(PQ_Juli!$B$2:$AF$1048,MATCH($C38,PQ_Juli!$A$2:$A$1048,0),MATCH(AF$3&amp;"",PQ_Juli!$B$1:$AF$1&amp;"",0)),0)</f>
        <v>0</v>
      </c>
      <c r="AG38" s="11"/>
      <c r="AH38" s="10" cm="1">
        <f t="array" ref="AH38">IFERROR(INDEX(PQ_Juli!$B$2:$AF$1048,MATCH($C38,PQ_Juli!$A$2:$A$1048,0),MATCH(AH$3&amp;"",PQ_Juli!$B$1:$AF$1&amp;"",0)),0)</f>
        <v>0</v>
      </c>
      <c r="AI38" s="10" cm="1">
        <f t="array" ref="AI38">IFERROR(INDEX(PQ_Juli!$B$2:$AF$1048,MATCH($C38,PQ_Juli!$A$2:$A$1048,0),MATCH(AI$3&amp;"",PQ_Juli!$B$1:$AF$1&amp;"",0)),0)</f>
        <v>0</v>
      </c>
      <c r="AJ38" s="10" cm="1">
        <f t="array" ref="AJ38">IFERROR(INDEX(PQ_Juli!$B$2:$AF$1048,MATCH($C38,PQ_Juli!$A$2:$A$1048,0),MATCH(AJ$3&amp;"",PQ_Juli!$B$1:$AF$1&amp;"",0)),0)</f>
        <v>1</v>
      </c>
      <c r="AK38" s="10" cm="1">
        <f t="array" ref="AK38">IFERROR(INDEX(PQ_Juli!$B$2:$AF$1048,MATCH($C38,PQ_Juli!$A$2:$A$1048,0),MATCH(AK$3&amp;"",PQ_Juli!$B$1:$AF$1&amp;"",0)),0)</f>
        <v>0</v>
      </c>
      <c r="AL38" s="10" cm="1">
        <f t="array" ref="AL38">IFERROR(INDEX(PQ_Juli!$B$2:$AF$1048,MATCH($C38,PQ_Juli!$A$2:$A$1048,0),MATCH(AL$3&amp;"",PQ_Juli!$B$1:$AF$1&amp;"",0)),0)</f>
        <v>0</v>
      </c>
      <c r="AM38" s="13">
        <v>8</v>
      </c>
      <c r="AN38" s="14">
        <f t="shared" si="4"/>
        <v>13</v>
      </c>
      <c r="AO38" s="18" t="e">
        <f t="shared" si="7"/>
        <v>#REF!</v>
      </c>
      <c r="AP38" s="23">
        <v>15</v>
      </c>
      <c r="AQ38" s="51" t="s">
        <v>21</v>
      </c>
      <c r="AR38" s="105"/>
      <c r="AS38" s="104"/>
      <c r="AT38" s="105"/>
      <c r="AU38" s="104"/>
      <c r="AV38" s="105"/>
      <c r="AW38" s="125"/>
      <c r="AX38" s="29">
        <f t="shared" si="5"/>
        <v>0</v>
      </c>
      <c r="AY38" s="29">
        <f t="shared" si="6"/>
        <v>0</v>
      </c>
      <c r="AZ38" s="18">
        <f t="shared" si="2"/>
        <v>0</v>
      </c>
      <c r="BA38" s="18" t="e">
        <f t="shared" si="8"/>
        <v>#REF!</v>
      </c>
      <c r="BB38" s="21"/>
      <c r="BC38" s="30"/>
      <c r="BD38" s="30"/>
      <c r="BE38" s="30"/>
      <c r="BF38" s="30"/>
      <c r="BN38" s="41">
        <v>50</v>
      </c>
    </row>
    <row r="39" spans="1:66" ht="22.5" customHeight="1">
      <c r="A39" s="262">
        <f t="shared" si="0"/>
        <v>28</v>
      </c>
      <c r="B39" s="263"/>
      <c r="C39" s="74" t="s">
        <v>85</v>
      </c>
      <c r="D39" s="75">
        <v>30</v>
      </c>
      <c r="E39" s="75" t="s">
        <v>29</v>
      </c>
      <c r="F39" s="75" t="s">
        <v>29</v>
      </c>
      <c r="G39" s="41">
        <v>42</v>
      </c>
      <c r="H39" s="10" cm="1">
        <f t="array" ref="H39">IFERROR(INDEX(PQ_Juli!$B$2:$AF$1048,MATCH($C39,PQ_Juli!$A$2:$A$1048,0),MATCH(H$3&amp;"",PQ_Juli!$B$1:$AF$1&amp;"",0)),0)</f>
        <v>0</v>
      </c>
      <c r="I39" s="10" cm="1">
        <f t="array" ref="I39">IFERROR(INDEX(PQ_Juli!$B$2:$AF$1048,MATCH($C39,PQ_Juli!$A$2:$A$1048,0),MATCH(I$3&amp;"",PQ_Juli!$B$1:$AF$1&amp;"",0)),0)</f>
        <v>0</v>
      </c>
      <c r="J39" s="10" cm="1">
        <f t="array" ref="J39">IFERROR(INDEX(PQ_Juli!$B$2:$AF$1048,MATCH($C39,PQ_Juli!$A$2:$A$1048,0),MATCH(J$3&amp;"",PQ_Juli!$B$1:$AF$1&amp;"",0)),0)</f>
        <v>0</v>
      </c>
      <c r="K39" s="10" cm="1">
        <f t="array" ref="K39">IFERROR(INDEX(PQ_Juli!$B$2:$AF$1048,MATCH($C39,PQ_Juli!$A$2:$A$1048,0),MATCH(K$3&amp;"",PQ_Juli!$B$1:$AF$1&amp;"",0)),0)</f>
        <v>0</v>
      </c>
      <c r="L39" s="11"/>
      <c r="M39" s="10" cm="1">
        <f t="array" ref="M39">IFERROR(INDEX(PQ_Juli!$B$2:$AF$1048,MATCH($C39,PQ_Juli!$A$2:$A$1048,0),MATCH(M$3&amp;"",PQ_Juli!$B$1:$AF$1&amp;"",0)),0)</f>
        <v>0</v>
      </c>
      <c r="N39" s="10" cm="1">
        <f t="array" ref="N39">IFERROR(INDEX(PQ_Juli!$B$2:$AF$1048,MATCH($C39,PQ_Juli!$A$2:$A$1048,0),MATCH(N$3&amp;"",PQ_Juli!$B$1:$AF$1&amp;"",0)),0)</f>
        <v>0</v>
      </c>
      <c r="O39" s="10" cm="1">
        <f t="array" ref="O39">IFERROR(INDEX(PQ_Juli!$B$2:$AF$1048,MATCH($C39,PQ_Juli!$A$2:$A$1048,0),MATCH(O$3&amp;"",PQ_Juli!$B$1:$AF$1&amp;"",0)),0)</f>
        <v>0</v>
      </c>
      <c r="P39" s="10" cm="1">
        <f t="array" ref="P39">IFERROR(INDEX(PQ_Juli!$B$2:$AF$1048,MATCH($C39,PQ_Juli!$A$2:$A$1048,0),MATCH(P$3&amp;"",PQ_Juli!$B$1:$AF$1&amp;"",0)),0)</f>
        <v>0</v>
      </c>
      <c r="Q39" s="10" cm="1">
        <f t="array" ref="Q39">IFERROR(INDEX(PQ_Juli!$B$2:$AF$1048,MATCH($C39,PQ_Juli!$A$2:$A$1048,0),MATCH(Q$3&amp;"",PQ_Juli!$B$1:$AF$1&amp;"",0)),0)</f>
        <v>0</v>
      </c>
      <c r="R39" s="10" cm="1">
        <f t="array" ref="R39">IFERROR(INDEX(PQ_Juli!$B$2:$AF$1048,MATCH($C39,PQ_Juli!$A$2:$A$1048,0),MATCH(R$3&amp;"",PQ_Juli!$B$1:$AF$1&amp;"",0)),0)</f>
        <v>0</v>
      </c>
      <c r="S39" s="11"/>
      <c r="T39" s="10" cm="1">
        <f t="array" ref="T39">IFERROR(INDEX(PQ_Juli!$B$2:$AF$1048,MATCH($C39,PQ_Juli!$A$2:$A$1048,0),MATCH(T$3&amp;"",PQ_Juli!$B$1:$AF$1&amp;"",0)),0)</f>
        <v>1</v>
      </c>
      <c r="U39" s="10" cm="1">
        <f t="array" ref="U39">IFERROR(INDEX(PQ_Juli!$B$2:$AF$1048,MATCH($C39,PQ_Juli!$A$2:$A$1048,0),MATCH(U$3&amp;"",PQ_Juli!$B$1:$AF$1&amp;"",0)),0)</f>
        <v>0</v>
      </c>
      <c r="V39" s="10" cm="1">
        <f t="array" ref="V39">IFERROR(INDEX(PQ_Juli!$B$2:$AF$1048,MATCH($C39,PQ_Juli!$A$2:$A$1048,0),MATCH(V$3&amp;"",PQ_Juli!$B$1:$AF$1&amp;"",0)),0)</f>
        <v>2</v>
      </c>
      <c r="W39" s="10" cm="1">
        <f t="array" ref="W39">IFERROR(INDEX(PQ_Juli!$B$2:$AF$1048,MATCH($C39,PQ_Juli!$A$2:$A$1048,0),MATCH(W$3&amp;"",PQ_Juli!$B$1:$AF$1&amp;"",0)),0)</f>
        <v>0</v>
      </c>
      <c r="X39" s="10" cm="1">
        <f t="array" ref="X39">IFERROR(INDEX(PQ_Juli!$B$2:$AF$1048,MATCH($C39,PQ_Juli!$A$2:$A$1048,0),MATCH(X$3&amp;"",PQ_Juli!$B$1:$AF$1&amp;"",0)),0)</f>
        <v>0</v>
      </c>
      <c r="Y39" s="10" cm="1">
        <f t="array" ref="Y39">IFERROR(INDEX(PQ_Juli!$B$2:$AF$1048,MATCH($C39,PQ_Juli!$A$2:$A$1048,0),MATCH(Y$3&amp;"",PQ_Juli!$B$1:$AF$1&amp;"",0)),0)</f>
        <v>0</v>
      </c>
      <c r="Z39" s="11"/>
      <c r="AA39" s="10" cm="1">
        <f t="array" ref="AA39">IFERROR(INDEX(PQ_Juli!$B$2:$AF$1048,MATCH($C39,PQ_Juli!$A$2:$A$1048,0),MATCH(AA$3&amp;"",PQ_Juli!$B$1:$AF$1&amp;"",0)),0)</f>
        <v>1</v>
      </c>
      <c r="AB39" s="10" cm="1">
        <f t="array" ref="AB39">IFERROR(INDEX(PQ_Juli!$B$2:$AF$1048,MATCH($C39,PQ_Juli!$A$2:$A$1048,0),MATCH(AB$3&amp;"",PQ_Juli!$B$1:$AF$1&amp;"",0)),0)</f>
        <v>0</v>
      </c>
      <c r="AC39" s="10" cm="1">
        <f t="array" ref="AC39">IFERROR(INDEX(PQ_Juli!$B$2:$AF$1048,MATCH($C39,PQ_Juli!$A$2:$A$1048,0),MATCH(AC$3&amp;"",PQ_Juli!$B$1:$AF$1&amp;"",0)),0)</f>
        <v>1</v>
      </c>
      <c r="AD39" s="10" cm="1">
        <f t="array" ref="AD39">IFERROR(INDEX(PQ_Juli!$B$2:$AF$1048,MATCH($C39,PQ_Juli!$A$2:$A$1048,0),MATCH(AD$3&amp;"",PQ_Juli!$B$1:$AF$1&amp;"",0)),0)</f>
        <v>0</v>
      </c>
      <c r="AE39" s="10" cm="1">
        <f t="array" ref="AE39">IFERROR(INDEX(PQ_Juli!$B$2:$AF$1048,MATCH($C39,PQ_Juli!$A$2:$A$1048,0),MATCH(AE$3&amp;"",PQ_Juli!$B$1:$AF$1&amp;"",0)),0)</f>
        <v>1</v>
      </c>
      <c r="AF39" s="10" cm="1">
        <f t="array" ref="AF39">IFERROR(INDEX(PQ_Juli!$B$2:$AF$1048,MATCH($C39,PQ_Juli!$A$2:$A$1048,0),MATCH(AF$3&amp;"",PQ_Juli!$B$1:$AF$1&amp;"",0)),0)</f>
        <v>0</v>
      </c>
      <c r="AG39" s="11"/>
      <c r="AH39" s="10" cm="1">
        <f t="array" ref="AH39">IFERROR(INDEX(PQ_Juli!$B$2:$AF$1048,MATCH($C39,PQ_Juli!$A$2:$A$1048,0),MATCH(AH$3&amp;"",PQ_Juli!$B$1:$AF$1&amp;"",0)),0)</f>
        <v>0</v>
      </c>
      <c r="AI39" s="10" cm="1">
        <f t="array" ref="AI39">IFERROR(INDEX(PQ_Juli!$B$2:$AF$1048,MATCH($C39,PQ_Juli!$A$2:$A$1048,0),MATCH(AI$3&amp;"",PQ_Juli!$B$1:$AF$1&amp;"",0)),0)</f>
        <v>0</v>
      </c>
      <c r="AJ39" s="10" cm="1">
        <f t="array" ref="AJ39">IFERROR(INDEX(PQ_Juli!$B$2:$AF$1048,MATCH($C39,PQ_Juli!$A$2:$A$1048,0),MATCH(AJ$3&amp;"",PQ_Juli!$B$1:$AF$1&amp;"",0)),0)</f>
        <v>0</v>
      </c>
      <c r="AK39" s="10" cm="1">
        <f t="array" ref="AK39">IFERROR(INDEX(PQ_Juli!$B$2:$AF$1048,MATCH($C39,PQ_Juli!$A$2:$A$1048,0),MATCH(AK$3&amp;"",PQ_Juli!$B$1:$AF$1&amp;"",0)),0)</f>
        <v>0</v>
      </c>
      <c r="AL39" s="10" cm="1">
        <f t="array" ref="AL39">IFERROR(INDEX(PQ_Juli!$B$2:$AF$1048,MATCH($C39,PQ_Juli!$A$2:$A$1048,0),MATCH(AL$3&amp;"",PQ_Juli!$B$1:$AF$1&amp;"",0)),0)</f>
        <v>0</v>
      </c>
      <c r="AM39" s="13">
        <v>8</v>
      </c>
      <c r="AN39" s="14">
        <f t="shared" si="4"/>
        <v>14</v>
      </c>
      <c r="AO39" s="18">
        <f t="shared" si="7"/>
        <v>28</v>
      </c>
      <c r="AP39" s="23">
        <v>15</v>
      </c>
      <c r="AQ39" s="23" t="s">
        <v>21</v>
      </c>
      <c r="AR39" s="88"/>
      <c r="AS39" s="89"/>
      <c r="AT39" s="88"/>
      <c r="AU39" s="89"/>
      <c r="AV39" s="88"/>
      <c r="AW39" s="92"/>
      <c r="AX39" s="29">
        <f t="shared" si="5"/>
        <v>0</v>
      </c>
      <c r="AY39" s="29">
        <f t="shared" si="6"/>
        <v>0</v>
      </c>
      <c r="AZ39" s="18">
        <f t="shared" si="2"/>
        <v>0</v>
      </c>
      <c r="BA39" s="18">
        <f t="shared" si="8"/>
        <v>28</v>
      </c>
      <c r="BB39" s="21"/>
      <c r="BC39" s="30"/>
      <c r="BD39" s="30"/>
      <c r="BE39" s="30"/>
      <c r="BF39" s="30"/>
      <c r="BN39" s="41">
        <v>69</v>
      </c>
    </row>
    <row r="40" spans="1:66" ht="22.5" customHeight="1">
      <c r="A40" s="262"/>
      <c r="B40" s="263"/>
      <c r="C40" s="74" t="s">
        <v>86</v>
      </c>
      <c r="D40" s="75">
        <v>16</v>
      </c>
      <c r="E40" s="75"/>
      <c r="F40" s="75"/>
      <c r="G40" s="41">
        <v>21</v>
      </c>
      <c r="H40" s="10" cm="1">
        <f t="array" ref="H40">IFERROR(INDEX(PQ_Juli!$B$2:$AF$1048,MATCH($C40,PQ_Juli!$A$2:$A$1048,0),MATCH(H$3&amp;"",PQ_Juli!$B$1:$AF$1&amp;"",0)),0)</f>
        <v>1</v>
      </c>
      <c r="I40" s="10" cm="1">
        <f t="array" ref="I40">IFERROR(INDEX(PQ_Juli!$B$2:$AF$1048,MATCH($C40,PQ_Juli!$A$2:$A$1048,0),MATCH(I$3&amp;"",PQ_Juli!$B$1:$AF$1&amp;"",0)),0)</f>
        <v>1</v>
      </c>
      <c r="J40" s="10" cm="1">
        <f t="array" ref="J40">IFERROR(INDEX(PQ_Juli!$B$2:$AF$1048,MATCH($C40,PQ_Juli!$A$2:$A$1048,0),MATCH(J$3&amp;"",PQ_Juli!$B$1:$AF$1&amp;"",0)),0)</f>
        <v>0</v>
      </c>
      <c r="K40" s="10" cm="1">
        <f t="array" ref="K40">IFERROR(INDEX(PQ_Juli!$B$2:$AF$1048,MATCH($C40,PQ_Juli!$A$2:$A$1048,0),MATCH(K$3&amp;"",PQ_Juli!$B$1:$AF$1&amp;"",0)),0)</f>
        <v>1</v>
      </c>
      <c r="L40" s="11"/>
      <c r="M40" s="10" cm="1">
        <f t="array" ref="M40">IFERROR(INDEX(PQ_Juli!$B$2:$AF$1048,MATCH($C40,PQ_Juli!$A$2:$A$1048,0),MATCH(M$3&amp;"",PQ_Juli!$B$1:$AF$1&amp;"",0)),0)</f>
        <v>0</v>
      </c>
      <c r="N40" s="10" cm="1">
        <f t="array" ref="N40">IFERROR(INDEX(PQ_Juli!$B$2:$AF$1048,MATCH($C40,PQ_Juli!$A$2:$A$1048,0),MATCH(N$3&amp;"",PQ_Juli!$B$1:$AF$1&amp;"",0)),0)</f>
        <v>1</v>
      </c>
      <c r="O40" s="10" cm="1">
        <f t="array" ref="O40">IFERROR(INDEX(PQ_Juli!$B$2:$AF$1048,MATCH($C40,PQ_Juli!$A$2:$A$1048,0),MATCH(O$3&amp;"",PQ_Juli!$B$1:$AF$1&amp;"",0)),0)</f>
        <v>1</v>
      </c>
      <c r="P40" s="10" cm="1">
        <f t="array" ref="P40">IFERROR(INDEX(PQ_Juli!$B$2:$AF$1048,MATCH($C40,PQ_Juli!$A$2:$A$1048,0),MATCH(P$3&amp;"",PQ_Juli!$B$1:$AF$1&amp;"",0)),0)</f>
        <v>1</v>
      </c>
      <c r="Q40" s="10" cm="1">
        <f t="array" ref="Q40">IFERROR(INDEX(PQ_Juli!$B$2:$AF$1048,MATCH($C40,PQ_Juli!$A$2:$A$1048,0),MATCH(Q$3&amp;"",PQ_Juli!$B$1:$AF$1&amp;"",0)),0)</f>
        <v>0</v>
      </c>
      <c r="R40" s="10" cm="1">
        <f t="array" ref="R40">IFERROR(INDEX(PQ_Juli!$B$2:$AF$1048,MATCH($C40,PQ_Juli!$A$2:$A$1048,0),MATCH(R$3&amp;"",PQ_Juli!$B$1:$AF$1&amp;"",0)),0)</f>
        <v>0</v>
      </c>
      <c r="S40" s="11"/>
      <c r="T40" s="10" cm="1">
        <f t="array" ref="T40">IFERROR(INDEX(PQ_Juli!$B$2:$AF$1048,MATCH($C40,PQ_Juli!$A$2:$A$1048,0),MATCH(T$3&amp;"",PQ_Juli!$B$1:$AF$1&amp;"",0)),0)</f>
        <v>1</v>
      </c>
      <c r="U40" s="10" cm="1">
        <f t="array" ref="U40">IFERROR(INDEX(PQ_Juli!$B$2:$AF$1048,MATCH($C40,PQ_Juli!$A$2:$A$1048,0),MATCH(U$3&amp;"",PQ_Juli!$B$1:$AF$1&amp;"",0)),0)</f>
        <v>1</v>
      </c>
      <c r="V40" s="10" cm="1">
        <f t="array" ref="V40">IFERROR(INDEX(PQ_Juli!$B$2:$AF$1048,MATCH($C40,PQ_Juli!$A$2:$A$1048,0),MATCH(V$3&amp;"",PQ_Juli!$B$1:$AF$1&amp;"",0)),0)</f>
        <v>0</v>
      </c>
      <c r="W40" s="10" cm="1">
        <f t="array" ref="W40">IFERROR(INDEX(PQ_Juli!$B$2:$AF$1048,MATCH($C40,PQ_Juli!$A$2:$A$1048,0),MATCH(W$3&amp;"",PQ_Juli!$B$1:$AF$1&amp;"",0)),0)</f>
        <v>0</v>
      </c>
      <c r="X40" s="10" cm="1">
        <f t="array" ref="X40">IFERROR(INDEX(PQ_Juli!$B$2:$AF$1048,MATCH($C40,PQ_Juli!$A$2:$A$1048,0),MATCH(X$3&amp;"",PQ_Juli!$B$1:$AF$1&amp;"",0)),0)</f>
        <v>0</v>
      </c>
      <c r="Y40" s="10" cm="1">
        <f t="array" ref="Y40">IFERROR(INDEX(PQ_Juli!$B$2:$AF$1048,MATCH($C40,PQ_Juli!$A$2:$A$1048,0),MATCH(Y$3&amp;"",PQ_Juli!$B$1:$AF$1&amp;"",0)),0)</f>
        <v>1</v>
      </c>
      <c r="Z40" s="11"/>
      <c r="AA40" s="10" cm="1">
        <f t="array" ref="AA40">IFERROR(INDEX(PQ_Juli!$B$2:$AF$1048,MATCH($C40,PQ_Juli!$A$2:$A$1048,0),MATCH(AA$3&amp;"",PQ_Juli!$B$1:$AF$1&amp;"",0)),0)</f>
        <v>0</v>
      </c>
      <c r="AB40" s="10" cm="1">
        <f t="array" ref="AB40">IFERROR(INDEX(PQ_Juli!$B$2:$AF$1048,MATCH($C40,PQ_Juli!$A$2:$A$1048,0),MATCH(AB$3&amp;"",PQ_Juli!$B$1:$AF$1&amp;"",0)),0)</f>
        <v>1</v>
      </c>
      <c r="AC40" s="10" cm="1">
        <f t="array" ref="AC40">IFERROR(INDEX(PQ_Juli!$B$2:$AF$1048,MATCH($C40,PQ_Juli!$A$2:$A$1048,0),MATCH(AC$3&amp;"",PQ_Juli!$B$1:$AF$1&amp;"",0)),0)</f>
        <v>1</v>
      </c>
      <c r="AD40" s="10" cm="1">
        <f t="array" ref="AD40">IFERROR(INDEX(PQ_Juli!$B$2:$AF$1048,MATCH($C40,PQ_Juli!$A$2:$A$1048,0),MATCH(AD$3&amp;"",PQ_Juli!$B$1:$AF$1&amp;"",0)),0)</f>
        <v>1</v>
      </c>
      <c r="AE40" s="10" cm="1">
        <f t="array" ref="AE40">IFERROR(INDEX(PQ_Juli!$B$2:$AF$1048,MATCH($C40,PQ_Juli!$A$2:$A$1048,0),MATCH(AE$3&amp;"",PQ_Juli!$B$1:$AF$1&amp;"",0)),0)</f>
        <v>1</v>
      </c>
      <c r="AF40" s="10" cm="1">
        <f t="array" ref="AF40">IFERROR(INDEX(PQ_Juli!$B$2:$AF$1048,MATCH($C40,PQ_Juli!$A$2:$A$1048,0),MATCH(AF$3&amp;"",PQ_Juli!$B$1:$AF$1&amp;"",0)),0)</f>
        <v>1</v>
      </c>
      <c r="AG40" s="11"/>
      <c r="AH40" s="10" cm="1">
        <f t="array" ref="AH40">IFERROR(INDEX(PQ_Juli!$B$2:$AF$1048,MATCH($C40,PQ_Juli!$A$2:$A$1048,0),MATCH(AH$3&amp;"",PQ_Juli!$B$1:$AF$1&amp;"",0)),0)</f>
        <v>0</v>
      </c>
      <c r="AI40" s="10" cm="1">
        <f t="array" ref="AI40">IFERROR(INDEX(PQ_Juli!$B$2:$AF$1048,MATCH($C40,PQ_Juli!$A$2:$A$1048,0),MATCH(AI$3&amp;"",PQ_Juli!$B$1:$AF$1&amp;"",0)),0)</f>
        <v>1</v>
      </c>
      <c r="AJ40" s="10" cm="1">
        <f t="array" ref="AJ40">IFERROR(INDEX(PQ_Juli!$B$2:$AF$1048,MATCH($C40,PQ_Juli!$A$2:$A$1048,0),MATCH(AJ$3&amp;"",PQ_Juli!$B$1:$AF$1&amp;"",0)),0)</f>
        <v>0</v>
      </c>
      <c r="AK40" s="10" cm="1">
        <f t="array" ref="AK40">IFERROR(INDEX(PQ_Juli!$B$2:$AF$1048,MATCH($C40,PQ_Juli!$A$2:$A$1048,0),MATCH(AK$3&amp;"",PQ_Juli!$B$1:$AF$1&amp;"",0)),0)</f>
        <v>0</v>
      </c>
      <c r="AL40" s="10" cm="1">
        <f t="array" ref="AL40">IFERROR(INDEX(PQ_Juli!$B$2:$AF$1048,MATCH($C40,PQ_Juli!$A$2:$A$1048,0),MATCH(AL$3&amp;"",PQ_Juli!$B$1:$AF$1&amp;"",0)),0)</f>
        <v>0</v>
      </c>
      <c r="AM40" s="13"/>
      <c r="AN40" s="14">
        <f t="shared" si="4"/>
        <v>15</v>
      </c>
      <c r="AO40" s="18">
        <f t="shared" si="7"/>
        <v>22</v>
      </c>
      <c r="AP40" s="23">
        <v>16</v>
      </c>
      <c r="AQ40" s="23" t="s">
        <v>21</v>
      </c>
      <c r="AR40" s="92">
        <v>46210</v>
      </c>
      <c r="AS40" s="29">
        <v>1</v>
      </c>
      <c r="AT40" s="92"/>
      <c r="AU40" s="29"/>
      <c r="AV40" s="91">
        <v>46217</v>
      </c>
      <c r="AW40" s="92"/>
      <c r="AX40" s="29">
        <f t="shared" si="5"/>
        <v>16</v>
      </c>
      <c r="AY40" s="29">
        <f t="shared" si="6"/>
        <v>0</v>
      </c>
      <c r="AZ40" s="18">
        <f t="shared" si="2"/>
        <v>16</v>
      </c>
      <c r="BA40" s="18">
        <f t="shared" si="8"/>
        <v>22</v>
      </c>
      <c r="BB40" s="21"/>
      <c r="BC40" s="30"/>
      <c r="BD40" s="30"/>
      <c r="BE40" s="30"/>
      <c r="BF40" s="30"/>
      <c r="BN40" s="41"/>
    </row>
    <row r="41" spans="1:66" ht="22.5" customHeight="1">
      <c r="A41" s="262"/>
      <c r="B41" s="263"/>
      <c r="C41" s="74" t="s">
        <v>87</v>
      </c>
      <c r="D41" s="75">
        <v>16</v>
      </c>
      <c r="E41" s="75"/>
      <c r="F41" s="75"/>
      <c r="G41" s="41" t="e">
        <f>#REF!</f>
        <v>#REF!</v>
      </c>
      <c r="H41" s="10" cm="1">
        <f t="array" ref="H41">IFERROR(INDEX(PQ_Juli!$B$2:$AF$1048,MATCH($C41,PQ_Juli!$A$2:$A$1048,0),MATCH(H$3&amp;"",PQ_Juli!$B$1:$AF$1&amp;"",0)),0)</f>
        <v>0</v>
      </c>
      <c r="I41" s="10" cm="1">
        <f t="array" ref="I41">IFERROR(INDEX(PQ_Juli!$B$2:$AF$1048,MATCH($C41,PQ_Juli!$A$2:$A$1048,0),MATCH(I$3&amp;"",PQ_Juli!$B$1:$AF$1&amp;"",0)),0)</f>
        <v>0</v>
      </c>
      <c r="J41" s="10" cm="1">
        <f t="array" ref="J41">IFERROR(INDEX(PQ_Juli!$B$2:$AF$1048,MATCH($C41,PQ_Juli!$A$2:$A$1048,0),MATCH(J$3&amp;"",PQ_Juli!$B$1:$AF$1&amp;"",0)),0)</f>
        <v>0</v>
      </c>
      <c r="K41" s="10" cm="1">
        <f t="array" ref="K41">IFERROR(INDEX(PQ_Juli!$B$2:$AF$1048,MATCH($C41,PQ_Juli!$A$2:$A$1048,0),MATCH(K$3&amp;"",PQ_Juli!$B$1:$AF$1&amp;"",0)),0)</f>
        <v>0</v>
      </c>
      <c r="L41" s="11"/>
      <c r="M41" s="10" cm="1">
        <f t="array" ref="M41">IFERROR(INDEX(PQ_Juli!$B$2:$AF$1048,MATCH($C41,PQ_Juli!$A$2:$A$1048,0),MATCH(M$3&amp;"",PQ_Juli!$B$1:$AF$1&amp;"",0)),0)</f>
        <v>2</v>
      </c>
      <c r="N41" s="10" cm="1">
        <f t="array" ref="N41">IFERROR(INDEX(PQ_Juli!$B$2:$AF$1048,MATCH($C41,PQ_Juli!$A$2:$A$1048,0),MATCH(N$3&amp;"",PQ_Juli!$B$1:$AF$1&amp;"",0)),0)</f>
        <v>0</v>
      </c>
      <c r="O41" s="10" cm="1">
        <f t="array" ref="O41">IFERROR(INDEX(PQ_Juli!$B$2:$AF$1048,MATCH($C41,PQ_Juli!$A$2:$A$1048,0),MATCH(O$3&amp;"",PQ_Juli!$B$1:$AF$1&amp;"",0)),0)</f>
        <v>0</v>
      </c>
      <c r="P41" s="10" cm="1">
        <f t="array" ref="P41">IFERROR(INDEX(PQ_Juli!$B$2:$AF$1048,MATCH($C41,PQ_Juli!$A$2:$A$1048,0),MATCH(P$3&amp;"",PQ_Juli!$B$1:$AF$1&amp;"",0)),0)</f>
        <v>1</v>
      </c>
      <c r="Q41" s="10" cm="1">
        <f t="array" ref="Q41">IFERROR(INDEX(PQ_Juli!$B$2:$AF$1048,MATCH($C41,PQ_Juli!$A$2:$A$1048,0),MATCH(Q$3&amp;"",PQ_Juli!$B$1:$AF$1&amp;"",0)),0)</f>
        <v>0</v>
      </c>
      <c r="R41" s="10" cm="1">
        <f t="array" ref="R41">IFERROR(INDEX(PQ_Juli!$B$2:$AF$1048,MATCH($C41,PQ_Juli!$A$2:$A$1048,0),MATCH(R$3&amp;"",PQ_Juli!$B$1:$AF$1&amp;"",0)),0)</f>
        <v>0</v>
      </c>
      <c r="S41" s="11"/>
      <c r="T41" s="10" cm="1">
        <f t="array" ref="T41">IFERROR(INDEX(PQ_Juli!$B$2:$AF$1048,MATCH($C41,PQ_Juli!$A$2:$A$1048,0),MATCH(T$3&amp;"",PQ_Juli!$B$1:$AF$1&amp;"",0)),0)</f>
        <v>0</v>
      </c>
      <c r="U41" s="10" cm="1">
        <f t="array" ref="U41">IFERROR(INDEX(PQ_Juli!$B$2:$AF$1048,MATCH($C41,PQ_Juli!$A$2:$A$1048,0),MATCH(U$3&amp;"",PQ_Juli!$B$1:$AF$1&amp;"",0)),0)</f>
        <v>1</v>
      </c>
      <c r="V41" s="10" cm="1">
        <f t="array" ref="V41">IFERROR(INDEX(PQ_Juli!$B$2:$AF$1048,MATCH($C41,PQ_Juli!$A$2:$A$1048,0),MATCH(V$3&amp;"",PQ_Juli!$B$1:$AF$1&amp;"",0)),0)</f>
        <v>0</v>
      </c>
      <c r="W41" s="10" cm="1">
        <f t="array" ref="W41">IFERROR(INDEX(PQ_Juli!$B$2:$AF$1048,MATCH($C41,PQ_Juli!$A$2:$A$1048,0),MATCH(W$3&amp;"",PQ_Juli!$B$1:$AF$1&amp;"",0)),0)</f>
        <v>0</v>
      </c>
      <c r="X41" s="10" cm="1">
        <f t="array" ref="X41">IFERROR(INDEX(PQ_Juli!$B$2:$AF$1048,MATCH($C41,PQ_Juli!$A$2:$A$1048,0),MATCH(X$3&amp;"",PQ_Juli!$B$1:$AF$1&amp;"",0)),0)</f>
        <v>0</v>
      </c>
      <c r="Y41" s="10" cm="1">
        <f t="array" ref="Y41">IFERROR(INDEX(PQ_Juli!$B$2:$AF$1048,MATCH($C41,PQ_Juli!$A$2:$A$1048,0),MATCH(Y$3&amp;"",PQ_Juli!$B$1:$AF$1&amp;"",0)),0)</f>
        <v>0</v>
      </c>
      <c r="Z41" s="11"/>
      <c r="AA41" s="10" cm="1">
        <f t="array" ref="AA41">IFERROR(INDEX(PQ_Juli!$B$2:$AF$1048,MATCH($C41,PQ_Juli!$A$2:$A$1048,0),MATCH(AA$3&amp;"",PQ_Juli!$B$1:$AF$1&amp;"",0)),0)</f>
        <v>0</v>
      </c>
      <c r="AB41" s="10" cm="1">
        <f t="array" ref="AB41">IFERROR(INDEX(PQ_Juli!$B$2:$AF$1048,MATCH($C41,PQ_Juli!$A$2:$A$1048,0),MATCH(AB$3&amp;"",PQ_Juli!$B$1:$AF$1&amp;"",0)),0)</f>
        <v>0</v>
      </c>
      <c r="AC41" s="10" cm="1">
        <f t="array" ref="AC41">IFERROR(INDEX(PQ_Juli!$B$2:$AF$1048,MATCH($C41,PQ_Juli!$A$2:$A$1048,0),MATCH(AC$3&amp;"",PQ_Juli!$B$1:$AF$1&amp;"",0)),0)</f>
        <v>0</v>
      </c>
      <c r="AD41" s="10" cm="1">
        <f t="array" ref="AD41">IFERROR(INDEX(PQ_Juli!$B$2:$AF$1048,MATCH($C41,PQ_Juli!$A$2:$A$1048,0),MATCH(AD$3&amp;"",PQ_Juli!$B$1:$AF$1&amp;"",0)),0)</f>
        <v>0</v>
      </c>
      <c r="AE41" s="10" cm="1">
        <f t="array" ref="AE41">IFERROR(INDEX(PQ_Juli!$B$2:$AF$1048,MATCH($C41,PQ_Juli!$A$2:$A$1048,0),MATCH(AE$3&amp;"",PQ_Juli!$B$1:$AF$1&amp;"",0)),0)</f>
        <v>1</v>
      </c>
      <c r="AF41" s="10" cm="1">
        <f t="array" ref="AF41">IFERROR(INDEX(PQ_Juli!$B$2:$AF$1048,MATCH($C41,PQ_Juli!$A$2:$A$1048,0),MATCH(AF$3&amp;"",PQ_Juli!$B$1:$AF$1&amp;"",0)),0)</f>
        <v>1</v>
      </c>
      <c r="AG41" s="11"/>
      <c r="AH41" s="10" cm="1">
        <f t="array" ref="AH41">IFERROR(INDEX(PQ_Juli!$B$2:$AF$1048,MATCH($C41,PQ_Juli!$A$2:$A$1048,0),MATCH(AH$3&amp;"",PQ_Juli!$B$1:$AF$1&amp;"",0)),0)</f>
        <v>1</v>
      </c>
      <c r="AI41" s="10" cm="1">
        <f t="array" ref="AI41">IFERROR(INDEX(PQ_Juli!$B$2:$AF$1048,MATCH($C41,PQ_Juli!$A$2:$A$1048,0),MATCH(AI$3&amp;"",PQ_Juli!$B$1:$AF$1&amp;"",0)),0)</f>
        <v>0</v>
      </c>
      <c r="AJ41" s="10" cm="1">
        <f t="array" ref="AJ41">IFERROR(INDEX(PQ_Juli!$B$2:$AF$1048,MATCH($C41,PQ_Juli!$A$2:$A$1048,0),MATCH(AJ$3&amp;"",PQ_Juli!$B$1:$AF$1&amp;"",0)),0)</f>
        <v>1</v>
      </c>
      <c r="AK41" s="10" cm="1">
        <f t="array" ref="AK41">IFERROR(INDEX(PQ_Juli!$B$2:$AF$1048,MATCH($C41,PQ_Juli!$A$2:$A$1048,0),MATCH(AK$3&amp;"",PQ_Juli!$B$1:$AF$1&amp;"",0)),0)</f>
        <v>0</v>
      </c>
      <c r="AL41" s="10" cm="1">
        <f t="array" ref="AL41">IFERROR(INDEX(PQ_Juli!$B$2:$AF$1048,MATCH($C41,PQ_Juli!$A$2:$A$1048,0),MATCH(AL$3&amp;"",PQ_Juli!$B$1:$AF$1&amp;"",0)),0)</f>
        <v>0</v>
      </c>
      <c r="AM41" s="13"/>
      <c r="AN41" s="14">
        <f t="shared" si="4"/>
        <v>8</v>
      </c>
      <c r="AO41" s="18" t="e">
        <f t="shared" si="7"/>
        <v>#REF!</v>
      </c>
      <c r="AP41" s="23">
        <v>10</v>
      </c>
      <c r="AQ41" s="23" t="s">
        <v>21</v>
      </c>
      <c r="AR41" s="92">
        <v>46219</v>
      </c>
      <c r="AS41" s="29">
        <v>1</v>
      </c>
      <c r="AT41" s="92"/>
      <c r="AU41" s="29"/>
      <c r="AV41" s="92"/>
      <c r="AW41" s="92"/>
      <c r="AX41" s="29">
        <f t="shared" si="5"/>
        <v>0</v>
      </c>
      <c r="AY41" s="29">
        <f t="shared" si="6"/>
        <v>0</v>
      </c>
      <c r="AZ41" s="18">
        <f t="shared" si="2"/>
        <v>0</v>
      </c>
      <c r="BA41" s="18" t="e">
        <f t="shared" si="8"/>
        <v>#REF!</v>
      </c>
      <c r="BB41" s="21"/>
      <c r="BC41" s="30"/>
      <c r="BD41" s="30"/>
      <c r="BE41" s="30"/>
      <c r="BF41" s="30"/>
      <c r="BN41" s="41"/>
    </row>
    <row r="42" spans="1:66" ht="22.5" customHeight="1">
      <c r="A42" s="262"/>
      <c r="B42" s="263"/>
      <c r="C42" s="74" t="s">
        <v>88</v>
      </c>
      <c r="D42" s="75">
        <v>16</v>
      </c>
      <c r="E42" s="75"/>
      <c r="F42" s="75"/>
      <c r="G42" s="41" t="e">
        <f>#REF!</f>
        <v>#REF!</v>
      </c>
      <c r="H42" s="10" cm="1">
        <f t="array" ref="H42">IFERROR(INDEX(PQ_Juli!$B$2:$AF$1048,MATCH($C42,PQ_Juli!$A$2:$A$1048,0),MATCH(H$3&amp;"",PQ_Juli!$B$1:$AF$1&amp;"",0)),0)</f>
        <v>0</v>
      </c>
      <c r="I42" s="10" cm="1">
        <f t="array" ref="I42">IFERROR(INDEX(PQ_Juli!$B$2:$AF$1048,MATCH($C42,PQ_Juli!$A$2:$A$1048,0),MATCH(I$3&amp;"",PQ_Juli!$B$1:$AF$1&amp;"",0)),0)</f>
        <v>0</v>
      </c>
      <c r="J42" s="10" cm="1">
        <f t="array" ref="J42">IFERROR(INDEX(PQ_Juli!$B$2:$AF$1048,MATCH($C42,PQ_Juli!$A$2:$A$1048,0),MATCH(J$3&amp;"",PQ_Juli!$B$1:$AF$1&amp;"",0)),0)</f>
        <v>0</v>
      </c>
      <c r="K42" s="10" cm="1">
        <f t="array" ref="K42">IFERROR(INDEX(PQ_Juli!$B$2:$AF$1048,MATCH($C42,PQ_Juli!$A$2:$A$1048,0),MATCH(K$3&amp;"",PQ_Juli!$B$1:$AF$1&amp;"",0)),0)</f>
        <v>0</v>
      </c>
      <c r="L42" s="11"/>
      <c r="M42" s="10" cm="1">
        <f t="array" ref="M42">IFERROR(INDEX(PQ_Juli!$B$2:$AF$1048,MATCH($C42,PQ_Juli!$A$2:$A$1048,0),MATCH(M$3&amp;"",PQ_Juli!$B$1:$AF$1&amp;"",0)),0)</f>
        <v>0</v>
      </c>
      <c r="N42" s="10" cm="1">
        <f t="array" ref="N42">IFERROR(INDEX(PQ_Juli!$B$2:$AF$1048,MATCH($C42,PQ_Juli!$A$2:$A$1048,0),MATCH(N$3&amp;"",PQ_Juli!$B$1:$AF$1&amp;"",0)),0)</f>
        <v>0</v>
      </c>
      <c r="O42" s="10" cm="1">
        <f t="array" ref="O42">IFERROR(INDEX(PQ_Juli!$B$2:$AF$1048,MATCH($C42,PQ_Juli!$A$2:$A$1048,0),MATCH(O$3&amp;"",PQ_Juli!$B$1:$AF$1&amp;"",0)),0)</f>
        <v>0</v>
      </c>
      <c r="P42" s="10" cm="1">
        <f t="array" ref="P42">IFERROR(INDEX(PQ_Juli!$B$2:$AF$1048,MATCH($C42,PQ_Juli!$A$2:$A$1048,0),MATCH(P$3&amp;"",PQ_Juli!$B$1:$AF$1&amp;"",0)),0)</f>
        <v>0</v>
      </c>
      <c r="Q42" s="10" cm="1">
        <f t="array" ref="Q42">IFERROR(INDEX(PQ_Juli!$B$2:$AF$1048,MATCH($C42,PQ_Juli!$A$2:$A$1048,0),MATCH(Q$3&amp;"",PQ_Juli!$B$1:$AF$1&amp;"",0)),0)</f>
        <v>1</v>
      </c>
      <c r="R42" s="10" cm="1">
        <f t="array" ref="R42">IFERROR(INDEX(PQ_Juli!$B$2:$AF$1048,MATCH($C42,PQ_Juli!$A$2:$A$1048,0),MATCH(R$3&amp;"",PQ_Juli!$B$1:$AF$1&amp;"",0)),0)</f>
        <v>1</v>
      </c>
      <c r="S42" s="11"/>
      <c r="T42" s="10" cm="1">
        <f t="array" ref="T42">IFERROR(INDEX(PQ_Juli!$B$2:$AF$1048,MATCH($C42,PQ_Juli!$A$2:$A$1048,0),MATCH(T$3&amp;"",PQ_Juli!$B$1:$AF$1&amp;"",0)),0)</f>
        <v>0</v>
      </c>
      <c r="U42" s="10" cm="1">
        <f t="array" ref="U42">IFERROR(INDEX(PQ_Juli!$B$2:$AF$1048,MATCH($C42,PQ_Juli!$A$2:$A$1048,0),MATCH(U$3&amp;"",PQ_Juli!$B$1:$AF$1&amp;"",0)),0)</f>
        <v>0</v>
      </c>
      <c r="V42" s="10" cm="1">
        <f t="array" ref="V42">IFERROR(INDEX(PQ_Juli!$B$2:$AF$1048,MATCH($C42,PQ_Juli!$A$2:$A$1048,0),MATCH(V$3&amp;"",PQ_Juli!$B$1:$AF$1&amp;"",0)),0)</f>
        <v>0</v>
      </c>
      <c r="W42" s="10" cm="1">
        <f t="array" ref="W42">IFERROR(INDEX(PQ_Juli!$B$2:$AF$1048,MATCH($C42,PQ_Juli!$A$2:$A$1048,0),MATCH(W$3&amp;"",PQ_Juli!$B$1:$AF$1&amp;"",0)),0)</f>
        <v>0</v>
      </c>
      <c r="X42" s="10" cm="1">
        <f t="array" ref="X42">IFERROR(INDEX(PQ_Juli!$B$2:$AF$1048,MATCH($C42,PQ_Juli!$A$2:$A$1048,0),MATCH(X$3&amp;"",PQ_Juli!$B$1:$AF$1&amp;"",0)),0)</f>
        <v>1</v>
      </c>
      <c r="Y42" s="10" cm="1">
        <f t="array" ref="Y42">IFERROR(INDEX(PQ_Juli!$B$2:$AF$1048,MATCH($C42,PQ_Juli!$A$2:$A$1048,0),MATCH(Y$3&amp;"",PQ_Juli!$B$1:$AF$1&amp;"",0)),0)</f>
        <v>0</v>
      </c>
      <c r="Z42" s="11"/>
      <c r="AA42" s="10" cm="1">
        <f t="array" ref="AA42">IFERROR(INDEX(PQ_Juli!$B$2:$AF$1048,MATCH($C42,PQ_Juli!$A$2:$A$1048,0),MATCH(AA$3&amp;"",PQ_Juli!$B$1:$AF$1&amp;"",0)),0)</f>
        <v>0</v>
      </c>
      <c r="AB42" s="10" cm="1">
        <f t="array" ref="AB42">IFERROR(INDEX(PQ_Juli!$B$2:$AF$1048,MATCH($C42,PQ_Juli!$A$2:$A$1048,0),MATCH(AB$3&amp;"",PQ_Juli!$B$1:$AF$1&amp;"",0)),0)</f>
        <v>0</v>
      </c>
      <c r="AC42" s="10" cm="1">
        <f t="array" ref="AC42">IFERROR(INDEX(PQ_Juli!$B$2:$AF$1048,MATCH($C42,PQ_Juli!$A$2:$A$1048,0),MATCH(AC$3&amp;"",PQ_Juli!$B$1:$AF$1&amp;"",0)),0)</f>
        <v>0</v>
      </c>
      <c r="AD42" s="10" cm="1">
        <f t="array" ref="AD42">IFERROR(INDEX(PQ_Juli!$B$2:$AF$1048,MATCH($C42,PQ_Juli!$A$2:$A$1048,0),MATCH(AD$3&amp;"",PQ_Juli!$B$1:$AF$1&amp;"",0)),0)</f>
        <v>0</v>
      </c>
      <c r="AE42" s="10" cm="1">
        <f t="array" ref="AE42">IFERROR(INDEX(PQ_Juli!$B$2:$AF$1048,MATCH($C42,PQ_Juli!$A$2:$A$1048,0),MATCH(AE$3&amp;"",PQ_Juli!$B$1:$AF$1&amp;"",0)),0)</f>
        <v>0</v>
      </c>
      <c r="AF42" s="10" cm="1">
        <f t="array" ref="AF42">IFERROR(INDEX(PQ_Juli!$B$2:$AF$1048,MATCH($C42,PQ_Juli!$A$2:$A$1048,0),MATCH(AF$3&amp;"",PQ_Juli!$B$1:$AF$1&amp;"",0)),0)</f>
        <v>0</v>
      </c>
      <c r="AG42" s="11"/>
      <c r="AH42" s="10" cm="1">
        <f t="array" ref="AH42">IFERROR(INDEX(PQ_Juli!$B$2:$AF$1048,MATCH($C42,PQ_Juli!$A$2:$A$1048,0),MATCH(AH$3&amp;"",PQ_Juli!$B$1:$AF$1&amp;"",0)),0)</f>
        <v>0</v>
      </c>
      <c r="AI42" s="10" cm="1">
        <f t="array" ref="AI42">IFERROR(INDEX(PQ_Juli!$B$2:$AF$1048,MATCH($C42,PQ_Juli!$A$2:$A$1048,0),MATCH(AI$3&amp;"",PQ_Juli!$B$1:$AF$1&amp;"",0)),0)</f>
        <v>0</v>
      </c>
      <c r="AJ42" s="10" cm="1">
        <f t="array" ref="AJ42">IFERROR(INDEX(PQ_Juli!$B$2:$AF$1048,MATCH($C42,PQ_Juli!$A$2:$A$1048,0),MATCH(AJ$3&amp;"",PQ_Juli!$B$1:$AF$1&amp;"",0)),0)</f>
        <v>0</v>
      </c>
      <c r="AK42" s="10" cm="1">
        <f t="array" ref="AK42">IFERROR(INDEX(PQ_Juli!$B$2:$AF$1048,MATCH($C42,PQ_Juli!$A$2:$A$1048,0),MATCH(AK$3&amp;"",PQ_Juli!$B$1:$AF$1&amp;"",0)),0)</f>
        <v>0</v>
      </c>
      <c r="AL42" s="10" cm="1">
        <f t="array" ref="AL42">IFERROR(INDEX(PQ_Juli!$B$2:$AF$1048,MATCH($C42,PQ_Juli!$A$2:$A$1048,0),MATCH(AL$3&amp;"",PQ_Juli!$B$1:$AF$1&amp;"",0)),0)</f>
        <v>0</v>
      </c>
      <c r="AM42" s="13"/>
      <c r="AN42" s="14">
        <f t="shared" si="4"/>
        <v>3</v>
      </c>
      <c r="AO42" s="18" t="e">
        <f t="shared" si="7"/>
        <v>#REF!</v>
      </c>
      <c r="AP42" s="23">
        <v>10</v>
      </c>
      <c r="AQ42" s="23" t="s">
        <v>21</v>
      </c>
      <c r="AR42" s="92"/>
      <c r="AS42" s="29"/>
      <c r="AT42" s="92"/>
      <c r="AU42" s="29"/>
      <c r="AV42" s="92"/>
      <c r="AW42" s="92"/>
      <c r="AX42" s="29">
        <f t="shared" si="5"/>
        <v>0</v>
      </c>
      <c r="AY42" s="29">
        <f t="shared" si="6"/>
        <v>0</v>
      </c>
      <c r="AZ42" s="18">
        <f t="shared" si="2"/>
        <v>0</v>
      </c>
      <c r="BA42" s="18" t="e">
        <f t="shared" si="8"/>
        <v>#REF!</v>
      </c>
      <c r="BB42" s="21"/>
      <c r="BC42" s="30"/>
      <c r="BD42" s="30"/>
      <c r="BE42" s="30"/>
      <c r="BF42" s="30"/>
      <c r="BN42" s="41"/>
    </row>
    <row r="43" spans="1:66" ht="22.5" customHeight="1">
      <c r="A43" s="262"/>
      <c r="B43" s="263"/>
      <c r="C43" s="74" t="s">
        <v>89</v>
      </c>
      <c r="D43" s="75">
        <v>16</v>
      </c>
      <c r="E43" s="75"/>
      <c r="F43" s="75"/>
      <c r="G43" s="41">
        <v>17</v>
      </c>
      <c r="H43" s="10" cm="1">
        <f t="array" ref="H43">IFERROR(INDEX(PQ_Juli!$B$2:$AF$1048,MATCH($C43,PQ_Juli!$A$2:$A$1048,0),MATCH(H$3&amp;"",PQ_Juli!$B$1:$AF$1&amp;"",0)),0)</f>
        <v>2</v>
      </c>
      <c r="I43" s="10" cm="1">
        <f t="array" ref="I43">IFERROR(INDEX(PQ_Juli!$B$2:$AF$1048,MATCH($C43,PQ_Juli!$A$2:$A$1048,0),MATCH(I$3&amp;"",PQ_Juli!$B$1:$AF$1&amp;"",0)),0)</f>
        <v>3</v>
      </c>
      <c r="J43" s="10" cm="1">
        <f t="array" ref="J43">IFERROR(INDEX(PQ_Juli!$B$2:$AF$1048,MATCH($C43,PQ_Juli!$A$2:$A$1048,0),MATCH(J$3&amp;"",PQ_Juli!$B$1:$AF$1&amp;"",0)),0)</f>
        <v>1</v>
      </c>
      <c r="K43" s="10" cm="1">
        <f t="array" ref="K43">IFERROR(INDEX(PQ_Juli!$B$2:$AF$1048,MATCH($C43,PQ_Juli!$A$2:$A$1048,0),MATCH(K$3&amp;"",PQ_Juli!$B$1:$AF$1&amp;"",0)),0)</f>
        <v>0</v>
      </c>
      <c r="L43" s="11"/>
      <c r="M43" s="10" cm="1">
        <f t="array" ref="M43">IFERROR(INDEX(PQ_Juli!$B$2:$AF$1048,MATCH($C43,PQ_Juli!$A$2:$A$1048,0),MATCH(M$3&amp;"",PQ_Juli!$B$1:$AF$1&amp;"",0)),0)</f>
        <v>0</v>
      </c>
      <c r="N43" s="10" cm="1">
        <f t="array" ref="N43">IFERROR(INDEX(PQ_Juli!$B$2:$AF$1048,MATCH($C43,PQ_Juli!$A$2:$A$1048,0),MATCH(N$3&amp;"",PQ_Juli!$B$1:$AF$1&amp;"",0)),0)</f>
        <v>0</v>
      </c>
      <c r="O43" s="10" cm="1">
        <f t="array" ref="O43">IFERROR(INDEX(PQ_Juli!$B$2:$AF$1048,MATCH($C43,PQ_Juli!$A$2:$A$1048,0),MATCH(O$3&amp;"",PQ_Juli!$B$1:$AF$1&amp;"",0)),0)</f>
        <v>0</v>
      </c>
      <c r="P43" s="10" cm="1">
        <f t="array" ref="P43">IFERROR(INDEX(PQ_Juli!$B$2:$AF$1048,MATCH($C43,PQ_Juli!$A$2:$A$1048,0),MATCH(P$3&amp;"",PQ_Juli!$B$1:$AF$1&amp;"",0)),0)</f>
        <v>0</v>
      </c>
      <c r="Q43" s="10" cm="1">
        <f t="array" ref="Q43">IFERROR(INDEX(PQ_Juli!$B$2:$AF$1048,MATCH($C43,PQ_Juli!$A$2:$A$1048,0),MATCH(Q$3&amp;"",PQ_Juli!$B$1:$AF$1&amp;"",0)),0)</f>
        <v>2</v>
      </c>
      <c r="R43" s="10" cm="1">
        <f t="array" ref="R43">IFERROR(INDEX(PQ_Juli!$B$2:$AF$1048,MATCH($C43,PQ_Juli!$A$2:$A$1048,0),MATCH(R$3&amp;"",PQ_Juli!$B$1:$AF$1&amp;"",0)),0)</f>
        <v>1</v>
      </c>
      <c r="S43" s="11"/>
      <c r="T43" s="10" cm="1">
        <f t="array" ref="T43">IFERROR(INDEX(PQ_Juli!$B$2:$AF$1048,MATCH($C43,PQ_Juli!$A$2:$A$1048,0),MATCH(T$3&amp;"",PQ_Juli!$B$1:$AF$1&amp;"",0)),0)</f>
        <v>0</v>
      </c>
      <c r="U43" s="10" cm="1">
        <f t="array" ref="U43">IFERROR(INDEX(PQ_Juli!$B$2:$AF$1048,MATCH($C43,PQ_Juli!$A$2:$A$1048,0),MATCH(U$3&amp;"",PQ_Juli!$B$1:$AF$1&amp;"",0)),0)</f>
        <v>0</v>
      </c>
      <c r="V43" s="10" cm="1">
        <f t="array" ref="V43">IFERROR(INDEX(PQ_Juli!$B$2:$AF$1048,MATCH($C43,PQ_Juli!$A$2:$A$1048,0),MATCH(V$3&amp;"",PQ_Juli!$B$1:$AF$1&amp;"",0)),0)</f>
        <v>0</v>
      </c>
      <c r="W43" s="10" cm="1">
        <f t="array" ref="W43">IFERROR(INDEX(PQ_Juli!$B$2:$AF$1048,MATCH($C43,PQ_Juli!$A$2:$A$1048,0),MATCH(W$3&amp;"",PQ_Juli!$B$1:$AF$1&amp;"",0)),0)</f>
        <v>1</v>
      </c>
      <c r="X43" s="10" cm="1">
        <f t="array" ref="X43">IFERROR(INDEX(PQ_Juli!$B$2:$AF$1048,MATCH($C43,PQ_Juli!$A$2:$A$1048,0),MATCH(X$3&amp;"",PQ_Juli!$B$1:$AF$1&amp;"",0)),0)</f>
        <v>0</v>
      </c>
      <c r="Y43" s="10" cm="1">
        <f t="array" ref="Y43">IFERROR(INDEX(PQ_Juli!$B$2:$AF$1048,MATCH($C43,PQ_Juli!$A$2:$A$1048,0),MATCH(Y$3&amp;"",PQ_Juli!$B$1:$AF$1&amp;"",0)),0)</f>
        <v>0</v>
      </c>
      <c r="Z43" s="11"/>
      <c r="AA43" s="10" cm="1">
        <f t="array" ref="AA43">IFERROR(INDEX(PQ_Juli!$B$2:$AF$1048,MATCH($C43,PQ_Juli!$A$2:$A$1048,0),MATCH(AA$3&amp;"",PQ_Juli!$B$1:$AF$1&amp;"",0)),0)</f>
        <v>1</v>
      </c>
      <c r="AB43" s="10" cm="1">
        <f t="array" ref="AB43">IFERROR(INDEX(PQ_Juli!$B$2:$AF$1048,MATCH($C43,PQ_Juli!$A$2:$A$1048,0),MATCH(AB$3&amp;"",PQ_Juli!$B$1:$AF$1&amp;"",0)),0)</f>
        <v>0</v>
      </c>
      <c r="AC43" s="10" cm="1">
        <f t="array" ref="AC43">IFERROR(INDEX(PQ_Juli!$B$2:$AF$1048,MATCH($C43,PQ_Juli!$A$2:$A$1048,0),MATCH(AC$3&amp;"",PQ_Juli!$B$1:$AF$1&amp;"",0)),0)</f>
        <v>3</v>
      </c>
      <c r="AD43" s="10" cm="1">
        <f t="array" ref="AD43">IFERROR(INDEX(PQ_Juli!$B$2:$AF$1048,MATCH($C43,PQ_Juli!$A$2:$A$1048,0),MATCH(AD$3&amp;"",PQ_Juli!$B$1:$AF$1&amp;"",0)),0)</f>
        <v>2</v>
      </c>
      <c r="AE43" s="10" cm="1">
        <f t="array" ref="AE43">IFERROR(INDEX(PQ_Juli!$B$2:$AF$1048,MATCH($C43,PQ_Juli!$A$2:$A$1048,0),MATCH(AE$3&amp;"",PQ_Juli!$B$1:$AF$1&amp;"",0)),0)</f>
        <v>0</v>
      </c>
      <c r="AF43" s="10" cm="1">
        <f t="array" ref="AF43">IFERROR(INDEX(PQ_Juli!$B$2:$AF$1048,MATCH($C43,PQ_Juli!$A$2:$A$1048,0),MATCH(AF$3&amp;"",PQ_Juli!$B$1:$AF$1&amp;"",0)),0)</f>
        <v>1</v>
      </c>
      <c r="AG43" s="11"/>
      <c r="AH43" s="10" cm="1">
        <f t="array" ref="AH43">IFERROR(INDEX(PQ_Juli!$B$2:$AF$1048,MATCH($C43,PQ_Juli!$A$2:$A$1048,0),MATCH(AH$3&amp;"",PQ_Juli!$B$1:$AF$1&amp;"",0)),0)</f>
        <v>1</v>
      </c>
      <c r="AI43" s="10" cm="1">
        <f t="array" ref="AI43">IFERROR(INDEX(PQ_Juli!$B$2:$AF$1048,MATCH($C43,PQ_Juli!$A$2:$A$1048,0),MATCH(AI$3&amp;"",PQ_Juli!$B$1:$AF$1&amp;"",0)),0)</f>
        <v>1</v>
      </c>
      <c r="AJ43" s="10" cm="1">
        <f t="array" ref="AJ43">IFERROR(INDEX(PQ_Juli!$B$2:$AF$1048,MATCH($C43,PQ_Juli!$A$2:$A$1048,0),MATCH(AJ$3&amp;"",PQ_Juli!$B$1:$AF$1&amp;"",0)),0)</f>
        <v>1</v>
      </c>
      <c r="AK43" s="10" cm="1">
        <f t="array" ref="AK43">IFERROR(INDEX(PQ_Juli!$B$2:$AF$1048,MATCH($C43,PQ_Juli!$A$2:$A$1048,0),MATCH(AK$3&amp;"",PQ_Juli!$B$1:$AF$1&amp;"",0)),0)</f>
        <v>0</v>
      </c>
      <c r="AL43" s="10" cm="1">
        <f t="array" ref="AL43">IFERROR(INDEX(PQ_Juli!$B$2:$AF$1048,MATCH($C43,PQ_Juli!$A$2:$A$1048,0),MATCH(AL$3&amp;"",PQ_Juli!$B$1:$AF$1&amp;"",0)),0)</f>
        <v>1</v>
      </c>
      <c r="AM43" s="13"/>
      <c r="AN43" s="14">
        <f t="shared" si="4"/>
        <v>21</v>
      </c>
      <c r="AO43" s="18">
        <f t="shared" si="7"/>
        <v>12</v>
      </c>
      <c r="AP43" s="23">
        <v>16</v>
      </c>
      <c r="AQ43" s="23" t="s">
        <v>21</v>
      </c>
      <c r="AR43" s="92">
        <v>46210</v>
      </c>
      <c r="AS43" s="29">
        <v>1</v>
      </c>
      <c r="AT43" s="92"/>
      <c r="AU43" s="29"/>
      <c r="AV43" s="92">
        <v>46217</v>
      </c>
      <c r="AW43" s="92"/>
      <c r="AX43" s="29">
        <f t="shared" si="5"/>
        <v>16</v>
      </c>
      <c r="AY43" s="29">
        <f t="shared" si="6"/>
        <v>0</v>
      </c>
      <c r="AZ43" s="18">
        <f t="shared" si="2"/>
        <v>16</v>
      </c>
      <c r="BA43" s="18">
        <f t="shared" si="8"/>
        <v>12</v>
      </c>
      <c r="BB43" s="21"/>
      <c r="BC43" s="30"/>
      <c r="BD43" s="30"/>
      <c r="BE43" s="30"/>
      <c r="BF43" s="30"/>
      <c r="BN43" s="41"/>
    </row>
    <row r="44" spans="1:66" ht="22.5" customHeight="1">
      <c r="A44" s="262"/>
      <c r="B44" s="263"/>
      <c r="C44" s="76" t="s">
        <v>90</v>
      </c>
      <c r="D44" s="75">
        <v>50</v>
      </c>
      <c r="E44" s="75"/>
      <c r="F44" s="75"/>
      <c r="G44" s="41" t="e">
        <f>#REF!</f>
        <v>#REF!</v>
      </c>
      <c r="H44" s="10" cm="1">
        <f t="array" ref="H44">IFERROR(INDEX(PQ_Juli!$B$2:$AF$1048,MATCH($C44,PQ_Juli!$A$2:$A$1048,0),MATCH(H$3&amp;"",PQ_Juli!$B$1:$AF$1&amp;"",0)),0)</f>
        <v>0</v>
      </c>
      <c r="I44" s="10" cm="1">
        <f t="array" ref="I44">IFERROR(INDEX(PQ_Juli!$B$2:$AF$1048,MATCH($C44,PQ_Juli!$A$2:$A$1048,0),MATCH(I$3&amp;"",PQ_Juli!$B$1:$AF$1&amp;"",0)),0)</f>
        <v>0</v>
      </c>
      <c r="J44" s="10" cm="1">
        <f t="array" ref="J44">IFERROR(INDEX(PQ_Juli!$B$2:$AF$1048,MATCH($C44,PQ_Juli!$A$2:$A$1048,0),MATCH(J$3&amp;"",PQ_Juli!$B$1:$AF$1&amp;"",0)),0)</f>
        <v>0</v>
      </c>
      <c r="K44" s="10" cm="1">
        <f t="array" ref="K44">IFERROR(INDEX(PQ_Juli!$B$2:$AF$1048,MATCH($C44,PQ_Juli!$A$2:$A$1048,0),MATCH(K$3&amp;"",PQ_Juli!$B$1:$AF$1&amp;"",0)),0)</f>
        <v>0</v>
      </c>
      <c r="L44" s="11"/>
      <c r="M44" s="10" cm="1">
        <f t="array" ref="M44">IFERROR(INDEX(PQ_Juli!$B$2:$AF$1048,MATCH($C44,PQ_Juli!$A$2:$A$1048,0),MATCH(M$3&amp;"",PQ_Juli!$B$1:$AF$1&amp;"",0)),0)</f>
        <v>0</v>
      </c>
      <c r="N44" s="10" cm="1">
        <f t="array" ref="N44">IFERROR(INDEX(PQ_Juli!$B$2:$AF$1048,MATCH($C44,PQ_Juli!$A$2:$A$1048,0),MATCH(N$3&amp;"",PQ_Juli!$B$1:$AF$1&amp;"",0)),0)</f>
        <v>0</v>
      </c>
      <c r="O44" s="10" cm="1">
        <f t="array" ref="O44">IFERROR(INDEX(PQ_Juli!$B$2:$AF$1048,MATCH($C44,PQ_Juli!$A$2:$A$1048,0),MATCH(O$3&amp;"",PQ_Juli!$B$1:$AF$1&amp;"",0)),0)</f>
        <v>1</v>
      </c>
      <c r="P44" s="10" cm="1">
        <f t="array" ref="P44">IFERROR(INDEX(PQ_Juli!$B$2:$AF$1048,MATCH($C44,PQ_Juli!$A$2:$A$1048,0),MATCH(P$3&amp;"",PQ_Juli!$B$1:$AF$1&amp;"",0)),0)</f>
        <v>0</v>
      </c>
      <c r="Q44" s="10" cm="1">
        <f t="array" ref="Q44">IFERROR(INDEX(PQ_Juli!$B$2:$AF$1048,MATCH($C44,PQ_Juli!$A$2:$A$1048,0),MATCH(Q$3&amp;"",PQ_Juli!$B$1:$AF$1&amp;"",0)),0)</f>
        <v>0</v>
      </c>
      <c r="R44" s="10" cm="1">
        <f t="array" ref="R44">IFERROR(INDEX(PQ_Juli!$B$2:$AF$1048,MATCH($C44,PQ_Juli!$A$2:$A$1048,0),MATCH(R$3&amp;"",PQ_Juli!$B$1:$AF$1&amp;"",0)),0)</f>
        <v>0</v>
      </c>
      <c r="S44" s="11"/>
      <c r="T44" s="10" cm="1">
        <f t="array" ref="T44">IFERROR(INDEX(PQ_Juli!$B$2:$AF$1048,MATCH($C44,PQ_Juli!$A$2:$A$1048,0),MATCH(T$3&amp;"",PQ_Juli!$B$1:$AF$1&amp;"",0)),0)</f>
        <v>0</v>
      </c>
      <c r="U44" s="10" cm="1">
        <f t="array" ref="U44">IFERROR(INDEX(PQ_Juli!$B$2:$AF$1048,MATCH($C44,PQ_Juli!$A$2:$A$1048,0),MATCH(U$3&amp;"",PQ_Juli!$B$1:$AF$1&amp;"",0)),0)</f>
        <v>0</v>
      </c>
      <c r="V44" s="10" cm="1">
        <f t="array" ref="V44">IFERROR(INDEX(PQ_Juli!$B$2:$AF$1048,MATCH($C44,PQ_Juli!$A$2:$A$1048,0),MATCH(V$3&amp;"",PQ_Juli!$B$1:$AF$1&amp;"",0)),0)</f>
        <v>0</v>
      </c>
      <c r="W44" s="10" cm="1">
        <f t="array" ref="W44">IFERROR(INDEX(PQ_Juli!$B$2:$AF$1048,MATCH($C44,PQ_Juli!$A$2:$A$1048,0),MATCH(W$3&amp;"",PQ_Juli!$B$1:$AF$1&amp;"",0)),0)</f>
        <v>0</v>
      </c>
      <c r="X44" s="10" cm="1">
        <f t="array" ref="X44">IFERROR(INDEX(PQ_Juli!$B$2:$AF$1048,MATCH($C44,PQ_Juli!$A$2:$A$1048,0),MATCH(X$3&amp;"",PQ_Juli!$B$1:$AF$1&amp;"",0)),0)</f>
        <v>0</v>
      </c>
      <c r="Y44" s="10" cm="1">
        <f t="array" ref="Y44">IFERROR(INDEX(PQ_Juli!$B$2:$AF$1048,MATCH($C44,PQ_Juli!$A$2:$A$1048,0),MATCH(Y$3&amp;"",PQ_Juli!$B$1:$AF$1&amp;"",0)),0)</f>
        <v>0</v>
      </c>
      <c r="Z44" s="11"/>
      <c r="AA44" s="10" cm="1">
        <f t="array" ref="AA44">IFERROR(INDEX(PQ_Juli!$B$2:$AF$1048,MATCH($C44,PQ_Juli!$A$2:$A$1048,0),MATCH(AA$3&amp;"",PQ_Juli!$B$1:$AF$1&amp;"",0)),0)</f>
        <v>0</v>
      </c>
      <c r="AB44" s="10" cm="1">
        <f t="array" ref="AB44">IFERROR(INDEX(PQ_Juli!$B$2:$AF$1048,MATCH($C44,PQ_Juli!$A$2:$A$1048,0),MATCH(AB$3&amp;"",PQ_Juli!$B$1:$AF$1&amp;"",0)),0)</f>
        <v>0</v>
      </c>
      <c r="AC44" s="10" cm="1">
        <f t="array" ref="AC44">IFERROR(INDEX(PQ_Juli!$B$2:$AF$1048,MATCH($C44,PQ_Juli!$A$2:$A$1048,0),MATCH(AC$3&amp;"",PQ_Juli!$B$1:$AF$1&amp;"",0)),0)</f>
        <v>0</v>
      </c>
      <c r="AD44" s="10" cm="1">
        <f t="array" ref="AD44">IFERROR(INDEX(PQ_Juli!$B$2:$AF$1048,MATCH($C44,PQ_Juli!$A$2:$A$1048,0),MATCH(AD$3&amp;"",PQ_Juli!$B$1:$AF$1&amp;"",0)),0)</f>
        <v>0</v>
      </c>
      <c r="AE44" s="10" cm="1">
        <f t="array" ref="AE44">IFERROR(INDEX(PQ_Juli!$B$2:$AF$1048,MATCH($C44,PQ_Juli!$A$2:$A$1048,0),MATCH(AE$3&amp;"",PQ_Juli!$B$1:$AF$1&amp;"",0)),0)</f>
        <v>0</v>
      </c>
      <c r="AF44" s="10" cm="1">
        <f t="array" ref="AF44">IFERROR(INDEX(PQ_Juli!$B$2:$AF$1048,MATCH($C44,PQ_Juli!$A$2:$A$1048,0),MATCH(AF$3&amp;"",PQ_Juli!$B$1:$AF$1&amp;"",0)),0)</f>
        <v>0</v>
      </c>
      <c r="AG44" s="11"/>
      <c r="AH44" s="10" cm="1">
        <f t="array" ref="AH44">IFERROR(INDEX(PQ_Juli!$B$2:$AF$1048,MATCH($C44,PQ_Juli!$A$2:$A$1048,0),MATCH(AH$3&amp;"",PQ_Juli!$B$1:$AF$1&amp;"",0)),0)</f>
        <v>0</v>
      </c>
      <c r="AI44" s="10" cm="1">
        <f t="array" ref="AI44">IFERROR(INDEX(PQ_Juli!$B$2:$AF$1048,MATCH($C44,PQ_Juli!$A$2:$A$1048,0),MATCH(AI$3&amp;"",PQ_Juli!$B$1:$AF$1&amp;"",0)),0)</f>
        <v>0</v>
      </c>
      <c r="AJ44" s="10" cm="1">
        <f t="array" ref="AJ44">IFERROR(INDEX(PQ_Juli!$B$2:$AF$1048,MATCH($C44,PQ_Juli!$A$2:$A$1048,0),MATCH(AJ$3&amp;"",PQ_Juli!$B$1:$AF$1&amp;"",0)),0)</f>
        <v>0</v>
      </c>
      <c r="AK44" s="10" cm="1">
        <f t="array" ref="AK44">IFERROR(INDEX(PQ_Juli!$B$2:$AF$1048,MATCH($C44,PQ_Juli!$A$2:$A$1048,0),MATCH(AK$3&amp;"",PQ_Juli!$B$1:$AF$1&amp;"",0)),0)</f>
        <v>0</v>
      </c>
      <c r="AL44" s="10" cm="1">
        <f t="array" ref="AL44">IFERROR(INDEX(PQ_Juli!$B$2:$AF$1048,MATCH($C44,PQ_Juli!$A$2:$A$1048,0),MATCH(AL$3&amp;"",PQ_Juli!$B$1:$AF$1&amp;"",0)),0)</f>
        <v>0</v>
      </c>
      <c r="AM44" s="13">
        <v>6</v>
      </c>
      <c r="AN44" s="14">
        <f t="shared" si="4"/>
        <v>7</v>
      </c>
      <c r="AO44" s="18" t="e">
        <f t="shared" si="7"/>
        <v>#REF!</v>
      </c>
      <c r="AP44" s="23">
        <v>20</v>
      </c>
      <c r="AQ44" s="23" t="s">
        <v>79</v>
      </c>
      <c r="AR44" s="92">
        <v>46210</v>
      </c>
      <c r="AS44" s="29">
        <v>1</v>
      </c>
      <c r="AT44" s="92"/>
      <c r="AU44" s="29"/>
      <c r="AV44" s="92">
        <v>46241</v>
      </c>
      <c r="AW44" s="92"/>
      <c r="AX44" s="29">
        <f t="shared" si="5"/>
        <v>50</v>
      </c>
      <c r="AY44" s="29">
        <f t="shared" si="6"/>
        <v>0</v>
      </c>
      <c r="AZ44" s="18">
        <f t="shared" si="2"/>
        <v>50</v>
      </c>
      <c r="BA44" s="18" t="e">
        <f t="shared" si="8"/>
        <v>#REF!</v>
      </c>
      <c r="BB44" s="21"/>
      <c r="BC44" s="30"/>
      <c r="BD44" s="30"/>
      <c r="BE44" s="30"/>
      <c r="BF44" s="30"/>
      <c r="BN44" s="41"/>
    </row>
    <row r="45" spans="1:66" ht="22.5" customHeight="1">
      <c r="A45" s="262"/>
      <c r="B45" s="263"/>
      <c r="C45" s="76" t="s">
        <v>91</v>
      </c>
      <c r="D45" s="75">
        <v>50</v>
      </c>
      <c r="E45" s="75"/>
      <c r="F45" s="75"/>
      <c r="G45" s="41" t="e">
        <f>#REF!</f>
        <v>#REF!</v>
      </c>
      <c r="H45" s="10" cm="1">
        <f t="array" ref="H45">IFERROR(INDEX(PQ_Juli!$B$2:$AF$1048,MATCH($C45,PQ_Juli!$A$2:$A$1048,0),MATCH(H$3&amp;"",PQ_Juli!$B$1:$AF$1&amp;"",0)),0)</f>
        <v>0</v>
      </c>
      <c r="I45" s="10" cm="1">
        <f t="array" ref="I45">IFERROR(INDEX(PQ_Juli!$B$2:$AF$1048,MATCH($C45,PQ_Juli!$A$2:$A$1048,0),MATCH(I$3&amp;"",PQ_Juli!$B$1:$AF$1&amp;"",0)),0)</f>
        <v>0</v>
      </c>
      <c r="J45" s="10" cm="1">
        <f t="array" ref="J45">IFERROR(INDEX(PQ_Juli!$B$2:$AF$1048,MATCH($C45,PQ_Juli!$A$2:$A$1048,0),MATCH(J$3&amp;"",PQ_Juli!$B$1:$AF$1&amp;"",0)),0)</f>
        <v>0</v>
      </c>
      <c r="K45" s="10" cm="1">
        <f t="array" ref="K45">IFERROR(INDEX(PQ_Juli!$B$2:$AF$1048,MATCH($C45,PQ_Juli!$A$2:$A$1048,0),MATCH(K$3&amp;"",PQ_Juli!$B$1:$AF$1&amp;"",0)),0)</f>
        <v>0</v>
      </c>
      <c r="L45" s="11"/>
      <c r="M45" s="10" cm="1">
        <f t="array" ref="M45">IFERROR(INDEX(PQ_Juli!$B$2:$AF$1048,MATCH($C45,PQ_Juli!$A$2:$A$1048,0),MATCH(M$3&amp;"",PQ_Juli!$B$1:$AF$1&amp;"",0)),0)</f>
        <v>0</v>
      </c>
      <c r="N45" s="10" cm="1">
        <f t="array" ref="N45">IFERROR(INDEX(PQ_Juli!$B$2:$AF$1048,MATCH($C45,PQ_Juli!$A$2:$A$1048,0),MATCH(N$3&amp;"",PQ_Juli!$B$1:$AF$1&amp;"",0)),0)</f>
        <v>0</v>
      </c>
      <c r="O45" s="10" cm="1">
        <f t="array" ref="O45">IFERROR(INDEX(PQ_Juli!$B$2:$AF$1048,MATCH($C45,PQ_Juli!$A$2:$A$1048,0),MATCH(O$3&amp;"",PQ_Juli!$B$1:$AF$1&amp;"",0)),0)</f>
        <v>0</v>
      </c>
      <c r="P45" s="10" cm="1">
        <f t="array" ref="P45">IFERROR(INDEX(PQ_Juli!$B$2:$AF$1048,MATCH($C45,PQ_Juli!$A$2:$A$1048,0),MATCH(P$3&amp;"",PQ_Juli!$B$1:$AF$1&amp;"",0)),0)</f>
        <v>0</v>
      </c>
      <c r="Q45" s="10" cm="1">
        <f t="array" ref="Q45">IFERROR(INDEX(PQ_Juli!$B$2:$AF$1048,MATCH($C45,PQ_Juli!$A$2:$A$1048,0),MATCH(Q$3&amp;"",PQ_Juli!$B$1:$AF$1&amp;"",0)),0)</f>
        <v>0</v>
      </c>
      <c r="R45" s="10" cm="1">
        <f t="array" ref="R45">IFERROR(INDEX(PQ_Juli!$B$2:$AF$1048,MATCH($C45,PQ_Juli!$A$2:$A$1048,0),MATCH(R$3&amp;"",PQ_Juli!$B$1:$AF$1&amp;"",0)),0)</f>
        <v>0</v>
      </c>
      <c r="S45" s="11"/>
      <c r="T45" s="10" cm="1">
        <f t="array" ref="T45">IFERROR(INDEX(PQ_Juli!$B$2:$AF$1048,MATCH($C45,PQ_Juli!$A$2:$A$1048,0),MATCH(T$3&amp;"",PQ_Juli!$B$1:$AF$1&amp;"",0)),0)</f>
        <v>0</v>
      </c>
      <c r="U45" s="10" cm="1">
        <f t="array" ref="U45">IFERROR(INDEX(PQ_Juli!$B$2:$AF$1048,MATCH($C45,PQ_Juli!$A$2:$A$1048,0),MATCH(U$3&amp;"",PQ_Juli!$B$1:$AF$1&amp;"",0)),0)</f>
        <v>0</v>
      </c>
      <c r="V45" s="10" cm="1">
        <f t="array" ref="V45">IFERROR(INDEX(PQ_Juli!$B$2:$AF$1048,MATCH($C45,PQ_Juli!$A$2:$A$1048,0),MATCH(V$3&amp;"",PQ_Juli!$B$1:$AF$1&amp;"",0)),0)</f>
        <v>0</v>
      </c>
      <c r="W45" s="10" cm="1">
        <f t="array" ref="W45">IFERROR(INDEX(PQ_Juli!$B$2:$AF$1048,MATCH($C45,PQ_Juli!$A$2:$A$1048,0),MATCH(W$3&amp;"",PQ_Juli!$B$1:$AF$1&amp;"",0)),0)</f>
        <v>0</v>
      </c>
      <c r="X45" s="10" cm="1">
        <f t="array" ref="X45">IFERROR(INDEX(PQ_Juli!$B$2:$AF$1048,MATCH($C45,PQ_Juli!$A$2:$A$1048,0),MATCH(X$3&amp;"",PQ_Juli!$B$1:$AF$1&amp;"",0)),0)</f>
        <v>0</v>
      </c>
      <c r="Y45" s="10" cm="1">
        <f t="array" ref="Y45">IFERROR(INDEX(PQ_Juli!$B$2:$AF$1048,MATCH($C45,PQ_Juli!$A$2:$A$1048,0),MATCH(Y$3&amp;"",PQ_Juli!$B$1:$AF$1&amp;"",0)),0)</f>
        <v>0</v>
      </c>
      <c r="Z45" s="11"/>
      <c r="AA45" s="10" cm="1">
        <f t="array" ref="AA45">IFERROR(INDEX(PQ_Juli!$B$2:$AF$1048,MATCH($C45,PQ_Juli!$A$2:$A$1048,0),MATCH(AA$3&amp;"",PQ_Juli!$B$1:$AF$1&amp;"",0)),0)</f>
        <v>0</v>
      </c>
      <c r="AB45" s="10" cm="1">
        <f t="array" ref="AB45">IFERROR(INDEX(PQ_Juli!$B$2:$AF$1048,MATCH($C45,PQ_Juli!$A$2:$A$1048,0),MATCH(AB$3&amp;"",PQ_Juli!$B$1:$AF$1&amp;"",0)),0)</f>
        <v>1</v>
      </c>
      <c r="AC45" s="10" cm="1">
        <f t="array" ref="AC45">IFERROR(INDEX(PQ_Juli!$B$2:$AF$1048,MATCH($C45,PQ_Juli!$A$2:$A$1048,0),MATCH(AC$3&amp;"",PQ_Juli!$B$1:$AF$1&amp;"",0)),0)</f>
        <v>0</v>
      </c>
      <c r="AD45" s="10" cm="1">
        <f t="array" ref="AD45">IFERROR(INDEX(PQ_Juli!$B$2:$AF$1048,MATCH($C45,PQ_Juli!$A$2:$A$1048,0),MATCH(AD$3&amp;"",PQ_Juli!$B$1:$AF$1&amp;"",0)),0)</f>
        <v>0</v>
      </c>
      <c r="AE45" s="10" cm="1">
        <f t="array" ref="AE45">IFERROR(INDEX(PQ_Juli!$B$2:$AF$1048,MATCH($C45,PQ_Juli!$A$2:$A$1048,0),MATCH(AE$3&amp;"",PQ_Juli!$B$1:$AF$1&amp;"",0)),0)</f>
        <v>0</v>
      </c>
      <c r="AF45" s="10" cm="1">
        <f t="array" ref="AF45">IFERROR(INDEX(PQ_Juli!$B$2:$AF$1048,MATCH($C45,PQ_Juli!$A$2:$A$1048,0),MATCH(AF$3&amp;"",PQ_Juli!$B$1:$AF$1&amp;"",0)),0)</f>
        <v>0</v>
      </c>
      <c r="AG45" s="11"/>
      <c r="AH45" s="10" cm="1">
        <f t="array" ref="AH45">IFERROR(INDEX(PQ_Juli!$B$2:$AF$1048,MATCH($C45,PQ_Juli!$A$2:$A$1048,0),MATCH(AH$3&amp;"",PQ_Juli!$B$1:$AF$1&amp;"",0)),0)</f>
        <v>0</v>
      </c>
      <c r="AI45" s="10" cm="1">
        <f t="array" ref="AI45">IFERROR(INDEX(PQ_Juli!$B$2:$AF$1048,MATCH($C45,PQ_Juli!$A$2:$A$1048,0),MATCH(AI$3&amp;"",PQ_Juli!$B$1:$AF$1&amp;"",0)),0)</f>
        <v>0</v>
      </c>
      <c r="AJ45" s="10" cm="1">
        <f t="array" ref="AJ45">IFERROR(INDEX(PQ_Juli!$B$2:$AF$1048,MATCH($C45,PQ_Juli!$A$2:$A$1048,0),MATCH(AJ$3&amp;"",PQ_Juli!$B$1:$AF$1&amp;"",0)),0)</f>
        <v>1</v>
      </c>
      <c r="AK45" s="10" cm="1">
        <f t="array" ref="AK45">IFERROR(INDEX(PQ_Juli!$B$2:$AF$1048,MATCH($C45,PQ_Juli!$A$2:$A$1048,0),MATCH(AK$3&amp;"",PQ_Juli!$B$1:$AF$1&amp;"",0)),0)</f>
        <v>0</v>
      </c>
      <c r="AL45" s="10" cm="1">
        <f t="array" ref="AL45">IFERROR(INDEX(PQ_Juli!$B$2:$AF$1048,MATCH($C45,PQ_Juli!$A$2:$A$1048,0),MATCH(AL$3&amp;"",PQ_Juli!$B$1:$AF$1&amp;"",0)),0)</f>
        <v>0</v>
      </c>
      <c r="AM45" s="13">
        <v>6</v>
      </c>
      <c r="AN45" s="14">
        <f t="shared" si="4"/>
        <v>8</v>
      </c>
      <c r="AO45" s="18" t="e">
        <f t="shared" si="7"/>
        <v>#REF!</v>
      </c>
      <c r="AP45" s="23">
        <v>20</v>
      </c>
      <c r="AQ45" s="23" t="s">
        <v>79</v>
      </c>
      <c r="AR45" s="92"/>
      <c r="AS45" s="29"/>
      <c r="AT45" s="92"/>
      <c r="AU45" s="29"/>
      <c r="AV45" s="92"/>
      <c r="AW45" s="92"/>
      <c r="AX45" s="29">
        <f t="shared" si="5"/>
        <v>0</v>
      </c>
      <c r="AY45" s="29">
        <f t="shared" si="6"/>
        <v>0</v>
      </c>
      <c r="AZ45" s="18">
        <f t="shared" si="2"/>
        <v>0</v>
      </c>
      <c r="BA45" s="18" t="e">
        <f t="shared" si="8"/>
        <v>#REF!</v>
      </c>
      <c r="BB45" s="21"/>
      <c r="BC45" s="30"/>
      <c r="BD45" s="30"/>
      <c r="BE45" s="30"/>
      <c r="BF45" s="30"/>
      <c r="BN45" s="41"/>
    </row>
    <row r="46" spans="1:66" ht="22.5" customHeight="1">
      <c r="A46" s="262"/>
      <c r="B46" s="263"/>
      <c r="C46" s="76" t="s">
        <v>92</v>
      </c>
      <c r="D46" s="75">
        <v>50</v>
      </c>
      <c r="E46" s="75"/>
      <c r="F46" s="75"/>
      <c r="G46" s="41">
        <v>45</v>
      </c>
      <c r="H46" s="10" cm="1">
        <f t="array" ref="H46">IFERROR(INDEX(PQ_Juli!$B$2:$AF$1048,MATCH($C46,PQ_Juli!$A$2:$A$1048,0),MATCH(H$3&amp;"",PQ_Juli!$B$1:$AF$1&amp;"",0)),0)</f>
        <v>0</v>
      </c>
      <c r="I46" s="10" cm="1">
        <f t="array" ref="I46">IFERROR(INDEX(PQ_Juli!$B$2:$AF$1048,MATCH($C46,PQ_Juli!$A$2:$A$1048,0),MATCH(I$3&amp;"",PQ_Juli!$B$1:$AF$1&amp;"",0)),0)</f>
        <v>1</v>
      </c>
      <c r="J46" s="10" cm="1">
        <f t="array" ref="J46">IFERROR(INDEX(PQ_Juli!$B$2:$AF$1048,MATCH($C46,PQ_Juli!$A$2:$A$1048,0),MATCH(J$3&amp;"",PQ_Juli!$B$1:$AF$1&amp;"",0)),0)</f>
        <v>0</v>
      </c>
      <c r="K46" s="10" cm="1">
        <f t="array" ref="K46">IFERROR(INDEX(PQ_Juli!$B$2:$AF$1048,MATCH($C46,PQ_Juli!$A$2:$A$1048,0),MATCH(K$3&amp;"",PQ_Juli!$B$1:$AF$1&amp;"",0)),0)</f>
        <v>0</v>
      </c>
      <c r="L46" s="11"/>
      <c r="M46" s="10" cm="1">
        <f t="array" ref="M46">IFERROR(INDEX(PQ_Juli!$B$2:$AF$1048,MATCH($C46,PQ_Juli!$A$2:$A$1048,0),MATCH(M$3&amp;"",PQ_Juli!$B$1:$AF$1&amp;"",0)),0)</f>
        <v>0</v>
      </c>
      <c r="N46" s="10" cm="1">
        <f t="array" ref="N46">IFERROR(INDEX(PQ_Juli!$B$2:$AF$1048,MATCH($C46,PQ_Juli!$A$2:$A$1048,0),MATCH(N$3&amp;"",PQ_Juli!$B$1:$AF$1&amp;"",0)),0)</f>
        <v>0</v>
      </c>
      <c r="O46" s="10" cm="1">
        <f t="array" ref="O46">IFERROR(INDEX(PQ_Juli!$B$2:$AF$1048,MATCH($C46,PQ_Juli!$A$2:$A$1048,0),MATCH(O$3&amp;"",PQ_Juli!$B$1:$AF$1&amp;"",0)),0)</f>
        <v>1</v>
      </c>
      <c r="P46" s="10" cm="1">
        <f t="array" ref="P46">IFERROR(INDEX(PQ_Juli!$B$2:$AF$1048,MATCH($C46,PQ_Juli!$A$2:$A$1048,0),MATCH(P$3&amp;"",PQ_Juli!$B$1:$AF$1&amp;"",0)),0)</f>
        <v>0</v>
      </c>
      <c r="Q46" s="10" cm="1">
        <f t="array" ref="Q46">IFERROR(INDEX(PQ_Juli!$B$2:$AF$1048,MATCH($C46,PQ_Juli!$A$2:$A$1048,0),MATCH(Q$3&amp;"",PQ_Juli!$B$1:$AF$1&amp;"",0)),0)</f>
        <v>0</v>
      </c>
      <c r="R46" s="10" cm="1">
        <f t="array" ref="R46">IFERROR(INDEX(PQ_Juli!$B$2:$AF$1048,MATCH($C46,PQ_Juli!$A$2:$A$1048,0),MATCH(R$3&amp;"",PQ_Juli!$B$1:$AF$1&amp;"",0)),0)</f>
        <v>0</v>
      </c>
      <c r="S46" s="11"/>
      <c r="T46" s="10" cm="1">
        <f t="array" ref="T46">IFERROR(INDEX(PQ_Juli!$B$2:$AF$1048,MATCH($C46,PQ_Juli!$A$2:$A$1048,0),MATCH(T$3&amp;"",PQ_Juli!$B$1:$AF$1&amp;"",0)),0)</f>
        <v>0</v>
      </c>
      <c r="U46" s="10" cm="1">
        <f t="array" ref="U46">IFERROR(INDEX(PQ_Juli!$B$2:$AF$1048,MATCH($C46,PQ_Juli!$A$2:$A$1048,0),MATCH(U$3&amp;"",PQ_Juli!$B$1:$AF$1&amp;"",0)),0)</f>
        <v>0</v>
      </c>
      <c r="V46" s="10" cm="1">
        <f t="array" ref="V46">IFERROR(INDEX(PQ_Juli!$B$2:$AF$1048,MATCH($C46,PQ_Juli!$A$2:$A$1048,0),MATCH(V$3&amp;"",PQ_Juli!$B$1:$AF$1&amp;"",0)),0)</f>
        <v>0</v>
      </c>
      <c r="W46" s="10" cm="1">
        <f t="array" ref="W46">IFERROR(INDEX(PQ_Juli!$B$2:$AF$1048,MATCH($C46,PQ_Juli!$A$2:$A$1048,0),MATCH(W$3&amp;"",PQ_Juli!$B$1:$AF$1&amp;"",0)),0)</f>
        <v>0</v>
      </c>
      <c r="X46" s="10" cm="1">
        <f t="array" ref="X46">IFERROR(INDEX(PQ_Juli!$B$2:$AF$1048,MATCH($C46,PQ_Juli!$A$2:$A$1048,0),MATCH(X$3&amp;"",PQ_Juli!$B$1:$AF$1&amp;"",0)),0)</f>
        <v>0</v>
      </c>
      <c r="Y46" s="10" cm="1">
        <f t="array" ref="Y46">IFERROR(INDEX(PQ_Juli!$B$2:$AF$1048,MATCH($C46,PQ_Juli!$A$2:$A$1048,0),MATCH(Y$3&amp;"",PQ_Juli!$B$1:$AF$1&amp;"",0)),0)</f>
        <v>0</v>
      </c>
      <c r="Z46" s="11"/>
      <c r="AA46" s="10" cm="1">
        <f t="array" ref="AA46">IFERROR(INDEX(PQ_Juli!$B$2:$AF$1048,MATCH($C46,PQ_Juli!$A$2:$A$1048,0),MATCH(AA$3&amp;"",PQ_Juli!$B$1:$AF$1&amp;"",0)),0)</f>
        <v>0</v>
      </c>
      <c r="AB46" s="10" cm="1">
        <f t="array" ref="AB46">IFERROR(INDEX(PQ_Juli!$B$2:$AF$1048,MATCH($C46,PQ_Juli!$A$2:$A$1048,0),MATCH(AB$3&amp;"",PQ_Juli!$B$1:$AF$1&amp;"",0)),0)</f>
        <v>0</v>
      </c>
      <c r="AC46" s="10" cm="1">
        <f t="array" ref="AC46">IFERROR(INDEX(PQ_Juli!$B$2:$AF$1048,MATCH($C46,PQ_Juli!$A$2:$A$1048,0),MATCH(AC$3&amp;"",PQ_Juli!$B$1:$AF$1&amp;"",0)),0)</f>
        <v>0</v>
      </c>
      <c r="AD46" s="10" cm="1">
        <f t="array" ref="AD46">IFERROR(INDEX(PQ_Juli!$B$2:$AF$1048,MATCH($C46,PQ_Juli!$A$2:$A$1048,0),MATCH(AD$3&amp;"",PQ_Juli!$B$1:$AF$1&amp;"",0)),0)</f>
        <v>0</v>
      </c>
      <c r="AE46" s="10" cm="1">
        <f t="array" ref="AE46">IFERROR(INDEX(PQ_Juli!$B$2:$AF$1048,MATCH($C46,PQ_Juli!$A$2:$A$1048,0),MATCH(AE$3&amp;"",PQ_Juli!$B$1:$AF$1&amp;"",0)),0)</f>
        <v>0</v>
      </c>
      <c r="AF46" s="10" cm="1">
        <f t="array" ref="AF46">IFERROR(INDEX(PQ_Juli!$B$2:$AF$1048,MATCH($C46,PQ_Juli!$A$2:$A$1048,0),MATCH(AF$3&amp;"",PQ_Juli!$B$1:$AF$1&amp;"",0)),0)</f>
        <v>1</v>
      </c>
      <c r="AG46" s="11"/>
      <c r="AH46" s="10" cm="1">
        <f t="array" ref="AH46">IFERROR(INDEX(PQ_Juli!$B$2:$AF$1048,MATCH($C46,PQ_Juli!$A$2:$A$1048,0),MATCH(AH$3&amp;"",PQ_Juli!$B$1:$AF$1&amp;"",0)),0)</f>
        <v>0</v>
      </c>
      <c r="AI46" s="10" cm="1">
        <f t="array" ref="AI46">IFERROR(INDEX(PQ_Juli!$B$2:$AF$1048,MATCH($C46,PQ_Juli!$A$2:$A$1048,0),MATCH(AI$3&amp;"",PQ_Juli!$B$1:$AF$1&amp;"",0)),0)</f>
        <v>0</v>
      </c>
      <c r="AJ46" s="10" cm="1">
        <f t="array" ref="AJ46">IFERROR(INDEX(PQ_Juli!$B$2:$AF$1048,MATCH($C46,PQ_Juli!$A$2:$A$1048,0),MATCH(AJ$3&amp;"",PQ_Juli!$B$1:$AF$1&amp;"",0)),0)</f>
        <v>0</v>
      </c>
      <c r="AK46" s="10" cm="1">
        <f t="array" ref="AK46">IFERROR(INDEX(PQ_Juli!$B$2:$AF$1048,MATCH($C46,PQ_Juli!$A$2:$A$1048,0),MATCH(AK$3&amp;"",PQ_Juli!$B$1:$AF$1&amp;"",0)),0)</f>
        <v>1</v>
      </c>
      <c r="AL46" s="10" cm="1">
        <f t="array" ref="AL46">IFERROR(INDEX(PQ_Juli!$B$2:$AF$1048,MATCH($C46,PQ_Juli!$A$2:$A$1048,0),MATCH(AL$3&amp;"",PQ_Juli!$B$1:$AF$1&amp;"",0)),0)</f>
        <v>0</v>
      </c>
      <c r="AM46" s="13">
        <v>10</v>
      </c>
      <c r="AN46" s="14">
        <f t="shared" si="4"/>
        <v>14</v>
      </c>
      <c r="AO46" s="18">
        <f t="shared" si="7"/>
        <v>31</v>
      </c>
      <c r="AP46" s="23">
        <v>20</v>
      </c>
      <c r="AQ46" s="23" t="s">
        <v>79</v>
      </c>
      <c r="AR46" s="92"/>
      <c r="AS46" s="29"/>
      <c r="AT46" s="92"/>
      <c r="AU46" s="29"/>
      <c r="AV46" s="92"/>
      <c r="AW46" s="92"/>
      <c r="AX46" s="29">
        <f t="shared" si="5"/>
        <v>0</v>
      </c>
      <c r="AY46" s="29">
        <f t="shared" si="6"/>
        <v>0</v>
      </c>
      <c r="AZ46" s="18">
        <f t="shared" si="2"/>
        <v>0</v>
      </c>
      <c r="BA46" s="18">
        <f t="shared" si="8"/>
        <v>31</v>
      </c>
      <c r="BB46" s="21"/>
      <c r="BC46" s="30"/>
      <c r="BD46" s="30"/>
      <c r="BE46" s="30"/>
      <c r="BF46" s="30"/>
      <c r="BN46" s="41"/>
    </row>
    <row r="47" spans="1:66" ht="22.5" customHeight="1">
      <c r="A47" s="262"/>
      <c r="B47" s="263"/>
      <c r="C47" s="76" t="s">
        <v>93</v>
      </c>
      <c r="D47" s="75">
        <v>50</v>
      </c>
      <c r="E47" s="75"/>
      <c r="F47" s="75"/>
      <c r="G47" s="41" t="e">
        <f>#REF!</f>
        <v>#REF!</v>
      </c>
      <c r="H47" s="10" cm="1">
        <f t="array" ref="H47">IFERROR(INDEX(PQ_Juli!$B$2:$AF$1048,MATCH($C47,PQ_Juli!$A$2:$A$1048,0),MATCH(H$3&amp;"",PQ_Juli!$B$1:$AF$1&amp;"",0)),0)</f>
        <v>0</v>
      </c>
      <c r="I47" s="10" cm="1">
        <f t="array" ref="I47">IFERROR(INDEX(PQ_Juli!$B$2:$AF$1048,MATCH($C47,PQ_Juli!$A$2:$A$1048,0),MATCH(I$3&amp;"",PQ_Juli!$B$1:$AF$1&amp;"",0)),0)</f>
        <v>0</v>
      </c>
      <c r="J47" s="10" cm="1">
        <f t="array" ref="J47">IFERROR(INDEX(PQ_Juli!$B$2:$AF$1048,MATCH($C47,PQ_Juli!$A$2:$A$1048,0),MATCH(J$3&amp;"",PQ_Juli!$B$1:$AF$1&amp;"",0)),0)</f>
        <v>0</v>
      </c>
      <c r="K47" s="10" cm="1">
        <f t="array" ref="K47">IFERROR(INDEX(PQ_Juli!$B$2:$AF$1048,MATCH($C47,PQ_Juli!$A$2:$A$1048,0),MATCH(K$3&amp;"",PQ_Juli!$B$1:$AF$1&amp;"",0)),0)</f>
        <v>0</v>
      </c>
      <c r="L47" s="11"/>
      <c r="M47" s="10" cm="1">
        <f t="array" ref="M47">IFERROR(INDEX(PQ_Juli!$B$2:$AF$1048,MATCH($C47,PQ_Juli!$A$2:$A$1048,0),MATCH(M$3&amp;"",PQ_Juli!$B$1:$AF$1&amp;"",0)),0)</f>
        <v>0</v>
      </c>
      <c r="N47" s="10" cm="1">
        <f t="array" ref="N47">IFERROR(INDEX(PQ_Juli!$B$2:$AF$1048,MATCH($C47,PQ_Juli!$A$2:$A$1048,0),MATCH(N$3&amp;"",PQ_Juli!$B$1:$AF$1&amp;"",0)),0)</f>
        <v>0</v>
      </c>
      <c r="O47" s="10" cm="1">
        <f t="array" ref="O47">IFERROR(INDEX(PQ_Juli!$B$2:$AF$1048,MATCH($C47,PQ_Juli!$A$2:$A$1048,0),MATCH(O$3&amp;"",PQ_Juli!$B$1:$AF$1&amp;"",0)),0)</f>
        <v>0</v>
      </c>
      <c r="P47" s="10" cm="1">
        <f t="array" ref="P47">IFERROR(INDEX(PQ_Juli!$B$2:$AF$1048,MATCH($C47,PQ_Juli!$A$2:$A$1048,0),MATCH(P$3&amp;"",PQ_Juli!$B$1:$AF$1&amp;"",0)),0)</f>
        <v>0</v>
      </c>
      <c r="Q47" s="10" cm="1">
        <f t="array" ref="Q47">IFERROR(INDEX(PQ_Juli!$B$2:$AF$1048,MATCH($C47,PQ_Juli!$A$2:$A$1048,0),MATCH(Q$3&amp;"",PQ_Juli!$B$1:$AF$1&amp;"",0)),0)</f>
        <v>1</v>
      </c>
      <c r="R47" s="10" cm="1">
        <f t="array" ref="R47">IFERROR(INDEX(PQ_Juli!$B$2:$AF$1048,MATCH($C47,PQ_Juli!$A$2:$A$1048,0),MATCH(R$3&amp;"",PQ_Juli!$B$1:$AF$1&amp;"",0)),0)</f>
        <v>0</v>
      </c>
      <c r="S47" s="11"/>
      <c r="T47" s="10" cm="1">
        <f t="array" ref="T47">IFERROR(INDEX(PQ_Juli!$B$2:$AF$1048,MATCH($C47,PQ_Juli!$A$2:$A$1048,0),MATCH(T$3&amp;"",PQ_Juli!$B$1:$AF$1&amp;"",0)),0)</f>
        <v>0</v>
      </c>
      <c r="U47" s="10" cm="1">
        <f t="array" ref="U47">IFERROR(INDEX(PQ_Juli!$B$2:$AF$1048,MATCH($C47,PQ_Juli!$A$2:$A$1048,0),MATCH(U$3&amp;"",PQ_Juli!$B$1:$AF$1&amp;"",0)),0)</f>
        <v>2</v>
      </c>
      <c r="V47" s="10" cm="1">
        <f t="array" ref="V47">IFERROR(INDEX(PQ_Juli!$B$2:$AF$1048,MATCH($C47,PQ_Juli!$A$2:$A$1048,0),MATCH(V$3&amp;"",PQ_Juli!$B$1:$AF$1&amp;"",0)),0)</f>
        <v>0</v>
      </c>
      <c r="W47" s="10" cm="1">
        <f t="array" ref="W47">IFERROR(INDEX(PQ_Juli!$B$2:$AF$1048,MATCH($C47,PQ_Juli!$A$2:$A$1048,0),MATCH(W$3&amp;"",PQ_Juli!$B$1:$AF$1&amp;"",0)),0)</f>
        <v>0</v>
      </c>
      <c r="X47" s="10" cm="1">
        <f t="array" ref="X47">IFERROR(INDEX(PQ_Juli!$B$2:$AF$1048,MATCH($C47,PQ_Juli!$A$2:$A$1048,0),MATCH(X$3&amp;"",PQ_Juli!$B$1:$AF$1&amp;"",0)),0)</f>
        <v>0</v>
      </c>
      <c r="Y47" s="10" cm="1">
        <f t="array" ref="Y47">IFERROR(INDEX(PQ_Juli!$B$2:$AF$1048,MATCH($C47,PQ_Juli!$A$2:$A$1048,0),MATCH(Y$3&amp;"",PQ_Juli!$B$1:$AF$1&amp;"",0)),0)</f>
        <v>0</v>
      </c>
      <c r="Z47" s="11"/>
      <c r="AA47" s="10" cm="1">
        <f t="array" ref="AA47">IFERROR(INDEX(PQ_Juli!$B$2:$AF$1048,MATCH($C47,PQ_Juli!$A$2:$A$1048,0),MATCH(AA$3&amp;"",PQ_Juli!$B$1:$AF$1&amp;"",0)),0)</f>
        <v>0</v>
      </c>
      <c r="AB47" s="10" cm="1">
        <f t="array" ref="AB47">IFERROR(INDEX(PQ_Juli!$B$2:$AF$1048,MATCH($C47,PQ_Juli!$A$2:$A$1048,0),MATCH(AB$3&amp;"",PQ_Juli!$B$1:$AF$1&amp;"",0)),0)</f>
        <v>1</v>
      </c>
      <c r="AC47" s="10" cm="1">
        <f t="array" ref="AC47">IFERROR(INDEX(PQ_Juli!$B$2:$AF$1048,MATCH($C47,PQ_Juli!$A$2:$A$1048,0),MATCH(AC$3&amp;"",PQ_Juli!$B$1:$AF$1&amp;"",0)),0)</f>
        <v>0</v>
      </c>
      <c r="AD47" s="10" cm="1">
        <f t="array" ref="AD47">IFERROR(INDEX(PQ_Juli!$B$2:$AF$1048,MATCH($C47,PQ_Juli!$A$2:$A$1048,0),MATCH(AD$3&amp;"",PQ_Juli!$B$1:$AF$1&amp;"",0)),0)</f>
        <v>0</v>
      </c>
      <c r="AE47" s="10" cm="1">
        <f t="array" ref="AE47">IFERROR(INDEX(PQ_Juli!$B$2:$AF$1048,MATCH($C47,PQ_Juli!$A$2:$A$1048,0),MATCH(AE$3&amp;"",PQ_Juli!$B$1:$AF$1&amp;"",0)),0)</f>
        <v>0</v>
      </c>
      <c r="AF47" s="10" cm="1">
        <f t="array" ref="AF47">IFERROR(INDEX(PQ_Juli!$B$2:$AF$1048,MATCH($C47,PQ_Juli!$A$2:$A$1048,0),MATCH(AF$3&amp;"",PQ_Juli!$B$1:$AF$1&amp;"",0)),0)</f>
        <v>1</v>
      </c>
      <c r="AG47" s="11"/>
      <c r="AH47" s="10" cm="1">
        <f t="array" ref="AH47">IFERROR(INDEX(PQ_Juli!$B$2:$AF$1048,MATCH($C47,PQ_Juli!$A$2:$A$1048,0),MATCH(AH$3&amp;"",PQ_Juli!$B$1:$AF$1&amp;"",0)),0)</f>
        <v>0</v>
      </c>
      <c r="AI47" s="10" cm="1">
        <f t="array" ref="AI47">IFERROR(INDEX(PQ_Juli!$B$2:$AF$1048,MATCH($C47,PQ_Juli!$A$2:$A$1048,0),MATCH(AI$3&amp;"",PQ_Juli!$B$1:$AF$1&amp;"",0)),0)</f>
        <v>1</v>
      </c>
      <c r="AJ47" s="10" cm="1">
        <f t="array" ref="AJ47">IFERROR(INDEX(PQ_Juli!$B$2:$AF$1048,MATCH($C47,PQ_Juli!$A$2:$A$1048,0),MATCH(AJ$3&amp;"",PQ_Juli!$B$1:$AF$1&amp;"",0)),0)</f>
        <v>0</v>
      </c>
      <c r="AK47" s="10" cm="1">
        <f t="array" ref="AK47">IFERROR(INDEX(PQ_Juli!$B$2:$AF$1048,MATCH($C47,PQ_Juli!$A$2:$A$1048,0),MATCH(AK$3&amp;"",PQ_Juli!$B$1:$AF$1&amp;"",0)),0)</f>
        <v>0</v>
      </c>
      <c r="AL47" s="10" cm="1">
        <f t="array" ref="AL47">IFERROR(INDEX(PQ_Juli!$B$2:$AF$1048,MATCH($C47,PQ_Juli!$A$2:$A$1048,0),MATCH(AL$3&amp;"",PQ_Juli!$B$1:$AF$1&amp;"",0)),0)</f>
        <v>0</v>
      </c>
      <c r="AM47" s="13">
        <v>14</v>
      </c>
      <c r="AN47" s="14">
        <f t="shared" si="4"/>
        <v>20</v>
      </c>
      <c r="AO47" s="18" t="e">
        <f t="shared" si="7"/>
        <v>#REF!</v>
      </c>
      <c r="AP47" s="23">
        <v>20</v>
      </c>
      <c r="AQ47" s="23" t="s">
        <v>79</v>
      </c>
      <c r="AR47" s="92"/>
      <c r="AS47" s="29"/>
      <c r="AT47" s="92"/>
      <c r="AU47" s="29"/>
      <c r="AV47" s="92"/>
      <c r="AW47" s="92"/>
      <c r="AX47" s="29">
        <f t="shared" si="5"/>
        <v>0</v>
      </c>
      <c r="AY47" s="29">
        <f t="shared" si="6"/>
        <v>0</v>
      </c>
      <c r="AZ47" s="18">
        <f t="shared" si="2"/>
        <v>0</v>
      </c>
      <c r="BA47" s="18" t="e">
        <f t="shared" si="8"/>
        <v>#REF!</v>
      </c>
      <c r="BB47" s="21"/>
      <c r="BC47" s="30"/>
      <c r="BD47" s="30"/>
      <c r="BE47" s="30"/>
      <c r="BF47" s="30"/>
      <c r="BN47" s="41"/>
    </row>
    <row r="48" spans="1:66" ht="22.5" customHeight="1">
      <c r="A48" s="262"/>
      <c r="B48" s="263"/>
      <c r="C48" s="76" t="s">
        <v>94</v>
      </c>
      <c r="D48" s="75">
        <v>50</v>
      </c>
      <c r="E48" s="75"/>
      <c r="F48" s="75"/>
      <c r="G48" s="41" t="e">
        <f>#REF!</f>
        <v>#REF!</v>
      </c>
      <c r="H48" s="10" cm="1">
        <f t="array" ref="H48">IFERROR(INDEX(PQ_Juli!$B$2:$AF$1048,MATCH($C48,PQ_Juli!$A$2:$A$1048,0),MATCH(H$3&amp;"",PQ_Juli!$B$1:$AF$1&amp;"",0)),0)</f>
        <v>0</v>
      </c>
      <c r="I48" s="10" cm="1">
        <f t="array" ref="I48">IFERROR(INDEX(PQ_Juli!$B$2:$AF$1048,MATCH($C48,PQ_Juli!$A$2:$A$1048,0),MATCH(I$3&amp;"",PQ_Juli!$B$1:$AF$1&amp;"",0)),0)</f>
        <v>1</v>
      </c>
      <c r="J48" s="10" cm="1">
        <f t="array" ref="J48">IFERROR(INDEX(PQ_Juli!$B$2:$AF$1048,MATCH($C48,PQ_Juli!$A$2:$A$1048,0),MATCH(J$3&amp;"",PQ_Juli!$B$1:$AF$1&amp;"",0)),0)</f>
        <v>0</v>
      </c>
      <c r="K48" s="10" cm="1">
        <f t="array" ref="K48">IFERROR(INDEX(PQ_Juli!$B$2:$AF$1048,MATCH($C48,PQ_Juli!$A$2:$A$1048,0),MATCH(K$3&amp;"",PQ_Juli!$B$1:$AF$1&amp;"",0)),0)</f>
        <v>0</v>
      </c>
      <c r="L48" s="11"/>
      <c r="M48" s="10" cm="1">
        <f t="array" ref="M48">IFERROR(INDEX(PQ_Juli!$B$2:$AF$1048,MATCH($C48,PQ_Juli!$A$2:$A$1048,0),MATCH(M$3&amp;"",PQ_Juli!$B$1:$AF$1&amp;"",0)),0)</f>
        <v>0</v>
      </c>
      <c r="N48" s="10" cm="1">
        <f t="array" ref="N48">IFERROR(INDEX(PQ_Juli!$B$2:$AF$1048,MATCH($C48,PQ_Juli!$A$2:$A$1048,0),MATCH(N$3&amp;"",PQ_Juli!$B$1:$AF$1&amp;"",0)),0)</f>
        <v>0</v>
      </c>
      <c r="O48" s="10" cm="1">
        <f t="array" ref="O48">IFERROR(INDEX(PQ_Juli!$B$2:$AF$1048,MATCH($C48,PQ_Juli!$A$2:$A$1048,0),MATCH(O$3&amp;"",PQ_Juli!$B$1:$AF$1&amp;"",0)),0)</f>
        <v>1</v>
      </c>
      <c r="P48" s="10" cm="1">
        <f t="array" ref="P48">IFERROR(INDEX(PQ_Juli!$B$2:$AF$1048,MATCH($C48,PQ_Juli!$A$2:$A$1048,0),MATCH(P$3&amp;"",PQ_Juli!$B$1:$AF$1&amp;"",0)),0)</f>
        <v>0</v>
      </c>
      <c r="Q48" s="10" cm="1">
        <f t="array" ref="Q48">IFERROR(INDEX(PQ_Juli!$B$2:$AF$1048,MATCH($C48,PQ_Juli!$A$2:$A$1048,0),MATCH(Q$3&amp;"",PQ_Juli!$B$1:$AF$1&amp;"",0)),0)</f>
        <v>0</v>
      </c>
      <c r="R48" s="10" cm="1">
        <f t="array" ref="R48">IFERROR(INDEX(PQ_Juli!$B$2:$AF$1048,MATCH($C48,PQ_Juli!$A$2:$A$1048,0),MATCH(R$3&amp;"",PQ_Juli!$B$1:$AF$1&amp;"",0)),0)</f>
        <v>0</v>
      </c>
      <c r="S48" s="11"/>
      <c r="T48" s="10" cm="1">
        <f t="array" ref="T48">IFERROR(INDEX(PQ_Juli!$B$2:$AF$1048,MATCH($C48,PQ_Juli!$A$2:$A$1048,0),MATCH(T$3&amp;"",PQ_Juli!$B$1:$AF$1&amp;"",0)),0)</f>
        <v>0</v>
      </c>
      <c r="U48" s="10" cm="1">
        <f t="array" ref="U48">IFERROR(INDEX(PQ_Juli!$B$2:$AF$1048,MATCH($C48,PQ_Juli!$A$2:$A$1048,0),MATCH(U$3&amp;"",PQ_Juli!$B$1:$AF$1&amp;"",0)),0)</f>
        <v>0</v>
      </c>
      <c r="V48" s="10" cm="1">
        <f t="array" ref="V48">IFERROR(INDEX(PQ_Juli!$B$2:$AF$1048,MATCH($C48,PQ_Juli!$A$2:$A$1048,0),MATCH(V$3&amp;"",PQ_Juli!$B$1:$AF$1&amp;"",0)),0)</f>
        <v>0</v>
      </c>
      <c r="W48" s="10" cm="1">
        <f t="array" ref="W48">IFERROR(INDEX(PQ_Juli!$B$2:$AF$1048,MATCH($C48,PQ_Juli!$A$2:$A$1048,0),MATCH(W$3&amp;"",PQ_Juli!$B$1:$AF$1&amp;"",0)),0)</f>
        <v>0</v>
      </c>
      <c r="X48" s="10" cm="1">
        <f t="array" ref="X48">IFERROR(INDEX(PQ_Juli!$B$2:$AF$1048,MATCH($C48,PQ_Juli!$A$2:$A$1048,0),MATCH(X$3&amp;"",PQ_Juli!$B$1:$AF$1&amp;"",0)),0)</f>
        <v>0</v>
      </c>
      <c r="Y48" s="10" cm="1">
        <f t="array" ref="Y48">IFERROR(INDEX(PQ_Juli!$B$2:$AF$1048,MATCH($C48,PQ_Juli!$A$2:$A$1048,0),MATCH(Y$3&amp;"",PQ_Juli!$B$1:$AF$1&amp;"",0)),0)</f>
        <v>0</v>
      </c>
      <c r="Z48" s="11"/>
      <c r="AA48" s="10" cm="1">
        <f t="array" ref="AA48">IFERROR(INDEX(PQ_Juli!$B$2:$AF$1048,MATCH($C48,PQ_Juli!$A$2:$A$1048,0),MATCH(AA$3&amp;"",PQ_Juli!$B$1:$AF$1&amp;"",0)),0)</f>
        <v>0</v>
      </c>
      <c r="AB48" s="10" cm="1">
        <f t="array" ref="AB48">IFERROR(INDEX(PQ_Juli!$B$2:$AF$1048,MATCH($C48,PQ_Juli!$A$2:$A$1048,0),MATCH(AB$3&amp;"",PQ_Juli!$B$1:$AF$1&amp;"",0)),0)</f>
        <v>0</v>
      </c>
      <c r="AC48" s="10" cm="1">
        <f t="array" ref="AC48">IFERROR(INDEX(PQ_Juli!$B$2:$AF$1048,MATCH($C48,PQ_Juli!$A$2:$A$1048,0),MATCH(AC$3&amp;"",PQ_Juli!$B$1:$AF$1&amp;"",0)),0)</f>
        <v>0</v>
      </c>
      <c r="AD48" s="10" cm="1">
        <f t="array" ref="AD48">IFERROR(INDEX(PQ_Juli!$B$2:$AF$1048,MATCH($C48,PQ_Juli!$A$2:$A$1048,0),MATCH(AD$3&amp;"",PQ_Juli!$B$1:$AF$1&amp;"",0)),0)</f>
        <v>0</v>
      </c>
      <c r="AE48" s="10" cm="1">
        <f t="array" ref="AE48">IFERROR(INDEX(PQ_Juli!$B$2:$AF$1048,MATCH($C48,PQ_Juli!$A$2:$A$1048,0),MATCH(AE$3&amp;"",PQ_Juli!$B$1:$AF$1&amp;"",0)),0)</f>
        <v>0</v>
      </c>
      <c r="AF48" s="10" cm="1">
        <f t="array" ref="AF48">IFERROR(INDEX(PQ_Juli!$B$2:$AF$1048,MATCH($C48,PQ_Juli!$A$2:$A$1048,0),MATCH(AF$3&amp;"",PQ_Juli!$B$1:$AF$1&amp;"",0)),0)</f>
        <v>0</v>
      </c>
      <c r="AG48" s="11"/>
      <c r="AH48" s="10" cm="1">
        <f t="array" ref="AH48">IFERROR(INDEX(PQ_Juli!$B$2:$AF$1048,MATCH($C48,PQ_Juli!$A$2:$A$1048,0),MATCH(AH$3&amp;"",PQ_Juli!$B$1:$AF$1&amp;"",0)),0)</f>
        <v>0</v>
      </c>
      <c r="AI48" s="10" cm="1">
        <f t="array" ref="AI48">IFERROR(INDEX(PQ_Juli!$B$2:$AF$1048,MATCH($C48,PQ_Juli!$A$2:$A$1048,0),MATCH(AI$3&amp;"",PQ_Juli!$B$1:$AF$1&amp;"",0)),0)</f>
        <v>0</v>
      </c>
      <c r="AJ48" s="10" cm="1">
        <f t="array" ref="AJ48">IFERROR(INDEX(PQ_Juli!$B$2:$AF$1048,MATCH($C48,PQ_Juli!$A$2:$A$1048,0),MATCH(AJ$3&amp;"",PQ_Juli!$B$1:$AF$1&amp;"",0)),0)</f>
        <v>0</v>
      </c>
      <c r="AK48" s="10" cm="1">
        <f t="array" ref="AK48">IFERROR(INDEX(PQ_Juli!$B$2:$AF$1048,MATCH($C48,PQ_Juli!$A$2:$A$1048,0),MATCH(AK$3&amp;"",PQ_Juli!$B$1:$AF$1&amp;"",0)),0)</f>
        <v>1</v>
      </c>
      <c r="AL48" s="10" cm="1">
        <f t="array" ref="AL48">IFERROR(INDEX(PQ_Juli!$B$2:$AF$1048,MATCH($C48,PQ_Juli!$A$2:$A$1048,0),MATCH(AL$3&amp;"",PQ_Juli!$B$1:$AF$1&amp;"",0)),0)</f>
        <v>0</v>
      </c>
      <c r="AM48" s="13">
        <v>4</v>
      </c>
      <c r="AN48" s="14">
        <f t="shared" si="4"/>
        <v>7</v>
      </c>
      <c r="AO48" s="18" t="e">
        <f t="shared" si="7"/>
        <v>#REF!</v>
      </c>
      <c r="AP48" s="23">
        <v>20</v>
      </c>
      <c r="AQ48" s="23" t="s">
        <v>79</v>
      </c>
      <c r="AR48" s="92">
        <v>46210</v>
      </c>
      <c r="AS48" s="29">
        <v>1</v>
      </c>
      <c r="AT48" s="92"/>
      <c r="AU48" s="29"/>
      <c r="AV48" s="92">
        <v>46231</v>
      </c>
      <c r="AW48" s="92"/>
      <c r="AX48" s="29">
        <f t="shared" si="5"/>
        <v>50</v>
      </c>
      <c r="AY48" s="29">
        <f t="shared" si="6"/>
        <v>0</v>
      </c>
      <c r="AZ48" s="18">
        <f t="shared" si="2"/>
        <v>50</v>
      </c>
      <c r="BA48" s="18" t="e">
        <f t="shared" si="8"/>
        <v>#REF!</v>
      </c>
      <c r="BB48" s="21"/>
      <c r="BC48" s="30"/>
      <c r="BD48" s="30"/>
      <c r="BE48" s="30"/>
      <c r="BF48" s="30"/>
      <c r="BN48" s="41"/>
    </row>
    <row r="49" spans="1:66" ht="22.5" customHeight="1">
      <c r="A49" s="262">
        <f t="shared" ref="A49:A77" si="9">AO49</f>
        <v>479</v>
      </c>
      <c r="B49" s="263"/>
      <c r="C49" s="77" t="s">
        <v>30</v>
      </c>
      <c r="D49" s="75">
        <v>640</v>
      </c>
      <c r="E49" s="75">
        <v>20</v>
      </c>
      <c r="F49" s="75">
        <v>47</v>
      </c>
      <c r="G49" s="41">
        <f>SUM(H49:AF49)+503</f>
        <v>503</v>
      </c>
      <c r="H49" s="274" t="s">
        <v>476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  <c r="AD49" s="275"/>
      <c r="AE49" s="275"/>
      <c r="AF49" s="276"/>
      <c r="AG49" s="11"/>
      <c r="AH49" s="10" cm="1">
        <f t="array" ref="AH49">IFERROR(INDEX(PQ_Juli!$B$2:$AF$1048,MATCH($C49,PQ_Juli!$A$2:$A$1048,0),MATCH(AH$3&amp;"",PQ_Juli!$B$1:$AF$1&amp;"",0)),0)</f>
        <v>0</v>
      </c>
      <c r="AI49" s="10" cm="1">
        <f t="array" ref="AI49">IFERROR(INDEX(PQ_Juli!$B$2:$AF$1048,MATCH($C49,PQ_Juli!$A$2:$A$1048,0),MATCH(AI$3&amp;"",PQ_Juli!$B$1:$AF$1&amp;"",0)),0)</f>
        <v>22</v>
      </c>
      <c r="AJ49" s="10" cm="1">
        <f t="array" ref="AJ49">IFERROR(INDEX(PQ_Juli!$B$2:$AF$1048,MATCH($C49,PQ_Juli!$A$2:$A$1048,0),MATCH(AJ$3&amp;"",PQ_Juli!$B$1:$AF$1&amp;"",0)),0)</f>
        <v>2</v>
      </c>
      <c r="AK49" s="10" cm="1">
        <f t="array" ref="AK49">IFERROR(INDEX(PQ_Juli!$B$2:$AF$1048,MATCH($C49,PQ_Juli!$A$2:$A$1048,0),MATCH(AK$3&amp;"",PQ_Juli!$B$1:$AF$1&amp;"",0)),0)</f>
        <v>0</v>
      </c>
      <c r="AL49" s="10" cm="1">
        <f t="array" ref="AL49">IFERROR(INDEX(PQ_Juli!$B$2:$AF$1048,MATCH($C49,PQ_Juli!$A$2:$A$1048,0),MATCH(AL$3&amp;"",PQ_Juli!$B$1:$AF$1&amp;"",0)),0)</f>
        <v>0</v>
      </c>
      <c r="AM49" s="13"/>
      <c r="AN49" s="14">
        <f t="shared" si="4"/>
        <v>24</v>
      </c>
      <c r="AO49" s="18">
        <f t="shared" si="7"/>
        <v>479</v>
      </c>
      <c r="AP49" s="23">
        <v>320</v>
      </c>
      <c r="AQ49" s="24" t="s">
        <v>79</v>
      </c>
      <c r="AR49" s="92"/>
      <c r="AS49" s="29"/>
      <c r="AT49" s="92"/>
      <c r="AU49" s="29"/>
      <c r="AV49" s="92"/>
      <c r="AW49" s="92"/>
      <c r="AX49" s="29">
        <f t="shared" si="5"/>
        <v>0</v>
      </c>
      <c r="AY49" s="29">
        <f t="shared" si="6"/>
        <v>0</v>
      </c>
      <c r="AZ49" s="18">
        <f t="shared" si="2"/>
        <v>0</v>
      </c>
      <c r="BA49" s="18">
        <f t="shared" si="8"/>
        <v>479</v>
      </c>
      <c r="BB49" s="21"/>
      <c r="BC49" s="30"/>
      <c r="BD49" s="30"/>
      <c r="BE49" s="30"/>
      <c r="BF49" s="30"/>
      <c r="BN49" s="41"/>
    </row>
    <row r="50" spans="1:66" ht="22.5" customHeight="1">
      <c r="A50" s="260">
        <f t="shared" si="9"/>
        <v>330</v>
      </c>
      <c r="B50" s="261"/>
      <c r="C50" s="77" t="s">
        <v>32</v>
      </c>
      <c r="D50" s="75">
        <v>390</v>
      </c>
      <c r="E50" s="75">
        <v>139</v>
      </c>
      <c r="F50" s="78">
        <v>259</v>
      </c>
      <c r="G50" s="41">
        <v>390</v>
      </c>
      <c r="H50" s="277"/>
      <c r="I50" s="278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9"/>
      <c r="AG50" s="11"/>
      <c r="AH50" s="10" cm="1">
        <f t="array" ref="AH50">IFERROR(INDEX(PQ_Juli!$B$2:$AF$1048,MATCH($C50,PQ_Juli!$A$2:$A$1048,0),MATCH(AH$3&amp;"",PQ_Juli!$B$1:$AF$1&amp;"",0)),0)</f>
        <v>3</v>
      </c>
      <c r="AI50" s="10" cm="1">
        <f t="array" ref="AI50">IFERROR(INDEX(PQ_Juli!$B$2:$AF$1048,MATCH($C50,PQ_Juli!$A$2:$A$1048,0),MATCH(AI$3&amp;"",PQ_Juli!$B$1:$AF$1&amp;"",0)),0)</f>
        <v>28</v>
      </c>
      <c r="AJ50" s="10" cm="1">
        <f t="array" ref="AJ50">IFERROR(INDEX(PQ_Juli!$B$2:$AF$1048,MATCH($C50,PQ_Juli!$A$2:$A$1048,0),MATCH(AJ$3&amp;"",PQ_Juli!$B$1:$AF$1&amp;"",0)),0)</f>
        <v>7</v>
      </c>
      <c r="AK50" s="10" cm="1">
        <f t="array" ref="AK50">IFERROR(INDEX(PQ_Juli!$B$2:$AF$1048,MATCH($C50,PQ_Juli!$A$2:$A$1048,0),MATCH(AK$3&amp;"",PQ_Juli!$B$1:$AF$1&amp;"",0)),0)</f>
        <v>17</v>
      </c>
      <c r="AL50" s="10" cm="1">
        <f t="array" ref="AL50">IFERROR(INDEX(PQ_Juli!$B$2:$AF$1048,MATCH($C50,PQ_Juli!$A$2:$A$1048,0),MATCH(AL$3&amp;"",PQ_Juli!$B$1:$AF$1&amp;"",0)),0)</f>
        <v>5</v>
      </c>
      <c r="AM50" s="13"/>
      <c r="AN50" s="14">
        <f t="shared" si="4"/>
        <v>60</v>
      </c>
      <c r="AO50" s="18">
        <f t="shared" si="7"/>
        <v>330</v>
      </c>
      <c r="AP50" s="24">
        <v>390</v>
      </c>
      <c r="AQ50" s="24" t="s">
        <v>79</v>
      </c>
      <c r="AR50" s="92"/>
      <c r="AS50" s="29"/>
      <c r="AT50" s="92"/>
      <c r="AU50" s="96"/>
      <c r="AV50" s="97"/>
      <c r="AW50" s="92"/>
      <c r="AX50" s="29">
        <f t="shared" si="5"/>
        <v>0</v>
      </c>
      <c r="AY50" s="29">
        <f t="shared" si="6"/>
        <v>0</v>
      </c>
      <c r="AZ50" s="18">
        <f t="shared" si="2"/>
        <v>0</v>
      </c>
      <c r="BA50" s="18">
        <f t="shared" si="8"/>
        <v>330</v>
      </c>
      <c r="BB50" s="21"/>
      <c r="BC50" s="30"/>
      <c r="BD50" s="30"/>
      <c r="BE50" s="30"/>
      <c r="BF50" s="30"/>
      <c r="BN50" s="41"/>
    </row>
    <row r="51" spans="1:66" ht="22.5" customHeight="1">
      <c r="A51" s="262">
        <f t="shared" si="9"/>
        <v>1813</v>
      </c>
      <c r="B51" s="263"/>
      <c r="C51" s="77" t="s">
        <v>33</v>
      </c>
      <c r="D51" s="75">
        <v>1100</v>
      </c>
      <c r="E51" s="75">
        <v>232</v>
      </c>
      <c r="F51" s="75">
        <v>330</v>
      </c>
      <c r="G51" s="41">
        <v>1893</v>
      </c>
      <c r="H51" s="277"/>
      <c r="I51" s="278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9"/>
      <c r="AG51" s="11"/>
      <c r="AH51" s="10" cm="1">
        <f t="array" ref="AH51">IFERROR(INDEX(PQ_Juli!$B$2:$AF$1048,MATCH($C51,PQ_Juli!$A$2:$A$1048,0),MATCH(AH$3&amp;"",PQ_Juli!$B$1:$AF$1&amp;"",0)),0)</f>
        <v>8</v>
      </c>
      <c r="AI51" s="10" cm="1">
        <f t="array" ref="AI51">IFERROR(INDEX(PQ_Juli!$B$2:$AF$1048,MATCH($C51,PQ_Juli!$A$2:$A$1048,0),MATCH(AI$3&amp;"",PQ_Juli!$B$1:$AF$1&amp;"",0)),0)</f>
        <v>33</v>
      </c>
      <c r="AJ51" s="10" cm="1">
        <f t="array" ref="AJ51">IFERROR(INDEX(PQ_Juli!$B$2:$AF$1048,MATCH($C51,PQ_Juli!$A$2:$A$1048,0),MATCH(AJ$3&amp;"",PQ_Juli!$B$1:$AF$1&amp;"",0)),0)</f>
        <v>10</v>
      </c>
      <c r="AK51" s="10" cm="1">
        <f t="array" ref="AK51">IFERROR(INDEX(PQ_Juli!$B$2:$AF$1048,MATCH($C51,PQ_Juli!$A$2:$A$1048,0),MATCH(AK$3&amp;"",PQ_Juli!$B$1:$AF$1&amp;"",0)),0)</f>
        <v>20</v>
      </c>
      <c r="AL51" s="10" cm="1">
        <f t="array" ref="AL51">IFERROR(INDEX(PQ_Juli!$B$2:$AF$1048,MATCH($C51,PQ_Juli!$A$2:$A$1048,0),MATCH(AL$3&amp;"",PQ_Juli!$B$1:$AF$1&amp;"",0)),0)</f>
        <v>9</v>
      </c>
      <c r="AM51" s="13"/>
      <c r="AN51" s="14">
        <f t="shared" si="4"/>
        <v>80</v>
      </c>
      <c r="AO51" s="18">
        <f t="shared" si="7"/>
        <v>1813</v>
      </c>
      <c r="AP51" s="23">
        <v>800</v>
      </c>
      <c r="AQ51" s="24" t="s">
        <v>79</v>
      </c>
      <c r="AR51" s="92"/>
      <c r="AS51" s="29"/>
      <c r="AT51" s="92"/>
      <c r="AU51" s="96"/>
      <c r="AV51" s="97"/>
      <c r="AW51" s="92"/>
      <c r="AX51" s="29">
        <f t="shared" si="5"/>
        <v>0</v>
      </c>
      <c r="AY51" s="29">
        <f t="shared" si="6"/>
        <v>0</v>
      </c>
      <c r="AZ51" s="18">
        <f t="shared" si="2"/>
        <v>0</v>
      </c>
      <c r="BA51" s="18">
        <f t="shared" si="8"/>
        <v>1813</v>
      </c>
      <c r="BB51" s="21"/>
      <c r="BC51" s="30"/>
      <c r="BD51" s="30"/>
      <c r="BE51" s="30"/>
      <c r="BF51" s="30"/>
      <c r="BN51" s="41"/>
    </row>
    <row r="52" spans="1:66" ht="22.5" customHeight="1">
      <c r="A52" s="262">
        <f t="shared" si="9"/>
        <v>1807</v>
      </c>
      <c r="B52" s="263"/>
      <c r="C52" s="77" t="s">
        <v>34</v>
      </c>
      <c r="D52" s="75">
        <v>1100</v>
      </c>
      <c r="E52" s="75">
        <v>231</v>
      </c>
      <c r="F52" s="75">
        <v>327</v>
      </c>
      <c r="G52" s="41">
        <v>1887</v>
      </c>
      <c r="H52" s="277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9"/>
      <c r="AG52" s="11"/>
      <c r="AH52" s="10" cm="1">
        <f t="array" ref="AH52">IFERROR(INDEX(PQ_Juli!$B$2:$AF$1048,MATCH($C52,PQ_Juli!$A$2:$A$1048,0),MATCH(AH$3&amp;"",PQ_Juli!$B$1:$AF$1&amp;"",0)),0)</f>
        <v>8</v>
      </c>
      <c r="AI52" s="10" cm="1">
        <f t="array" ref="AI52">IFERROR(INDEX(PQ_Juli!$B$2:$AF$1048,MATCH($C52,PQ_Juli!$A$2:$A$1048,0),MATCH(AI$3&amp;"",PQ_Juli!$B$1:$AF$1&amp;"",0)),0)</f>
        <v>33</v>
      </c>
      <c r="AJ52" s="10" cm="1">
        <f t="array" ref="AJ52">IFERROR(INDEX(PQ_Juli!$B$2:$AF$1048,MATCH($C52,PQ_Juli!$A$2:$A$1048,0),MATCH(AJ$3&amp;"",PQ_Juli!$B$1:$AF$1&amp;"",0)),0)</f>
        <v>10</v>
      </c>
      <c r="AK52" s="10" cm="1">
        <f t="array" ref="AK52">IFERROR(INDEX(PQ_Juli!$B$2:$AF$1048,MATCH($C52,PQ_Juli!$A$2:$A$1048,0),MATCH(AK$3&amp;"",PQ_Juli!$B$1:$AF$1&amp;"",0)),0)</f>
        <v>20</v>
      </c>
      <c r="AL52" s="10" cm="1">
        <f t="array" ref="AL52">IFERROR(INDEX(PQ_Juli!$B$2:$AF$1048,MATCH($C52,PQ_Juli!$A$2:$A$1048,0),MATCH(AL$3&amp;"",PQ_Juli!$B$1:$AF$1&amp;"",0)),0)</f>
        <v>9</v>
      </c>
      <c r="AM52" s="13"/>
      <c r="AN52" s="14">
        <f t="shared" si="4"/>
        <v>80</v>
      </c>
      <c r="AO52" s="18">
        <f t="shared" si="7"/>
        <v>1807</v>
      </c>
      <c r="AP52" s="23">
        <v>800</v>
      </c>
      <c r="AQ52" s="24" t="s">
        <v>79</v>
      </c>
      <c r="AR52" s="92"/>
      <c r="AS52" s="29"/>
      <c r="AT52" s="92"/>
      <c r="AU52" s="96"/>
      <c r="AV52" s="97"/>
      <c r="AW52" s="92"/>
      <c r="AX52" s="29">
        <f t="shared" si="5"/>
        <v>0</v>
      </c>
      <c r="AY52" s="29">
        <f t="shared" si="6"/>
        <v>0</v>
      </c>
      <c r="AZ52" s="18">
        <f t="shared" si="2"/>
        <v>0</v>
      </c>
      <c r="BA52" s="18">
        <f t="shared" si="8"/>
        <v>1807</v>
      </c>
      <c r="BB52" s="21"/>
      <c r="BC52" s="30"/>
      <c r="BD52" s="30"/>
      <c r="BE52" s="30"/>
      <c r="BF52" s="30"/>
      <c r="BN52" s="41"/>
    </row>
    <row r="53" spans="1:66" ht="22.5" customHeight="1">
      <c r="A53" s="260">
        <f t="shared" si="9"/>
        <v>331</v>
      </c>
      <c r="B53" s="261"/>
      <c r="C53" s="77" t="s">
        <v>35</v>
      </c>
      <c r="D53" s="75">
        <v>400</v>
      </c>
      <c r="E53" s="75">
        <v>8</v>
      </c>
      <c r="F53" s="75">
        <v>10</v>
      </c>
      <c r="G53" s="41">
        <v>355</v>
      </c>
      <c r="H53" s="277"/>
      <c r="I53" s="278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9"/>
      <c r="AG53" s="11"/>
      <c r="AH53" s="10" cm="1">
        <f t="array" ref="AH53">IFERROR(INDEX(PQ_Juli!$B$2:$AF$1048,MATCH($C53,PQ_Juli!$A$2:$A$1048,0),MATCH(AH$3&amp;"",PQ_Juli!$B$1:$AF$1&amp;"",0)),0)</f>
        <v>0</v>
      </c>
      <c r="AI53" s="10" cm="1">
        <f t="array" ref="AI53">IFERROR(INDEX(PQ_Juli!$B$2:$AF$1048,MATCH($C53,PQ_Juli!$A$2:$A$1048,0),MATCH(AI$3&amp;"",PQ_Juli!$B$1:$AF$1&amp;"",0)),0)</f>
        <v>21</v>
      </c>
      <c r="AJ53" s="10" cm="1">
        <f t="array" ref="AJ53">IFERROR(INDEX(PQ_Juli!$B$2:$AF$1048,MATCH($C53,PQ_Juli!$A$2:$A$1048,0),MATCH(AJ$3&amp;"",PQ_Juli!$B$1:$AF$1&amp;"",0)),0)</f>
        <v>2</v>
      </c>
      <c r="AK53" s="10" cm="1">
        <f t="array" ref="AK53">IFERROR(INDEX(PQ_Juli!$B$2:$AF$1048,MATCH($C53,PQ_Juli!$A$2:$A$1048,0),MATCH(AK$3&amp;"",PQ_Juli!$B$1:$AF$1&amp;"",0)),0)</f>
        <v>0</v>
      </c>
      <c r="AL53" s="10" cm="1">
        <f t="array" ref="AL53">IFERROR(INDEX(PQ_Juli!$B$2:$AF$1048,MATCH($C53,PQ_Juli!$A$2:$A$1048,0),MATCH(AL$3&amp;"",PQ_Juli!$B$1:$AF$1&amp;"",0)),0)</f>
        <v>1</v>
      </c>
      <c r="AM53" s="13"/>
      <c r="AN53" s="14">
        <f t="shared" si="4"/>
        <v>24</v>
      </c>
      <c r="AO53" s="18">
        <f t="shared" si="7"/>
        <v>331</v>
      </c>
      <c r="AP53" s="23">
        <v>200</v>
      </c>
      <c r="AQ53" s="24" t="s">
        <v>79</v>
      </c>
      <c r="AR53" s="103"/>
      <c r="AS53" s="63"/>
      <c r="AT53" s="103"/>
      <c r="AU53" s="63"/>
      <c r="AV53" s="103"/>
      <c r="AW53" s="103"/>
      <c r="AX53" s="29">
        <f t="shared" si="5"/>
        <v>0</v>
      </c>
      <c r="AY53" s="29">
        <f t="shared" si="6"/>
        <v>0</v>
      </c>
      <c r="AZ53" s="18">
        <f t="shared" si="2"/>
        <v>0</v>
      </c>
      <c r="BA53" s="18">
        <f t="shared" si="8"/>
        <v>331</v>
      </c>
      <c r="BB53" s="21"/>
      <c r="BC53" s="30"/>
      <c r="BD53" s="30"/>
      <c r="BE53" s="30"/>
      <c r="BF53" s="30"/>
      <c r="BN53" s="41"/>
    </row>
    <row r="54" spans="1:66" ht="22.5" customHeight="1">
      <c r="A54" s="262">
        <f t="shared" si="9"/>
        <v>267</v>
      </c>
      <c r="B54" s="263"/>
      <c r="C54" s="77" t="s">
        <v>36</v>
      </c>
      <c r="D54" s="75">
        <v>800</v>
      </c>
      <c r="E54" s="75">
        <v>21</v>
      </c>
      <c r="F54" s="75">
        <v>60</v>
      </c>
      <c r="G54" s="41">
        <v>271</v>
      </c>
      <c r="H54" s="277"/>
      <c r="I54" s="278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9"/>
      <c r="AG54" s="11"/>
      <c r="AH54" s="10" cm="1">
        <f t="array" ref="AH54">IFERROR(INDEX(PQ_Juli!$B$2:$AF$1048,MATCH($C54,PQ_Juli!$A$2:$A$1048,0),MATCH(AH$3&amp;"",PQ_Juli!$B$1:$AF$1&amp;"",0)),0)</f>
        <v>1</v>
      </c>
      <c r="AI54" s="10" cm="1">
        <f t="array" ref="AI54">IFERROR(INDEX(PQ_Juli!$B$2:$AF$1048,MATCH($C54,PQ_Juli!$A$2:$A$1048,0),MATCH(AI$3&amp;"",PQ_Juli!$B$1:$AF$1&amp;"",0)),0)</f>
        <v>1</v>
      </c>
      <c r="AJ54" s="10" cm="1">
        <f t="array" ref="AJ54">IFERROR(INDEX(PQ_Juli!$B$2:$AF$1048,MATCH($C54,PQ_Juli!$A$2:$A$1048,0),MATCH(AJ$3&amp;"",PQ_Juli!$B$1:$AF$1&amp;"",0)),0)</f>
        <v>2</v>
      </c>
      <c r="AK54" s="10" cm="1">
        <f t="array" ref="AK54">IFERROR(INDEX(PQ_Juli!$B$2:$AF$1048,MATCH($C54,PQ_Juli!$A$2:$A$1048,0),MATCH(AK$3&amp;"",PQ_Juli!$B$1:$AF$1&amp;"",0)),0)</f>
        <v>0</v>
      </c>
      <c r="AL54" s="10" cm="1">
        <f t="array" ref="AL54">IFERROR(INDEX(PQ_Juli!$B$2:$AF$1048,MATCH($C54,PQ_Juli!$A$2:$A$1048,0),MATCH(AL$3&amp;"",PQ_Juli!$B$1:$AF$1&amp;"",0)),0)</f>
        <v>0</v>
      </c>
      <c r="AM54" s="13"/>
      <c r="AN54" s="14">
        <f t="shared" si="4"/>
        <v>4</v>
      </c>
      <c r="AO54" s="18">
        <f t="shared" si="7"/>
        <v>267</v>
      </c>
      <c r="AP54" s="23">
        <v>400</v>
      </c>
      <c r="AQ54" s="24" t="s">
        <v>79</v>
      </c>
      <c r="AR54" s="105"/>
      <c r="AS54" s="104"/>
      <c r="AT54" s="105"/>
      <c r="AU54" s="104"/>
      <c r="AV54" s="105"/>
      <c r="AW54" s="105"/>
      <c r="AX54" s="59">
        <f t="shared" si="5"/>
        <v>0</v>
      </c>
      <c r="AY54" s="29">
        <f t="shared" si="6"/>
        <v>0</v>
      </c>
      <c r="AZ54" s="18">
        <f t="shared" si="2"/>
        <v>0</v>
      </c>
      <c r="BA54" s="18">
        <f t="shared" si="8"/>
        <v>267</v>
      </c>
      <c r="BB54" s="21"/>
      <c r="BC54" s="30"/>
      <c r="BD54" s="30"/>
      <c r="BE54" s="30"/>
      <c r="BF54" s="30"/>
      <c r="BN54" s="41"/>
    </row>
    <row r="55" spans="1:66" ht="22.5" customHeight="1">
      <c r="A55" s="262">
        <f t="shared" si="9"/>
        <v>1677</v>
      </c>
      <c r="B55" s="263"/>
      <c r="C55" s="77" t="s">
        <v>37</v>
      </c>
      <c r="D55" s="75">
        <v>1050</v>
      </c>
      <c r="E55" s="75">
        <v>91</v>
      </c>
      <c r="F55" s="75">
        <v>266</v>
      </c>
      <c r="G55" s="41">
        <v>1724</v>
      </c>
      <c r="H55" s="277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9"/>
      <c r="AG55" s="11"/>
      <c r="AH55" s="10" cm="1">
        <f t="array" ref="AH55">IFERROR(INDEX(PQ_Juli!$B$2:$AF$1048,MATCH($C55,PQ_Juli!$A$2:$A$1048,0),MATCH(AH$3&amp;"",PQ_Juli!$B$1:$AF$1&amp;"",0)),0)</f>
        <v>7</v>
      </c>
      <c r="AI55" s="10" cm="1">
        <f t="array" ref="AI55">IFERROR(INDEX(PQ_Juli!$B$2:$AF$1048,MATCH($C55,PQ_Juli!$A$2:$A$1048,0),MATCH(AI$3&amp;"",PQ_Juli!$B$1:$AF$1&amp;"",0)),0)</f>
        <v>24</v>
      </c>
      <c r="AJ55" s="10" cm="1">
        <f t="array" ref="AJ55">IFERROR(INDEX(PQ_Juli!$B$2:$AF$1048,MATCH($C55,PQ_Juli!$A$2:$A$1048,0),MATCH(AJ$3&amp;"",PQ_Juli!$B$1:$AF$1&amp;"",0)),0)</f>
        <v>9</v>
      </c>
      <c r="AK55" s="10" cm="1">
        <f t="array" ref="AK55">IFERROR(INDEX(PQ_Juli!$B$2:$AF$1048,MATCH($C55,PQ_Juli!$A$2:$A$1048,0),MATCH(AK$3&amp;"",PQ_Juli!$B$1:$AF$1&amp;"",0)),0)</f>
        <v>3</v>
      </c>
      <c r="AL55" s="10" cm="1">
        <f t="array" ref="AL55">IFERROR(INDEX(PQ_Juli!$B$2:$AF$1048,MATCH($C55,PQ_Juli!$A$2:$A$1048,0),MATCH(AL$3&amp;"",PQ_Juli!$B$1:$AF$1&amp;"",0)),0)</f>
        <v>4</v>
      </c>
      <c r="AM55" s="13"/>
      <c r="AN55" s="14">
        <f t="shared" si="4"/>
        <v>47</v>
      </c>
      <c r="AO55" s="18">
        <f t="shared" si="7"/>
        <v>1677</v>
      </c>
      <c r="AP55" s="23">
        <v>500</v>
      </c>
      <c r="AQ55" s="24" t="s">
        <v>79</v>
      </c>
      <c r="AR55" s="105"/>
      <c r="AS55" s="104"/>
      <c r="AT55" s="105"/>
      <c r="AU55" s="104"/>
      <c r="AV55" s="211"/>
      <c r="AW55" s="105"/>
      <c r="AX55" s="59">
        <f t="shared" si="5"/>
        <v>0</v>
      </c>
      <c r="AY55" s="29">
        <f t="shared" si="6"/>
        <v>0</v>
      </c>
      <c r="AZ55" s="18">
        <f t="shared" si="2"/>
        <v>0</v>
      </c>
      <c r="BA55" s="18">
        <f t="shared" si="8"/>
        <v>1677</v>
      </c>
      <c r="BB55" s="21"/>
      <c r="BC55" s="30"/>
      <c r="BD55" s="30"/>
      <c r="BE55" s="30"/>
      <c r="BF55" s="30"/>
      <c r="BN55" s="41"/>
    </row>
    <row r="56" spans="1:66" ht="22.5" customHeight="1">
      <c r="A56" s="260">
        <f t="shared" si="9"/>
        <v>1935</v>
      </c>
      <c r="B56" s="261"/>
      <c r="C56" s="77" t="s">
        <v>38</v>
      </c>
      <c r="D56" s="75">
        <v>450</v>
      </c>
      <c r="E56" s="75">
        <v>219</v>
      </c>
      <c r="F56" s="75">
        <v>451</v>
      </c>
      <c r="G56" s="41">
        <v>2020</v>
      </c>
      <c r="H56" s="277"/>
      <c r="I56" s="278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9"/>
      <c r="AG56" s="11"/>
      <c r="AH56" s="10" cm="1">
        <f t="array" ref="AH56">IFERROR(INDEX(PQ_Juli!$B$2:$AF$1048,MATCH($C56,PQ_Juli!$A$2:$A$1048,0),MATCH(AH$3&amp;"",PQ_Juli!$B$1:$AF$1&amp;"",0)),0)</f>
        <v>8</v>
      </c>
      <c r="AI56" s="10" cm="1">
        <f t="array" ref="AI56">IFERROR(INDEX(PQ_Juli!$B$2:$AF$1048,MATCH($C56,PQ_Juli!$A$2:$A$1048,0),MATCH(AI$3&amp;"",PQ_Juli!$B$1:$AF$1&amp;"",0)),0)</f>
        <v>32</v>
      </c>
      <c r="AJ56" s="10" cm="1">
        <f t="array" ref="AJ56">IFERROR(INDEX(PQ_Juli!$B$2:$AF$1048,MATCH($C56,PQ_Juli!$A$2:$A$1048,0),MATCH(AJ$3&amp;"",PQ_Juli!$B$1:$AF$1&amp;"",0)),0)</f>
        <v>10</v>
      </c>
      <c r="AK56" s="10" cm="1">
        <f t="array" ref="AK56">IFERROR(INDEX(PQ_Juli!$B$2:$AF$1048,MATCH($C56,PQ_Juli!$A$2:$A$1048,0),MATCH(AK$3&amp;"",PQ_Juli!$B$1:$AF$1&amp;"",0)),0)</f>
        <v>26</v>
      </c>
      <c r="AL56" s="10" cm="1">
        <f t="array" ref="AL56">IFERROR(INDEX(PQ_Juli!$B$2:$AF$1048,MATCH($C56,PQ_Juli!$A$2:$A$1048,0),MATCH(AL$3&amp;"",PQ_Juli!$B$1:$AF$1&amp;"",0)),0)</f>
        <v>9</v>
      </c>
      <c r="AM56" s="13"/>
      <c r="AN56" s="14">
        <f t="shared" si="4"/>
        <v>85</v>
      </c>
      <c r="AO56" s="18">
        <f t="shared" si="7"/>
        <v>1935</v>
      </c>
      <c r="AP56" s="23">
        <v>450</v>
      </c>
      <c r="AQ56" s="24" t="s">
        <v>79</v>
      </c>
      <c r="AR56" s="105"/>
      <c r="AS56" s="104"/>
      <c r="AT56" s="105"/>
      <c r="AU56" s="104"/>
      <c r="AV56" s="211"/>
      <c r="AW56" s="105"/>
      <c r="AX56" s="59">
        <f t="shared" si="5"/>
        <v>0</v>
      </c>
      <c r="AY56" s="29">
        <f t="shared" si="6"/>
        <v>0</v>
      </c>
      <c r="AZ56" s="18">
        <f t="shared" si="2"/>
        <v>0</v>
      </c>
      <c r="BA56" s="18">
        <f t="shared" si="8"/>
        <v>1935</v>
      </c>
      <c r="BB56" s="21"/>
      <c r="BC56" s="30"/>
      <c r="BD56" s="30"/>
      <c r="BE56" s="30"/>
      <c r="BF56" s="30"/>
      <c r="BN56" s="41"/>
    </row>
    <row r="57" spans="1:66" ht="22.5" customHeight="1">
      <c r="A57" s="262">
        <f t="shared" si="9"/>
        <v>1434</v>
      </c>
      <c r="B57" s="263"/>
      <c r="C57" s="77" t="s">
        <v>39</v>
      </c>
      <c r="D57" s="75">
        <v>500</v>
      </c>
      <c r="E57" s="75">
        <v>131</v>
      </c>
      <c r="F57" s="75">
        <v>245</v>
      </c>
      <c r="G57" s="41">
        <v>1492</v>
      </c>
      <c r="H57" s="277"/>
      <c r="I57" s="278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  <c r="AC57" s="278"/>
      <c r="AD57" s="278"/>
      <c r="AE57" s="278"/>
      <c r="AF57" s="279"/>
      <c r="AG57" s="11"/>
      <c r="AH57" s="10" cm="1">
        <f t="array" ref="AH57">IFERROR(INDEX(PQ_Juli!$B$2:$AF$1048,MATCH($C57,PQ_Juli!$A$2:$A$1048,0),MATCH(AH$3&amp;"",PQ_Juli!$B$1:$AF$1&amp;"",0)),0)</f>
        <v>1</v>
      </c>
      <c r="AI57" s="10" cm="1">
        <f t="array" ref="AI57">IFERROR(INDEX(PQ_Juli!$B$2:$AF$1048,MATCH($C57,PQ_Juli!$A$2:$A$1048,0),MATCH(AI$3&amp;"",PQ_Juli!$B$1:$AF$1&amp;"",0)),0)</f>
        <v>28</v>
      </c>
      <c r="AJ57" s="10" cm="1">
        <f t="array" ref="AJ57">IFERROR(INDEX(PQ_Juli!$B$2:$AF$1048,MATCH($C57,PQ_Juli!$A$2:$A$1048,0),MATCH(AJ$3&amp;"",PQ_Juli!$B$1:$AF$1&amp;"",0)),0)</f>
        <v>7</v>
      </c>
      <c r="AK57" s="10" cm="1">
        <f t="array" ref="AK57">IFERROR(INDEX(PQ_Juli!$B$2:$AF$1048,MATCH($C57,PQ_Juli!$A$2:$A$1048,0),MATCH(AK$3&amp;"",PQ_Juli!$B$1:$AF$1&amp;"",0)),0)</f>
        <v>17</v>
      </c>
      <c r="AL57" s="10" cm="1">
        <f t="array" ref="AL57">IFERROR(INDEX(PQ_Juli!$B$2:$AF$1048,MATCH($C57,PQ_Juli!$A$2:$A$1048,0),MATCH(AL$3&amp;"",PQ_Juli!$B$1:$AF$1&amp;"",0)),0)</f>
        <v>5</v>
      </c>
      <c r="AM57" s="13"/>
      <c r="AN57" s="14">
        <f t="shared" si="4"/>
        <v>58</v>
      </c>
      <c r="AO57" s="18">
        <f t="shared" si="7"/>
        <v>1434</v>
      </c>
      <c r="AP57" s="23">
        <v>500</v>
      </c>
      <c r="AQ57" s="24" t="s">
        <v>79</v>
      </c>
      <c r="AR57" s="105"/>
      <c r="AS57" s="104"/>
      <c r="AT57" s="105"/>
      <c r="AU57" s="104"/>
      <c r="AV57" s="211"/>
      <c r="AW57" s="105"/>
      <c r="AX57" s="59">
        <f t="shared" si="5"/>
        <v>0</v>
      </c>
      <c r="AY57" s="29">
        <f t="shared" si="6"/>
        <v>0</v>
      </c>
      <c r="AZ57" s="18">
        <f t="shared" si="2"/>
        <v>0</v>
      </c>
      <c r="BA57" s="18">
        <f t="shared" si="8"/>
        <v>1434</v>
      </c>
      <c r="BB57" s="21"/>
      <c r="BC57" s="30"/>
      <c r="BD57" s="30"/>
      <c r="BE57" s="30"/>
      <c r="BF57" s="30"/>
      <c r="BN57" s="41"/>
    </row>
    <row r="58" spans="1:66" ht="22.5" customHeight="1">
      <c r="A58" s="262">
        <f t="shared" si="9"/>
        <v>201</v>
      </c>
      <c r="B58" s="263"/>
      <c r="C58" s="77" t="s">
        <v>40</v>
      </c>
      <c r="D58" s="75">
        <v>400</v>
      </c>
      <c r="E58" s="75">
        <v>29</v>
      </c>
      <c r="F58" s="75">
        <v>38</v>
      </c>
      <c r="G58" s="41">
        <v>202</v>
      </c>
      <c r="H58" s="277"/>
      <c r="I58" s="278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  <c r="AC58" s="278"/>
      <c r="AD58" s="278"/>
      <c r="AE58" s="278"/>
      <c r="AF58" s="279"/>
      <c r="AG58" s="11"/>
      <c r="AH58" s="10" cm="1">
        <f t="array" ref="AH58">IFERROR(INDEX(PQ_Juli!$B$2:$AF$1048,MATCH($C58,PQ_Juli!$A$2:$A$1048,0),MATCH(AH$3&amp;"",PQ_Juli!$B$1:$AF$1&amp;"",0)),0)</f>
        <v>1</v>
      </c>
      <c r="AI58" s="10" cm="1">
        <f t="array" ref="AI58">IFERROR(INDEX(PQ_Juli!$B$2:$AF$1048,MATCH($C58,PQ_Juli!$A$2:$A$1048,0),MATCH(AI$3&amp;"",PQ_Juli!$B$1:$AF$1&amp;"",0)),0)</f>
        <v>0</v>
      </c>
      <c r="AJ58" s="10" cm="1">
        <f t="array" ref="AJ58">IFERROR(INDEX(PQ_Juli!$B$2:$AF$1048,MATCH($C58,PQ_Juli!$A$2:$A$1048,0),MATCH(AJ$3&amp;"",PQ_Juli!$B$1:$AF$1&amp;"",0)),0)</f>
        <v>0</v>
      </c>
      <c r="AK58" s="10" cm="1">
        <f t="array" ref="AK58">IFERROR(INDEX(PQ_Juli!$B$2:$AF$1048,MATCH($C58,PQ_Juli!$A$2:$A$1048,0),MATCH(AK$3&amp;"",PQ_Juli!$B$1:$AF$1&amp;"",0)),0)</f>
        <v>0</v>
      </c>
      <c r="AL58" s="10" cm="1">
        <f t="array" ref="AL58">IFERROR(INDEX(PQ_Juli!$B$2:$AF$1048,MATCH($C58,PQ_Juli!$A$2:$A$1048,0),MATCH(AL$3&amp;"",PQ_Juli!$B$1:$AF$1&amp;"",0)),0)</f>
        <v>0</v>
      </c>
      <c r="AM58" s="13"/>
      <c r="AN58" s="14">
        <f t="shared" si="4"/>
        <v>1</v>
      </c>
      <c r="AO58" s="18">
        <f t="shared" si="7"/>
        <v>201</v>
      </c>
      <c r="AP58" s="23">
        <v>400</v>
      </c>
      <c r="AQ58" s="24" t="s">
        <v>79</v>
      </c>
      <c r="AR58" s="105"/>
      <c r="AS58" s="104"/>
      <c r="AT58" s="105"/>
      <c r="AU58" s="104"/>
      <c r="AV58" s="105"/>
      <c r="AW58" s="105"/>
      <c r="AX58" s="59">
        <f t="shared" si="5"/>
        <v>0</v>
      </c>
      <c r="AY58" s="29">
        <f t="shared" si="6"/>
        <v>0</v>
      </c>
      <c r="AZ58" s="18">
        <f t="shared" si="2"/>
        <v>0</v>
      </c>
      <c r="BA58" s="18">
        <f t="shared" si="8"/>
        <v>201</v>
      </c>
      <c r="BB58" s="21"/>
      <c r="BC58" s="30"/>
      <c r="BD58" s="30"/>
      <c r="BE58" s="30"/>
      <c r="BF58" s="30"/>
      <c r="BN58" s="41"/>
    </row>
    <row r="59" spans="1:66" ht="22.5" customHeight="1">
      <c r="A59" s="260">
        <f t="shared" si="9"/>
        <v>2023</v>
      </c>
      <c r="B59" s="261"/>
      <c r="C59" s="77" t="s">
        <v>41</v>
      </c>
      <c r="D59" s="75">
        <v>700</v>
      </c>
      <c r="E59" s="75">
        <v>210</v>
      </c>
      <c r="F59" s="75">
        <v>406</v>
      </c>
      <c r="G59" s="41">
        <v>2099</v>
      </c>
      <c r="H59" s="277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9"/>
      <c r="AG59" s="11"/>
      <c r="AH59" s="10" cm="1">
        <f t="array" ref="AH59">IFERROR(INDEX(PQ_Juli!$B$2:$AF$1048,MATCH($C59,PQ_Juli!$A$2:$A$1048,0),MATCH(AH$3&amp;"",PQ_Juli!$B$1:$AF$1&amp;"",0)),0)</f>
        <v>9</v>
      </c>
      <c r="AI59" s="10" cm="1">
        <f t="array" ref="AI59">IFERROR(INDEX(PQ_Juli!$B$2:$AF$1048,MATCH($C59,PQ_Juli!$A$2:$A$1048,0),MATCH(AI$3&amp;"",PQ_Juli!$B$1:$AF$1&amp;"",0)),0)</f>
        <v>30</v>
      </c>
      <c r="AJ59" s="10" cm="1">
        <f t="array" ref="AJ59">IFERROR(INDEX(PQ_Juli!$B$2:$AF$1048,MATCH($C59,PQ_Juli!$A$2:$A$1048,0),MATCH(AJ$3&amp;"",PQ_Juli!$B$1:$AF$1&amp;"",0)),0)</f>
        <v>8</v>
      </c>
      <c r="AK59" s="10" cm="1">
        <f t="array" ref="AK59">IFERROR(INDEX(PQ_Juli!$B$2:$AF$1048,MATCH($C59,PQ_Juli!$A$2:$A$1048,0),MATCH(AK$3&amp;"",PQ_Juli!$B$1:$AF$1&amp;"",0)),0)</f>
        <v>20</v>
      </c>
      <c r="AL59" s="10" cm="1">
        <f t="array" ref="AL59">IFERROR(INDEX(PQ_Juli!$B$2:$AF$1048,MATCH($C59,PQ_Juli!$A$2:$A$1048,0),MATCH(AL$3&amp;"",PQ_Juli!$B$1:$AF$1&amp;"",0)),0)</f>
        <v>9</v>
      </c>
      <c r="AM59" s="13"/>
      <c r="AN59" s="14">
        <f t="shared" si="4"/>
        <v>76</v>
      </c>
      <c r="AO59" s="18">
        <f t="shared" si="7"/>
        <v>2023</v>
      </c>
      <c r="AP59" s="23">
        <v>700</v>
      </c>
      <c r="AQ59" s="24" t="s">
        <v>79</v>
      </c>
      <c r="AR59" s="105"/>
      <c r="AS59" s="104"/>
      <c r="AT59" s="105"/>
      <c r="AU59" s="104"/>
      <c r="AV59" s="211"/>
      <c r="AW59" s="105"/>
      <c r="AX59" s="59">
        <f t="shared" si="5"/>
        <v>0</v>
      </c>
      <c r="AY59" s="29">
        <f t="shared" si="6"/>
        <v>0</v>
      </c>
      <c r="AZ59" s="18">
        <f t="shared" si="2"/>
        <v>0</v>
      </c>
      <c r="BA59" s="18">
        <f t="shared" si="8"/>
        <v>2023</v>
      </c>
      <c r="BB59" s="21"/>
      <c r="BC59" s="30"/>
      <c r="BD59" s="30"/>
      <c r="BE59" s="30"/>
      <c r="BF59" s="30"/>
      <c r="BN59" s="41"/>
    </row>
    <row r="60" spans="1:66" ht="22.5" customHeight="1">
      <c r="A60" s="262">
        <f t="shared" si="9"/>
        <v>713</v>
      </c>
      <c r="B60" s="263"/>
      <c r="C60" s="77" t="s">
        <v>42</v>
      </c>
      <c r="D60" s="75">
        <v>750</v>
      </c>
      <c r="E60" s="75">
        <v>69</v>
      </c>
      <c r="F60" s="75">
        <v>185</v>
      </c>
      <c r="G60" s="41">
        <v>734</v>
      </c>
      <c r="H60" s="277"/>
      <c r="I60" s="278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  <c r="AC60" s="278"/>
      <c r="AD60" s="278"/>
      <c r="AE60" s="278"/>
      <c r="AF60" s="279"/>
      <c r="AG60" s="11"/>
      <c r="AH60" s="10" cm="1">
        <f t="array" ref="AH60">IFERROR(INDEX(PQ_Juli!$B$2:$AF$1048,MATCH($C60,PQ_Juli!$A$2:$A$1048,0),MATCH(AH$3&amp;"",PQ_Juli!$B$1:$AF$1&amp;"",0)),0)</f>
        <v>7</v>
      </c>
      <c r="AI60" s="10" cm="1">
        <f t="array" ref="AI60">IFERROR(INDEX(PQ_Juli!$B$2:$AF$1048,MATCH($C60,PQ_Juli!$A$2:$A$1048,0),MATCH(AI$3&amp;"",PQ_Juli!$B$1:$AF$1&amp;"",0)),0)</f>
        <v>3</v>
      </c>
      <c r="AJ60" s="10" cm="1">
        <f t="array" ref="AJ60">IFERROR(INDEX(PQ_Juli!$B$2:$AF$1048,MATCH($C60,PQ_Juli!$A$2:$A$1048,0),MATCH(AJ$3&amp;"",PQ_Juli!$B$1:$AF$1&amp;"",0)),0)</f>
        <v>4</v>
      </c>
      <c r="AK60" s="10" cm="1">
        <f t="array" ref="AK60">IFERROR(INDEX(PQ_Juli!$B$2:$AF$1048,MATCH($C60,PQ_Juli!$A$2:$A$1048,0),MATCH(AK$3&amp;"",PQ_Juli!$B$1:$AF$1&amp;"",0)),0)</f>
        <v>3</v>
      </c>
      <c r="AL60" s="10" cm="1">
        <f t="array" ref="AL60">IFERROR(INDEX(PQ_Juli!$B$2:$AF$1048,MATCH($C60,PQ_Juli!$A$2:$A$1048,0),MATCH(AL$3&amp;"",PQ_Juli!$B$1:$AF$1&amp;"",0)),0)</f>
        <v>4</v>
      </c>
      <c r="AM60" s="13"/>
      <c r="AN60" s="14">
        <f t="shared" si="4"/>
        <v>21</v>
      </c>
      <c r="AO60" s="18">
        <f t="shared" si="7"/>
        <v>713</v>
      </c>
      <c r="AP60" s="23">
        <v>400</v>
      </c>
      <c r="AQ60" s="24" t="s">
        <v>79</v>
      </c>
      <c r="AR60" s="105"/>
      <c r="AS60" s="104"/>
      <c r="AT60" s="105"/>
      <c r="AU60" s="104"/>
      <c r="AV60" s="211"/>
      <c r="AW60" s="105"/>
      <c r="AX60" s="59">
        <f t="shared" si="5"/>
        <v>0</v>
      </c>
      <c r="AY60" s="29">
        <f t="shared" si="6"/>
        <v>0</v>
      </c>
      <c r="AZ60" s="18">
        <f t="shared" si="2"/>
        <v>0</v>
      </c>
      <c r="BA60" s="18">
        <f t="shared" si="8"/>
        <v>713</v>
      </c>
      <c r="BB60" s="21"/>
      <c r="BC60" s="30"/>
      <c r="BD60" s="30"/>
      <c r="BE60" s="30"/>
      <c r="BF60" s="30"/>
      <c r="BN60" s="41"/>
    </row>
    <row r="61" spans="1:66" ht="22.5" customHeight="1">
      <c r="A61" s="262">
        <f t="shared" si="9"/>
        <v>1749</v>
      </c>
      <c r="B61" s="263"/>
      <c r="C61" s="77" t="s">
        <v>43</v>
      </c>
      <c r="D61" s="75">
        <v>440</v>
      </c>
      <c r="E61" s="75">
        <v>67</v>
      </c>
      <c r="F61" s="75">
        <v>192</v>
      </c>
      <c r="G61" s="41">
        <v>1769</v>
      </c>
      <c r="H61" s="277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  <c r="AC61" s="278"/>
      <c r="AD61" s="278"/>
      <c r="AE61" s="278"/>
      <c r="AF61" s="279"/>
      <c r="AG61" s="11"/>
      <c r="AH61" s="10" cm="1">
        <f t="array" ref="AH61">IFERROR(INDEX(PQ_Juli!$B$2:$AF$1048,MATCH($C61,PQ_Juli!$A$2:$A$1048,0),MATCH(AH$3&amp;"",PQ_Juli!$B$1:$AF$1&amp;"",0)),0)</f>
        <v>7</v>
      </c>
      <c r="AI61" s="10" cm="1">
        <f t="array" ref="AI61">IFERROR(INDEX(PQ_Juli!$B$2:$AF$1048,MATCH($C61,PQ_Juli!$A$2:$A$1048,0),MATCH(AI$3&amp;"",PQ_Juli!$B$1:$AF$1&amp;"",0)),0)</f>
        <v>3</v>
      </c>
      <c r="AJ61" s="10" cm="1">
        <f t="array" ref="AJ61">IFERROR(INDEX(PQ_Juli!$B$2:$AF$1048,MATCH($C61,PQ_Juli!$A$2:$A$1048,0),MATCH(AJ$3&amp;"",PQ_Juli!$B$1:$AF$1&amp;"",0)),0)</f>
        <v>3</v>
      </c>
      <c r="AK61" s="10" cm="1">
        <f t="array" ref="AK61">IFERROR(INDEX(PQ_Juli!$B$2:$AF$1048,MATCH($C61,PQ_Juli!$A$2:$A$1048,0),MATCH(AK$3&amp;"",PQ_Juli!$B$1:$AF$1&amp;"",0)),0)</f>
        <v>3</v>
      </c>
      <c r="AL61" s="10" cm="1">
        <f t="array" ref="AL61">IFERROR(INDEX(PQ_Juli!$B$2:$AF$1048,MATCH($C61,PQ_Juli!$A$2:$A$1048,0),MATCH(AL$3&amp;"",PQ_Juli!$B$1:$AF$1&amp;"",0)),0)</f>
        <v>4</v>
      </c>
      <c r="AM61" s="13"/>
      <c r="AN61" s="14">
        <f t="shared" si="4"/>
        <v>20</v>
      </c>
      <c r="AO61" s="18">
        <f t="shared" si="7"/>
        <v>1749</v>
      </c>
      <c r="AP61" s="23">
        <v>440</v>
      </c>
      <c r="AQ61" s="24" t="s">
        <v>79</v>
      </c>
      <c r="AR61" s="105"/>
      <c r="AS61" s="104"/>
      <c r="AT61" s="105"/>
      <c r="AU61" s="104"/>
      <c r="AV61" s="211"/>
      <c r="AW61" s="105"/>
      <c r="AX61" s="59">
        <f t="shared" si="5"/>
        <v>0</v>
      </c>
      <c r="AY61" s="29">
        <f t="shared" si="6"/>
        <v>0</v>
      </c>
      <c r="AZ61" s="18">
        <f t="shared" si="2"/>
        <v>0</v>
      </c>
      <c r="BA61" s="18">
        <f t="shared" si="8"/>
        <v>1749</v>
      </c>
      <c r="BB61" s="21"/>
      <c r="BC61" s="30"/>
      <c r="BD61" s="30"/>
      <c r="BE61" s="30"/>
      <c r="BF61" s="30"/>
      <c r="BN61" s="41"/>
    </row>
    <row r="62" spans="1:66" ht="22.5" customHeight="1">
      <c r="A62" s="260">
        <f t="shared" si="9"/>
        <v>2904</v>
      </c>
      <c r="B62" s="261"/>
      <c r="C62" s="77" t="s">
        <v>44</v>
      </c>
      <c r="D62" s="75">
        <v>1600</v>
      </c>
      <c r="E62" s="75">
        <v>48</v>
      </c>
      <c r="F62" s="75">
        <v>61</v>
      </c>
      <c r="G62" s="41">
        <v>2916</v>
      </c>
      <c r="H62" s="277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  <c r="AC62" s="278"/>
      <c r="AD62" s="278"/>
      <c r="AE62" s="278"/>
      <c r="AF62" s="279"/>
      <c r="AG62" s="11"/>
      <c r="AH62" s="10" cm="1">
        <f t="array" ref="AH62">IFERROR(INDEX(PQ_Juli!$B$2:$AF$1048,MATCH($C62,PQ_Juli!$A$2:$A$1048,0),MATCH(AH$3&amp;"",PQ_Juli!$B$1:$AF$1&amp;"",0)),0)</f>
        <v>1</v>
      </c>
      <c r="AI62" s="10" cm="1">
        <f t="array" ref="AI62">IFERROR(INDEX(PQ_Juli!$B$2:$AF$1048,MATCH($C62,PQ_Juli!$A$2:$A$1048,0),MATCH(AI$3&amp;"",PQ_Juli!$B$1:$AF$1&amp;"",0)),0)</f>
        <v>2</v>
      </c>
      <c r="AJ62" s="10" cm="1">
        <f t="array" ref="AJ62">IFERROR(INDEX(PQ_Juli!$B$2:$AF$1048,MATCH($C62,PQ_Juli!$A$2:$A$1048,0),MATCH(AJ$3&amp;"",PQ_Juli!$B$1:$AF$1&amp;"",0)),0)</f>
        <v>5</v>
      </c>
      <c r="AK62" s="10" cm="1">
        <f t="array" ref="AK62">IFERROR(INDEX(PQ_Juli!$B$2:$AF$1048,MATCH($C62,PQ_Juli!$A$2:$A$1048,0),MATCH(AK$3&amp;"",PQ_Juli!$B$1:$AF$1&amp;"",0)),0)</f>
        <v>1</v>
      </c>
      <c r="AL62" s="10" cm="1">
        <f t="array" ref="AL62">IFERROR(INDEX(PQ_Juli!$B$2:$AF$1048,MATCH($C62,PQ_Juli!$A$2:$A$1048,0),MATCH(AL$3&amp;"",PQ_Juli!$B$1:$AF$1&amp;"",0)),0)</f>
        <v>3</v>
      </c>
      <c r="AM62" s="13"/>
      <c r="AN62" s="14">
        <f t="shared" si="4"/>
        <v>12</v>
      </c>
      <c r="AO62" s="18">
        <f t="shared" si="7"/>
        <v>2904</v>
      </c>
      <c r="AP62" s="23">
        <v>600</v>
      </c>
      <c r="AQ62" s="24" t="s">
        <v>79</v>
      </c>
      <c r="AR62" s="105"/>
      <c r="AS62" s="104"/>
      <c r="AT62" s="105"/>
      <c r="AU62" s="104"/>
      <c r="AV62" s="105"/>
      <c r="AW62" s="105"/>
      <c r="AX62" s="59">
        <f t="shared" si="5"/>
        <v>0</v>
      </c>
      <c r="AY62" s="29">
        <f t="shared" si="6"/>
        <v>0</v>
      </c>
      <c r="AZ62" s="18">
        <f t="shared" si="2"/>
        <v>0</v>
      </c>
      <c r="BA62" s="18">
        <f t="shared" si="8"/>
        <v>2904</v>
      </c>
      <c r="BB62" s="21"/>
      <c r="BC62" s="30"/>
      <c r="BD62" s="30"/>
      <c r="BE62" s="30"/>
      <c r="BF62" s="30"/>
      <c r="BN62" s="41"/>
    </row>
    <row r="63" spans="1:66" ht="22.5" customHeight="1">
      <c r="A63" s="262">
        <f t="shared" si="9"/>
        <v>969</v>
      </c>
      <c r="B63" s="263"/>
      <c r="C63" s="77" t="s">
        <v>45</v>
      </c>
      <c r="D63" s="75">
        <v>450</v>
      </c>
      <c r="E63" s="75">
        <v>7</v>
      </c>
      <c r="F63" s="75">
        <v>12</v>
      </c>
      <c r="G63" s="41">
        <v>993</v>
      </c>
      <c r="H63" s="277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9"/>
      <c r="AG63" s="11"/>
      <c r="AH63" s="10" cm="1">
        <f t="array" ref="AH63">IFERROR(INDEX(PQ_Juli!$B$2:$AF$1048,MATCH($C63,PQ_Juli!$A$2:$A$1048,0),MATCH(AH$3&amp;"",PQ_Juli!$B$1:$AF$1&amp;"",0)),0)</f>
        <v>0</v>
      </c>
      <c r="AI63" s="10" cm="1">
        <f t="array" ref="AI63">IFERROR(INDEX(PQ_Juli!$B$2:$AF$1048,MATCH($C63,PQ_Juli!$A$2:$A$1048,0),MATCH(AI$3&amp;"",PQ_Juli!$B$1:$AF$1&amp;"",0)),0)</f>
        <v>22</v>
      </c>
      <c r="AJ63" s="10" cm="1">
        <f t="array" ref="AJ63">IFERROR(INDEX(PQ_Juli!$B$2:$AF$1048,MATCH($C63,PQ_Juli!$A$2:$A$1048,0),MATCH(AJ$3&amp;"",PQ_Juli!$B$1:$AF$1&amp;"",0)),0)</f>
        <v>2</v>
      </c>
      <c r="AK63" s="10" cm="1">
        <f t="array" ref="AK63">IFERROR(INDEX(PQ_Juli!$B$2:$AF$1048,MATCH($C63,PQ_Juli!$A$2:$A$1048,0),MATCH(AK$3&amp;"",PQ_Juli!$B$1:$AF$1&amp;"",0)),0)</f>
        <v>0</v>
      </c>
      <c r="AL63" s="10" cm="1">
        <f t="array" ref="AL63">IFERROR(INDEX(PQ_Juli!$B$2:$AF$1048,MATCH($C63,PQ_Juli!$A$2:$A$1048,0),MATCH(AL$3&amp;"",PQ_Juli!$B$1:$AF$1&amp;"",0)),0)</f>
        <v>0</v>
      </c>
      <c r="AM63" s="13"/>
      <c r="AN63" s="14">
        <f t="shared" si="4"/>
        <v>24</v>
      </c>
      <c r="AO63" s="18">
        <f t="shared" si="7"/>
        <v>969</v>
      </c>
      <c r="AP63" s="23">
        <v>250</v>
      </c>
      <c r="AQ63" s="24" t="s">
        <v>79</v>
      </c>
      <c r="AR63" s="105"/>
      <c r="AS63" s="104"/>
      <c r="AT63" s="105"/>
      <c r="AU63" s="104"/>
      <c r="AV63" s="105"/>
      <c r="AW63" s="105"/>
      <c r="AX63" s="59">
        <f t="shared" si="5"/>
        <v>0</v>
      </c>
      <c r="AY63" s="29">
        <f t="shared" si="6"/>
        <v>0</v>
      </c>
      <c r="AZ63" s="18">
        <f t="shared" si="2"/>
        <v>0</v>
      </c>
      <c r="BA63" s="18">
        <f t="shared" si="8"/>
        <v>969</v>
      </c>
      <c r="BB63" s="21"/>
      <c r="BC63" s="30"/>
      <c r="BD63" s="30"/>
      <c r="BE63" s="30"/>
      <c r="BF63" s="30"/>
      <c r="BN63" s="41"/>
    </row>
    <row r="64" spans="1:66" ht="21" customHeight="1">
      <c r="A64" s="262">
        <f t="shared" si="9"/>
        <v>484</v>
      </c>
      <c r="B64" s="263"/>
      <c r="C64" s="77" t="s">
        <v>46</v>
      </c>
      <c r="D64" s="75">
        <v>480</v>
      </c>
      <c r="E64" s="75">
        <v>10</v>
      </c>
      <c r="F64" s="75">
        <v>10</v>
      </c>
      <c r="G64" s="41">
        <v>510</v>
      </c>
      <c r="H64" s="277"/>
      <c r="I64" s="278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9"/>
      <c r="AG64" s="11"/>
      <c r="AH64" s="10" cm="1">
        <f t="array" ref="AH64">IFERROR(INDEX(PQ_Juli!$B$2:$AF$1048,MATCH($C64,PQ_Juli!$A$2:$A$1048,0),MATCH(AH$3&amp;"",PQ_Juli!$B$1:$AF$1&amp;"",0)),0)</f>
        <v>2</v>
      </c>
      <c r="AI64" s="10" cm="1">
        <f t="array" ref="AI64">IFERROR(INDEX(PQ_Juli!$B$2:$AF$1048,MATCH($C64,PQ_Juli!$A$2:$A$1048,0),MATCH(AI$3&amp;"",PQ_Juli!$B$1:$AF$1&amp;"",0)),0)</f>
        <v>21</v>
      </c>
      <c r="AJ64" s="10" cm="1">
        <f t="array" ref="AJ64">IFERROR(INDEX(PQ_Juli!$B$2:$AF$1048,MATCH($C64,PQ_Juli!$A$2:$A$1048,0),MATCH(AJ$3&amp;"",PQ_Juli!$B$1:$AF$1&amp;"",0)),0)</f>
        <v>2</v>
      </c>
      <c r="AK64" s="10" cm="1">
        <f t="array" ref="AK64">IFERROR(INDEX(PQ_Juli!$B$2:$AF$1048,MATCH($C64,PQ_Juli!$A$2:$A$1048,0),MATCH(AK$3&amp;"",PQ_Juli!$B$1:$AF$1&amp;"",0)),0)</f>
        <v>0</v>
      </c>
      <c r="AL64" s="10" cm="1">
        <f t="array" ref="AL64">IFERROR(INDEX(PQ_Juli!$B$2:$AF$1048,MATCH($C64,PQ_Juli!$A$2:$A$1048,0),MATCH(AL$3&amp;"",PQ_Juli!$B$1:$AF$1&amp;"",0)),0)</f>
        <v>1</v>
      </c>
      <c r="AM64" s="13"/>
      <c r="AN64" s="14">
        <f t="shared" si="4"/>
        <v>26</v>
      </c>
      <c r="AO64" s="18">
        <f t="shared" si="7"/>
        <v>484</v>
      </c>
      <c r="AP64" s="24">
        <v>240</v>
      </c>
      <c r="AQ64" s="24" t="s">
        <v>79</v>
      </c>
      <c r="AR64" s="105"/>
      <c r="AS64" s="104"/>
      <c r="AT64" s="105"/>
      <c r="AU64" s="104"/>
      <c r="AV64" s="211"/>
      <c r="AW64" s="105"/>
      <c r="AX64" s="59">
        <f t="shared" si="5"/>
        <v>0</v>
      </c>
      <c r="AY64" s="29">
        <f t="shared" si="6"/>
        <v>0</v>
      </c>
      <c r="AZ64" s="18">
        <f t="shared" si="2"/>
        <v>0</v>
      </c>
      <c r="BA64" s="18">
        <f t="shared" si="8"/>
        <v>484</v>
      </c>
      <c r="BB64" s="21"/>
      <c r="BC64" s="30"/>
      <c r="BD64" s="30"/>
      <c r="BE64" s="30"/>
      <c r="BF64" s="30"/>
      <c r="BN64" s="41"/>
    </row>
    <row r="65" spans="1:66" ht="22.5" customHeight="1">
      <c r="A65" s="260">
        <f t="shared" si="9"/>
        <v>257</v>
      </c>
      <c r="B65" s="261"/>
      <c r="C65" s="77" t="s">
        <v>47</v>
      </c>
      <c r="D65" s="75">
        <v>200</v>
      </c>
      <c r="E65" s="75">
        <v>25</v>
      </c>
      <c r="F65" s="75">
        <v>20</v>
      </c>
      <c r="G65" s="41">
        <v>259</v>
      </c>
      <c r="H65" s="277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9"/>
      <c r="AG65" s="11"/>
      <c r="AH65" s="10" cm="1">
        <f t="array" ref="AH65">IFERROR(INDEX(PQ_Juli!$B$2:$AF$1048,MATCH($C65,PQ_Juli!$A$2:$A$1048,0),MATCH(AH$3&amp;"",PQ_Juli!$B$1:$AF$1&amp;"",0)),0)</f>
        <v>0</v>
      </c>
      <c r="AI65" s="10" cm="1">
        <f t="array" ref="AI65">IFERROR(INDEX(PQ_Juli!$B$2:$AF$1048,MATCH($C65,PQ_Juli!$A$2:$A$1048,0),MATCH(AI$3&amp;"",PQ_Juli!$B$1:$AF$1&amp;"",0)),0)</f>
        <v>0</v>
      </c>
      <c r="AJ65" s="10" cm="1">
        <f t="array" ref="AJ65">IFERROR(INDEX(PQ_Juli!$B$2:$AF$1048,MATCH($C65,PQ_Juli!$A$2:$A$1048,0),MATCH(AJ$3&amp;"",PQ_Juli!$B$1:$AF$1&amp;"",0)),0)</f>
        <v>0</v>
      </c>
      <c r="AK65" s="10" cm="1">
        <f t="array" ref="AK65">IFERROR(INDEX(PQ_Juli!$B$2:$AF$1048,MATCH($C65,PQ_Juli!$A$2:$A$1048,0),MATCH(AK$3&amp;"",PQ_Juli!$B$1:$AF$1&amp;"",0)),0)</f>
        <v>2</v>
      </c>
      <c r="AL65" s="10" cm="1">
        <f t="array" ref="AL65">IFERROR(INDEX(PQ_Juli!$B$2:$AF$1048,MATCH($C65,PQ_Juli!$A$2:$A$1048,0),MATCH(AL$3&amp;"",PQ_Juli!$B$1:$AF$1&amp;"",0)),0)</f>
        <v>0</v>
      </c>
      <c r="AM65" s="13"/>
      <c r="AN65" s="14">
        <f t="shared" si="4"/>
        <v>2</v>
      </c>
      <c r="AO65" s="18">
        <f t="shared" si="7"/>
        <v>257</v>
      </c>
      <c r="AP65" s="23">
        <v>150</v>
      </c>
      <c r="AQ65" s="24" t="s">
        <v>79</v>
      </c>
      <c r="AR65" s="105"/>
      <c r="AS65" s="104"/>
      <c r="AT65" s="105"/>
      <c r="AU65" s="104"/>
      <c r="AV65" s="211"/>
      <c r="AW65" s="105"/>
      <c r="AX65" s="59">
        <f t="shared" si="5"/>
        <v>0</v>
      </c>
      <c r="AY65" s="29">
        <f t="shared" si="6"/>
        <v>0</v>
      </c>
      <c r="AZ65" s="18">
        <f t="shared" si="2"/>
        <v>0</v>
      </c>
      <c r="BA65" s="18">
        <f t="shared" si="8"/>
        <v>257</v>
      </c>
      <c r="BB65" s="21"/>
      <c r="BC65" s="30"/>
      <c r="BD65" s="30"/>
      <c r="BE65" s="30"/>
      <c r="BF65" s="30"/>
      <c r="BN65" s="41"/>
    </row>
    <row r="66" spans="1:66" ht="22.5" customHeight="1">
      <c r="A66" s="262">
        <f t="shared" si="9"/>
        <v>1283</v>
      </c>
      <c r="B66" s="263"/>
      <c r="C66" s="77" t="s">
        <v>48</v>
      </c>
      <c r="D66" s="75">
        <v>1300</v>
      </c>
      <c r="E66" s="75">
        <v>10</v>
      </c>
      <c r="F66" s="75">
        <v>20</v>
      </c>
      <c r="G66" s="41">
        <v>1307</v>
      </c>
      <c r="H66" s="277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9"/>
      <c r="AG66" s="11"/>
      <c r="AH66" s="10" cm="1">
        <f t="array" ref="AH66">IFERROR(INDEX(PQ_Juli!$B$2:$AF$1048,MATCH($C66,PQ_Juli!$A$2:$A$1048,0),MATCH(AH$3&amp;"",PQ_Juli!$B$1:$AF$1&amp;"",0)),0)</f>
        <v>1</v>
      </c>
      <c r="AI66" s="10" cm="1">
        <f t="array" ref="AI66">IFERROR(INDEX(PQ_Juli!$B$2:$AF$1048,MATCH($C66,PQ_Juli!$A$2:$A$1048,0),MATCH(AI$3&amp;"",PQ_Juli!$B$1:$AF$1&amp;"",0)),0)</f>
        <v>21</v>
      </c>
      <c r="AJ66" s="10" cm="1">
        <f t="array" ref="AJ66">IFERROR(INDEX(PQ_Juli!$B$2:$AF$1048,MATCH($C66,PQ_Juli!$A$2:$A$1048,0),MATCH(AJ$3&amp;"",PQ_Juli!$B$1:$AF$1&amp;"",0)),0)</f>
        <v>2</v>
      </c>
      <c r="AK66" s="10" cm="1">
        <f t="array" ref="AK66">IFERROR(INDEX(PQ_Juli!$B$2:$AF$1048,MATCH($C66,PQ_Juli!$A$2:$A$1048,0),MATCH(AK$3&amp;"",PQ_Juli!$B$1:$AF$1&amp;"",0)),0)</f>
        <v>0</v>
      </c>
      <c r="AL66" s="10" cm="1">
        <f t="array" ref="AL66">IFERROR(INDEX(PQ_Juli!$B$2:$AF$1048,MATCH($C66,PQ_Juli!$A$2:$A$1048,0),MATCH(AL$3&amp;"",PQ_Juli!$B$1:$AF$1&amp;"",0)),0)</f>
        <v>0</v>
      </c>
      <c r="AM66" s="13"/>
      <c r="AN66" s="14">
        <f t="shared" si="4"/>
        <v>24</v>
      </c>
      <c r="AO66" s="18">
        <f t="shared" si="7"/>
        <v>1283</v>
      </c>
      <c r="AP66" s="23">
        <v>400</v>
      </c>
      <c r="AQ66" s="24" t="s">
        <v>79</v>
      </c>
      <c r="AR66" s="105"/>
      <c r="AS66" s="104"/>
      <c r="AT66" s="105"/>
      <c r="AU66" s="104"/>
      <c r="AV66" s="211"/>
      <c r="AW66" s="105"/>
      <c r="AX66" s="59">
        <f t="shared" si="5"/>
        <v>0</v>
      </c>
      <c r="AY66" s="29">
        <f t="shared" si="6"/>
        <v>0</v>
      </c>
      <c r="AZ66" s="18">
        <f t="shared" si="2"/>
        <v>0</v>
      </c>
      <c r="BA66" s="18">
        <f t="shared" si="8"/>
        <v>1283</v>
      </c>
      <c r="BB66" s="21"/>
      <c r="BC66" s="30"/>
      <c r="BD66" s="30"/>
      <c r="BE66" s="30"/>
      <c r="BF66" s="30"/>
      <c r="BN66" s="41"/>
    </row>
    <row r="67" spans="1:66" ht="22.5" customHeight="1">
      <c r="A67" s="262">
        <f t="shared" si="9"/>
        <v>1197</v>
      </c>
      <c r="B67" s="263"/>
      <c r="C67" s="77" t="s">
        <v>49</v>
      </c>
      <c r="D67" s="75">
        <v>470</v>
      </c>
      <c r="E67" s="75">
        <v>136</v>
      </c>
      <c r="F67" s="75">
        <v>250</v>
      </c>
      <c r="G67" s="41">
        <v>1197</v>
      </c>
      <c r="H67" s="277"/>
      <c r="I67" s="278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  <c r="AC67" s="278"/>
      <c r="AD67" s="278"/>
      <c r="AE67" s="278"/>
      <c r="AF67" s="279"/>
      <c r="AG67" s="11"/>
      <c r="AH67" s="10" cm="1">
        <f t="array" ref="AH67">IFERROR(INDEX(PQ_Juli!$B$2:$AF$1048,MATCH($C67,PQ_Juli!$A$2:$A$1048,0),MATCH(AH$3&amp;"",PQ_Juli!$B$1:$AF$1&amp;"",0)),0)</f>
        <v>0</v>
      </c>
      <c r="AI67" s="10" cm="1">
        <f t="array" ref="AI67">IFERROR(INDEX(PQ_Juli!$B$2:$AF$1048,MATCH($C67,PQ_Juli!$A$2:$A$1048,0),MATCH(AI$3&amp;"",PQ_Juli!$B$1:$AF$1&amp;"",0)),0)</f>
        <v>0</v>
      </c>
      <c r="AJ67" s="10" cm="1">
        <f t="array" ref="AJ67">IFERROR(INDEX(PQ_Juli!$B$2:$AF$1048,MATCH($C67,PQ_Juli!$A$2:$A$1048,0),MATCH(AJ$3&amp;"",PQ_Juli!$B$1:$AF$1&amp;"",0)),0)</f>
        <v>0</v>
      </c>
      <c r="AK67" s="10" cm="1">
        <f t="array" ref="AK67">IFERROR(INDEX(PQ_Juli!$B$2:$AF$1048,MATCH($C67,PQ_Juli!$A$2:$A$1048,0),MATCH(AK$3&amp;"",PQ_Juli!$B$1:$AF$1&amp;"",0)),0)</f>
        <v>0</v>
      </c>
      <c r="AL67" s="10" cm="1">
        <f t="array" ref="AL67">IFERROR(INDEX(PQ_Juli!$B$2:$AF$1048,MATCH($C67,PQ_Juli!$A$2:$A$1048,0),MATCH(AL$3&amp;"",PQ_Juli!$B$1:$AF$1&amp;"",0)),0)</f>
        <v>0</v>
      </c>
      <c r="AM67" s="13"/>
      <c r="AN67" s="14">
        <f t="shared" si="4"/>
        <v>0</v>
      </c>
      <c r="AO67" s="18">
        <f t="shared" si="7"/>
        <v>1197</v>
      </c>
      <c r="AP67" s="23">
        <v>400</v>
      </c>
      <c r="AQ67" s="24" t="s">
        <v>79</v>
      </c>
      <c r="AR67" s="105"/>
      <c r="AS67" s="104"/>
      <c r="AT67" s="105"/>
      <c r="AU67" s="104"/>
      <c r="AV67" s="211"/>
      <c r="AW67" s="105"/>
      <c r="AX67" s="59">
        <f t="shared" si="5"/>
        <v>0</v>
      </c>
      <c r="AY67" s="29">
        <f t="shared" si="6"/>
        <v>0</v>
      </c>
      <c r="AZ67" s="18">
        <f t="shared" si="2"/>
        <v>0</v>
      </c>
      <c r="BA67" s="18">
        <f t="shared" si="8"/>
        <v>1197</v>
      </c>
      <c r="BB67" s="21"/>
      <c r="BC67" s="30"/>
      <c r="BD67" s="30"/>
      <c r="BE67" s="30"/>
      <c r="BF67" s="30"/>
      <c r="BN67" s="41"/>
    </row>
    <row r="68" spans="1:66" ht="22.5" customHeight="1">
      <c r="A68" s="260">
        <f t="shared" si="9"/>
        <v>1093</v>
      </c>
      <c r="B68" s="261"/>
      <c r="C68" s="77" t="s">
        <v>50</v>
      </c>
      <c r="D68" s="75">
        <v>1300</v>
      </c>
      <c r="E68" s="75">
        <v>6</v>
      </c>
      <c r="F68" s="75">
        <v>4</v>
      </c>
      <c r="G68" s="41">
        <v>1116</v>
      </c>
      <c r="H68" s="277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9"/>
      <c r="AG68" s="11"/>
      <c r="AH68" s="10" cm="1">
        <f t="array" ref="AH68">IFERROR(INDEX(PQ_Juli!$B$2:$AF$1048,MATCH($C68,PQ_Juli!$A$2:$A$1048,0),MATCH(AH$3&amp;"",PQ_Juli!$B$1:$AF$1&amp;"",0)),0)</f>
        <v>0</v>
      </c>
      <c r="AI68" s="10" cm="1">
        <f t="array" ref="AI68">IFERROR(INDEX(PQ_Juli!$B$2:$AF$1048,MATCH($C68,PQ_Juli!$A$2:$A$1048,0),MATCH(AI$3&amp;"",PQ_Juli!$B$1:$AF$1&amp;"",0)),0)</f>
        <v>21</v>
      </c>
      <c r="AJ68" s="10" cm="1">
        <f t="array" ref="AJ68">IFERROR(INDEX(PQ_Juli!$B$2:$AF$1048,MATCH($C68,PQ_Juli!$A$2:$A$1048,0),MATCH(AJ$3&amp;"",PQ_Juli!$B$1:$AF$1&amp;"",0)),0)</f>
        <v>2</v>
      </c>
      <c r="AK68" s="10" cm="1">
        <f t="array" ref="AK68">IFERROR(INDEX(PQ_Juli!$B$2:$AF$1048,MATCH($C68,PQ_Juli!$A$2:$A$1048,0),MATCH(AK$3&amp;"",PQ_Juli!$B$1:$AF$1&amp;"",0)),0)</f>
        <v>0</v>
      </c>
      <c r="AL68" s="10" cm="1">
        <f t="array" ref="AL68">IFERROR(INDEX(PQ_Juli!$B$2:$AF$1048,MATCH($C68,PQ_Juli!$A$2:$A$1048,0),MATCH(AL$3&amp;"",PQ_Juli!$B$1:$AF$1&amp;"",0)),0)</f>
        <v>0</v>
      </c>
      <c r="AM68" s="13"/>
      <c r="AN68" s="14">
        <f t="shared" si="4"/>
        <v>23</v>
      </c>
      <c r="AO68" s="18">
        <f t="shared" ref="AO68:AO99" si="10">(G68-AN68)+AZ68</f>
        <v>1093</v>
      </c>
      <c r="AP68" s="23">
        <v>500</v>
      </c>
      <c r="AQ68" s="24" t="s">
        <v>79</v>
      </c>
      <c r="AR68" s="105"/>
      <c r="AS68" s="104"/>
      <c r="AT68" s="105"/>
      <c r="AU68" s="104"/>
      <c r="AV68" s="105"/>
      <c r="AW68" s="105"/>
      <c r="AX68" s="59">
        <f t="shared" si="5"/>
        <v>0</v>
      </c>
      <c r="AY68" s="29">
        <f t="shared" si="6"/>
        <v>0</v>
      </c>
      <c r="AZ68" s="18">
        <f t="shared" si="2"/>
        <v>0</v>
      </c>
      <c r="BA68" s="18">
        <f t="shared" ref="BA68:BA100" si="11">(G68-AN68)+AZ68</f>
        <v>1093</v>
      </c>
      <c r="BB68" s="21"/>
      <c r="BC68" s="30"/>
      <c r="BD68" s="30"/>
      <c r="BE68" s="30"/>
      <c r="BF68" s="30"/>
      <c r="BN68" s="41"/>
    </row>
    <row r="69" spans="1:66" ht="22.5" customHeight="1">
      <c r="A69" s="262">
        <f t="shared" si="9"/>
        <v>2393</v>
      </c>
      <c r="B69" s="263"/>
      <c r="C69" s="77" t="s">
        <v>51</v>
      </c>
      <c r="D69" s="75">
        <v>1200</v>
      </c>
      <c r="E69" s="75">
        <v>63</v>
      </c>
      <c r="F69" s="75">
        <v>186</v>
      </c>
      <c r="G69" s="41">
        <v>2416</v>
      </c>
      <c r="H69" s="277"/>
      <c r="I69" s="278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  <c r="AC69" s="278"/>
      <c r="AD69" s="278"/>
      <c r="AE69" s="278"/>
      <c r="AF69" s="279"/>
      <c r="AG69" s="11"/>
      <c r="AH69" s="10" cm="1">
        <f t="array" ref="AH69">IFERROR(INDEX(PQ_Juli!$B$2:$AF$1048,MATCH($C69,PQ_Juli!$A$2:$A$1048,0),MATCH(AH$3&amp;"",PQ_Juli!$B$1:$AF$1&amp;"",0)),0)</f>
        <v>6</v>
      </c>
      <c r="AI69" s="10" cm="1">
        <f t="array" ref="AI69">IFERROR(INDEX(PQ_Juli!$B$2:$AF$1048,MATCH($C69,PQ_Juli!$A$2:$A$1048,0),MATCH(AI$3&amp;"",PQ_Juli!$B$1:$AF$1&amp;"",0)),0)</f>
        <v>3</v>
      </c>
      <c r="AJ69" s="10" cm="1">
        <f t="array" ref="AJ69">IFERROR(INDEX(PQ_Juli!$B$2:$AF$1048,MATCH($C69,PQ_Juli!$A$2:$A$1048,0),MATCH(AJ$3&amp;"",PQ_Juli!$B$1:$AF$1&amp;"",0)),0)</f>
        <v>7</v>
      </c>
      <c r="AK69" s="10" cm="1">
        <f t="array" ref="AK69">IFERROR(INDEX(PQ_Juli!$B$2:$AF$1048,MATCH($C69,PQ_Juli!$A$2:$A$1048,0),MATCH(AK$3&amp;"",PQ_Juli!$B$1:$AF$1&amp;"",0)),0)</f>
        <v>3</v>
      </c>
      <c r="AL69" s="10" cm="1">
        <f t="array" ref="AL69">IFERROR(INDEX(PQ_Juli!$B$2:$AF$1048,MATCH($C69,PQ_Juli!$A$2:$A$1048,0),MATCH(AL$3&amp;"",PQ_Juli!$B$1:$AF$1&amp;"",0)),0)</f>
        <v>4</v>
      </c>
      <c r="AM69" s="13"/>
      <c r="AN69" s="14">
        <f t="shared" ref="AN69:AN100" si="12">SUM(H69:AL69)+AM69</f>
        <v>23</v>
      </c>
      <c r="AO69" s="18">
        <f t="shared" si="10"/>
        <v>2393</v>
      </c>
      <c r="AP69" s="23">
        <v>500</v>
      </c>
      <c r="AQ69" s="24" t="s">
        <v>79</v>
      </c>
      <c r="AR69" s="105"/>
      <c r="AS69" s="104"/>
      <c r="AT69" s="105"/>
      <c r="AU69" s="104"/>
      <c r="AV69" s="105"/>
      <c r="AW69" s="105"/>
      <c r="AX69" s="59">
        <f t="shared" ref="AX69:AX100" si="13">IFERROR(IF(AV69="",0,$D69*AS69),0)</f>
        <v>0</v>
      </c>
      <c r="AY69" s="29">
        <f t="shared" ref="AY69:AY100" si="14">IFERROR(IF(AW69="",0,$D69*AU69),0)</f>
        <v>0</v>
      </c>
      <c r="AZ69" s="18">
        <f t="shared" ref="AZ69:AZ100" si="15">AX69+AY69</f>
        <v>0</v>
      </c>
      <c r="BA69" s="18">
        <f t="shared" si="11"/>
        <v>2393</v>
      </c>
      <c r="BB69" s="21"/>
      <c r="BC69" s="30"/>
      <c r="BD69" s="30"/>
      <c r="BE69" s="30"/>
      <c r="BF69" s="30"/>
      <c r="BN69" s="41"/>
    </row>
    <row r="70" spans="1:66" ht="22.5" customHeight="1">
      <c r="A70" s="262">
        <f t="shared" si="9"/>
        <v>3009</v>
      </c>
      <c r="B70" s="263"/>
      <c r="C70" s="77" t="s">
        <v>52</v>
      </c>
      <c r="D70" s="75">
        <v>1000</v>
      </c>
      <c r="E70" s="75">
        <v>218</v>
      </c>
      <c r="F70" s="75">
        <v>433</v>
      </c>
      <c r="G70" s="41">
        <v>3117</v>
      </c>
      <c r="H70" s="277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279"/>
      <c r="AG70" s="11"/>
      <c r="AH70" s="10" cm="1">
        <f t="array" ref="AH70">IFERROR(INDEX(PQ_Juli!$B$2:$AF$1048,MATCH($C70,PQ_Juli!$A$2:$A$1048,0),MATCH(AH$3&amp;"",PQ_Juli!$B$1:$AF$1&amp;"",0)),0)</f>
        <v>8</v>
      </c>
      <c r="AI70" s="10" cm="1">
        <f t="array" ref="AI70">IFERROR(INDEX(PQ_Juli!$B$2:$AF$1048,MATCH($C70,PQ_Juli!$A$2:$A$1048,0),MATCH(AI$3&amp;"",PQ_Juli!$B$1:$AF$1&amp;"",0)),0)</f>
        <v>53</v>
      </c>
      <c r="AJ70" s="10" cm="1">
        <f t="array" ref="AJ70">IFERROR(INDEX(PQ_Juli!$B$2:$AF$1048,MATCH($C70,PQ_Juli!$A$2:$A$1048,0),MATCH(AJ$3&amp;"",PQ_Juli!$B$1:$AF$1&amp;"",0)),0)</f>
        <v>12</v>
      </c>
      <c r="AK70" s="10" cm="1">
        <f t="array" ref="AK70">IFERROR(INDEX(PQ_Juli!$B$2:$AF$1048,MATCH($C70,PQ_Juli!$A$2:$A$1048,0),MATCH(AK$3&amp;"",PQ_Juli!$B$1:$AF$1&amp;"",0)),0)</f>
        <v>26</v>
      </c>
      <c r="AL70" s="10" cm="1">
        <f t="array" ref="AL70">IFERROR(INDEX(PQ_Juli!$B$2:$AF$1048,MATCH($C70,PQ_Juli!$A$2:$A$1048,0),MATCH(AL$3&amp;"",PQ_Juli!$B$1:$AF$1&amp;"",0)),0)</f>
        <v>9</v>
      </c>
      <c r="AM70" s="13"/>
      <c r="AN70" s="14">
        <f t="shared" si="12"/>
        <v>108</v>
      </c>
      <c r="AO70" s="18">
        <f t="shared" si="10"/>
        <v>3009</v>
      </c>
      <c r="AP70" s="23">
        <v>600</v>
      </c>
      <c r="AQ70" s="24" t="s">
        <v>79</v>
      </c>
      <c r="AR70" s="105"/>
      <c r="AS70" s="104"/>
      <c r="AT70" s="105"/>
      <c r="AU70" s="104"/>
      <c r="AV70" s="211"/>
      <c r="AW70" s="105"/>
      <c r="AX70" s="59">
        <f t="shared" si="13"/>
        <v>0</v>
      </c>
      <c r="AY70" s="29">
        <f t="shared" si="14"/>
        <v>0</v>
      </c>
      <c r="AZ70" s="18">
        <f t="shared" si="15"/>
        <v>0</v>
      </c>
      <c r="BA70" s="18">
        <f t="shared" si="11"/>
        <v>3009</v>
      </c>
      <c r="BB70" s="21"/>
      <c r="BC70" s="30"/>
      <c r="BD70" s="30"/>
      <c r="BE70" s="30"/>
      <c r="BF70" s="30"/>
      <c r="BN70" s="41"/>
    </row>
    <row r="71" spans="1:66" ht="22.5" customHeight="1">
      <c r="A71" s="260">
        <f t="shared" si="9"/>
        <v>2759</v>
      </c>
      <c r="B71" s="261"/>
      <c r="C71" s="77" t="s">
        <v>53</v>
      </c>
      <c r="D71" s="75">
        <v>1000</v>
      </c>
      <c r="E71" s="75">
        <v>63</v>
      </c>
      <c r="F71" s="75">
        <v>107</v>
      </c>
      <c r="G71" s="41">
        <v>2780</v>
      </c>
      <c r="H71" s="277"/>
      <c r="I71" s="278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  <c r="AC71" s="278"/>
      <c r="AD71" s="278"/>
      <c r="AE71" s="278"/>
      <c r="AF71" s="279"/>
      <c r="AG71" s="11"/>
      <c r="AH71" s="10" cm="1">
        <f t="array" ref="AH71">IFERROR(INDEX(PQ_Juli!$B$2:$AF$1048,MATCH($C71,PQ_Juli!$A$2:$A$1048,0),MATCH(AH$3&amp;"",PQ_Juli!$B$1:$AF$1&amp;"",0)),0)</f>
        <v>7</v>
      </c>
      <c r="AI71" s="10" cm="1">
        <f t="array" ref="AI71">IFERROR(INDEX(PQ_Juli!$B$2:$AF$1048,MATCH($C71,PQ_Juli!$A$2:$A$1048,0),MATCH(AI$3&amp;"",PQ_Juli!$B$1:$AF$1&amp;"",0)),0)</f>
        <v>3</v>
      </c>
      <c r="AJ71" s="10" cm="1">
        <f t="array" ref="AJ71">IFERROR(INDEX(PQ_Juli!$B$2:$AF$1048,MATCH($C71,PQ_Juli!$A$2:$A$1048,0),MATCH(AJ$3&amp;"",PQ_Juli!$B$1:$AF$1&amp;"",0)),0)</f>
        <v>4</v>
      </c>
      <c r="AK71" s="10" cm="1">
        <f t="array" ref="AK71">IFERROR(INDEX(PQ_Juli!$B$2:$AF$1048,MATCH($C71,PQ_Juli!$A$2:$A$1048,0),MATCH(AK$3&amp;"",PQ_Juli!$B$1:$AF$1&amp;"",0)),0)</f>
        <v>3</v>
      </c>
      <c r="AL71" s="10" cm="1">
        <f t="array" ref="AL71">IFERROR(INDEX(PQ_Juli!$B$2:$AF$1048,MATCH($C71,PQ_Juli!$A$2:$A$1048,0),MATCH(AL$3&amp;"",PQ_Juli!$B$1:$AF$1&amp;"",0)),0)</f>
        <v>4</v>
      </c>
      <c r="AM71" s="13"/>
      <c r="AN71" s="14">
        <f t="shared" si="12"/>
        <v>21</v>
      </c>
      <c r="AO71" s="18">
        <f t="shared" si="10"/>
        <v>2759</v>
      </c>
      <c r="AP71" s="23">
        <v>400</v>
      </c>
      <c r="AQ71" s="24" t="s">
        <v>79</v>
      </c>
      <c r="AR71" s="105"/>
      <c r="AS71" s="104"/>
      <c r="AT71" s="105"/>
      <c r="AU71" s="104"/>
      <c r="AV71" s="105"/>
      <c r="AW71" s="105"/>
      <c r="AX71" s="59">
        <f t="shared" si="13"/>
        <v>0</v>
      </c>
      <c r="AY71" s="29">
        <f t="shared" si="14"/>
        <v>0</v>
      </c>
      <c r="AZ71" s="18">
        <f t="shared" si="15"/>
        <v>0</v>
      </c>
      <c r="BA71" s="18">
        <f t="shared" si="11"/>
        <v>2759</v>
      </c>
      <c r="BB71" s="21"/>
      <c r="BC71" s="30"/>
      <c r="BD71" s="30"/>
      <c r="BE71" s="30"/>
      <c r="BF71" s="30"/>
      <c r="BN71" s="41"/>
    </row>
    <row r="72" spans="1:66" ht="22.5" customHeight="1">
      <c r="A72" s="262">
        <f t="shared" si="9"/>
        <v>177</v>
      </c>
      <c r="B72" s="263"/>
      <c r="C72" s="77" t="s">
        <v>77</v>
      </c>
      <c r="D72" s="75">
        <v>240</v>
      </c>
      <c r="E72" s="75"/>
      <c r="F72" s="75"/>
      <c r="G72" s="41">
        <v>200</v>
      </c>
      <c r="H72" s="277"/>
      <c r="I72" s="278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  <c r="AC72" s="278"/>
      <c r="AD72" s="278"/>
      <c r="AE72" s="278"/>
      <c r="AF72" s="279"/>
      <c r="AG72" s="11"/>
      <c r="AH72" s="10" cm="1">
        <f t="array" ref="AH72">IFERROR(INDEX(PQ_Juli!$B$2:$AF$1048,MATCH($C72,PQ_Juli!$A$2:$A$1048,0),MATCH(AH$3&amp;"",PQ_Juli!$B$1:$AF$1&amp;"",0)),0)</f>
        <v>0</v>
      </c>
      <c r="AI72" s="10" cm="1">
        <f t="array" ref="AI72">IFERROR(INDEX(PQ_Juli!$B$2:$AF$1048,MATCH($C72,PQ_Juli!$A$2:$A$1048,0),MATCH(AI$3&amp;"",PQ_Juli!$B$1:$AF$1&amp;"",0)),0)</f>
        <v>21</v>
      </c>
      <c r="AJ72" s="10" cm="1">
        <f t="array" ref="AJ72">IFERROR(INDEX(PQ_Juli!$B$2:$AF$1048,MATCH($C72,PQ_Juli!$A$2:$A$1048,0),MATCH(AJ$3&amp;"",PQ_Juli!$B$1:$AF$1&amp;"",0)),0)</f>
        <v>2</v>
      </c>
      <c r="AK72" s="10" cm="1">
        <f t="array" ref="AK72">IFERROR(INDEX(PQ_Juli!$B$2:$AF$1048,MATCH($C72,PQ_Juli!$A$2:$A$1048,0),MATCH(AK$3&amp;"",PQ_Juli!$B$1:$AF$1&amp;"",0)),0)</f>
        <v>0</v>
      </c>
      <c r="AL72" s="10" cm="1">
        <f t="array" ref="AL72">IFERROR(INDEX(PQ_Juli!$B$2:$AF$1048,MATCH($C72,PQ_Juli!$A$2:$A$1048,0),MATCH(AL$3&amp;"",PQ_Juli!$B$1:$AF$1&amp;"",0)),0)</f>
        <v>0</v>
      </c>
      <c r="AM72" s="13"/>
      <c r="AN72" s="14">
        <f t="shared" si="12"/>
        <v>23</v>
      </c>
      <c r="AO72" s="18">
        <f t="shared" si="10"/>
        <v>177</v>
      </c>
      <c r="AP72" s="23">
        <v>160</v>
      </c>
      <c r="AQ72" s="24" t="s">
        <v>79</v>
      </c>
      <c r="AR72" s="105"/>
      <c r="AS72" s="104"/>
      <c r="AT72" s="105"/>
      <c r="AU72" s="104"/>
      <c r="AV72" s="105"/>
      <c r="AW72" s="105"/>
      <c r="AX72" s="59">
        <f t="shared" si="13"/>
        <v>0</v>
      </c>
      <c r="AY72" s="29">
        <f t="shared" si="14"/>
        <v>0</v>
      </c>
      <c r="AZ72" s="18">
        <f t="shared" si="15"/>
        <v>0</v>
      </c>
      <c r="BA72" s="18">
        <f t="shared" si="11"/>
        <v>177</v>
      </c>
      <c r="BB72" s="21"/>
      <c r="BC72" s="30"/>
      <c r="BD72" s="30"/>
      <c r="BE72" s="30"/>
      <c r="BF72" s="30"/>
      <c r="BN72" s="41"/>
    </row>
    <row r="73" spans="1:66" ht="22.5" customHeight="1">
      <c r="A73" s="262">
        <f t="shared" si="9"/>
        <v>386</v>
      </c>
      <c r="B73" s="263"/>
      <c r="C73" s="77" t="s">
        <v>59</v>
      </c>
      <c r="D73" s="75">
        <v>380</v>
      </c>
      <c r="E73" s="75" t="s">
        <v>29</v>
      </c>
      <c r="F73" s="75" t="s">
        <v>29</v>
      </c>
      <c r="G73" s="41">
        <v>386</v>
      </c>
      <c r="H73" s="280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2"/>
      <c r="AG73" s="11"/>
      <c r="AH73" s="10" cm="1">
        <f t="array" ref="AH73">IFERROR(INDEX(PQ_Juli!$B$2:$AF$1048,MATCH($C73,PQ_Juli!$A$2:$A$1048,0),MATCH(AH$3&amp;"",PQ_Juli!$B$1:$AF$1&amp;"",0)),0)</f>
        <v>0</v>
      </c>
      <c r="AI73" s="10" cm="1">
        <f t="array" ref="AI73">IFERROR(INDEX(PQ_Juli!$B$2:$AF$1048,MATCH($C73,PQ_Juli!$A$2:$A$1048,0),MATCH(AI$3&amp;"",PQ_Juli!$B$1:$AF$1&amp;"",0)),0)</f>
        <v>0</v>
      </c>
      <c r="AJ73" s="10" cm="1">
        <f t="array" ref="AJ73">IFERROR(INDEX(PQ_Juli!$B$2:$AF$1048,MATCH($C73,PQ_Juli!$A$2:$A$1048,0),MATCH(AJ$3&amp;"",PQ_Juli!$B$1:$AF$1&amp;"",0)),0)</f>
        <v>0</v>
      </c>
      <c r="AK73" s="10" cm="1">
        <f t="array" ref="AK73">IFERROR(INDEX(PQ_Juli!$B$2:$AF$1048,MATCH($C73,PQ_Juli!$A$2:$A$1048,0),MATCH(AK$3&amp;"",PQ_Juli!$B$1:$AF$1&amp;"",0)),0)</f>
        <v>0</v>
      </c>
      <c r="AL73" s="10" cm="1">
        <f t="array" ref="AL73">IFERROR(INDEX(PQ_Juli!$B$2:$AF$1048,MATCH($C73,PQ_Juli!$A$2:$A$1048,0),MATCH(AL$3&amp;"",PQ_Juli!$B$1:$AF$1&amp;"",0)),0)</f>
        <v>0</v>
      </c>
      <c r="AM73" s="13"/>
      <c r="AN73" s="14">
        <f t="shared" si="12"/>
        <v>0</v>
      </c>
      <c r="AO73" s="18">
        <f t="shared" si="10"/>
        <v>386</v>
      </c>
      <c r="AP73" s="23">
        <v>190</v>
      </c>
      <c r="AQ73" s="24" t="s">
        <v>79</v>
      </c>
      <c r="AR73" s="105"/>
      <c r="AS73" s="104"/>
      <c r="AT73" s="105"/>
      <c r="AU73" s="104"/>
      <c r="AV73" s="105"/>
      <c r="AW73" s="105"/>
      <c r="AX73" s="59">
        <f t="shared" si="13"/>
        <v>0</v>
      </c>
      <c r="AY73" s="29">
        <f t="shared" si="14"/>
        <v>0</v>
      </c>
      <c r="AZ73" s="18">
        <f t="shared" si="15"/>
        <v>0</v>
      </c>
      <c r="BA73" s="18">
        <f t="shared" si="11"/>
        <v>386</v>
      </c>
      <c r="BB73" s="21"/>
      <c r="BC73" s="30"/>
      <c r="BD73" s="30"/>
      <c r="BE73" s="30"/>
      <c r="BF73" s="30"/>
      <c r="BN73" s="41"/>
    </row>
    <row r="74" spans="1:66" ht="22.5" hidden="1" customHeight="1">
      <c r="A74" s="260" t="e">
        <f t="shared" si="9"/>
        <v>#REF!</v>
      </c>
      <c r="B74" s="261"/>
      <c r="C74" s="77" t="s">
        <v>55</v>
      </c>
      <c r="D74" s="75">
        <v>5</v>
      </c>
      <c r="E74" s="75" t="s">
        <v>29</v>
      </c>
      <c r="F74" s="75" t="s">
        <v>29</v>
      </c>
      <c r="G74" s="41" t="e">
        <f>#REF!</f>
        <v>#REF!</v>
      </c>
      <c r="H74" s="10" cm="1">
        <f t="array" ref="H74">IFERROR(INDEX(PQ_Juli!$B$2:$AF$1048,MATCH($C74,PQ_Juli!$A$2:$A$1048,0),MATCH(H$3&amp;"",PQ_Juli!$B$1:$AF$1&amp;"",0)),0)</f>
        <v>0</v>
      </c>
      <c r="I74" s="10" cm="1">
        <f t="array" ref="I74">IFERROR(INDEX(PQ_Juli!$B$2:$AF$1048,MATCH($C74,PQ_Juli!$A$2:$A$1048,0),MATCH(I$3&amp;"",PQ_Juli!$B$1:$AF$1&amp;"",0)),0)</f>
        <v>0</v>
      </c>
      <c r="J74" s="10" cm="1">
        <f t="array" ref="J74">IFERROR(INDEX(PQ_Juli!$B$2:$AF$1048,MATCH($C74,PQ_Juli!$A$2:$A$1048,0),MATCH(J$3&amp;"",PQ_Juli!$B$1:$AF$1&amp;"",0)),0)</f>
        <v>0</v>
      </c>
      <c r="K74" s="10" cm="1">
        <f t="array" ref="K74">IFERROR(INDEX(PQ_Juli!$B$2:$AF$1048,MATCH($C74,PQ_Juli!$A$2:$A$1048,0),MATCH(K$3&amp;"",PQ_Juli!$B$1:$AF$1&amp;"",0)),0)</f>
        <v>0</v>
      </c>
      <c r="L74" s="11"/>
      <c r="M74" s="10" cm="1">
        <f t="array" ref="M74">IFERROR(INDEX(PQ_Juli!$B$2:$AF$1048,MATCH($C74,PQ_Juli!$A$2:$A$1048,0),MATCH(M$3&amp;"",PQ_Juli!$B$1:$AF$1&amp;"",0)),0)</f>
        <v>0</v>
      </c>
      <c r="N74" s="10" cm="1">
        <f t="array" ref="N74">IFERROR(INDEX(PQ_Juli!$B$2:$AF$1048,MATCH($C74,PQ_Juli!$A$2:$A$1048,0),MATCH(N$3&amp;"",PQ_Juli!$B$1:$AF$1&amp;"",0)),0)</f>
        <v>0</v>
      </c>
      <c r="O74" s="10" cm="1">
        <f t="array" ref="O74">IFERROR(INDEX(PQ_Juli!$B$2:$AF$1048,MATCH($C74,PQ_Juli!$A$2:$A$1048,0),MATCH(O$3&amp;"",PQ_Juli!$B$1:$AF$1&amp;"",0)),0)</f>
        <v>0</v>
      </c>
      <c r="P74" s="10" cm="1">
        <f t="array" ref="P74">IFERROR(INDEX(PQ_Juli!$B$2:$AF$1048,MATCH($C74,PQ_Juli!$A$2:$A$1048,0),MATCH(P$3&amp;"",PQ_Juli!$B$1:$AF$1&amp;"",0)),0)</f>
        <v>0</v>
      </c>
      <c r="Q74" s="10" cm="1">
        <f t="array" ref="Q74">IFERROR(INDEX(PQ_Juli!$B$2:$AF$1048,MATCH($C74,PQ_Juli!$A$2:$A$1048,0),MATCH(Q$3&amp;"",PQ_Juli!$B$1:$AF$1&amp;"",0)),0)</f>
        <v>0</v>
      </c>
      <c r="R74" s="10" cm="1">
        <f t="array" ref="R74">IFERROR(INDEX(PQ_Juli!$B$2:$AF$1048,MATCH($C74,PQ_Juli!$A$2:$A$1048,0),MATCH(R$3&amp;"",PQ_Juli!$B$1:$AF$1&amp;"",0)),0)</f>
        <v>0</v>
      </c>
      <c r="S74" s="11"/>
      <c r="T74" s="10" cm="1">
        <f t="array" ref="T74">IFERROR(INDEX(PQ_Juli!$B$2:$AF$1048,MATCH($C74,PQ_Juli!$A$2:$A$1048,0),MATCH(T$3&amp;"",PQ_Juli!$B$1:$AF$1&amp;"",0)),0)</f>
        <v>0</v>
      </c>
      <c r="U74" s="10" cm="1">
        <f t="array" ref="U74">IFERROR(INDEX(PQ_Juli!$B$2:$AF$1048,MATCH($C74,PQ_Juli!$A$2:$A$1048,0),MATCH(U$3&amp;"",PQ_Juli!$B$1:$AF$1&amp;"",0)),0)</f>
        <v>0</v>
      </c>
      <c r="V74" s="10" cm="1">
        <f t="array" ref="V74">IFERROR(INDEX(PQ_Juli!$B$2:$AF$1048,MATCH($C74,PQ_Juli!$A$2:$A$1048,0),MATCH(V$3&amp;"",PQ_Juli!$B$1:$AF$1&amp;"",0)),0)</f>
        <v>0</v>
      </c>
      <c r="W74" s="10" cm="1">
        <f t="array" ref="W74">IFERROR(INDEX(PQ_Juli!$B$2:$AF$1048,MATCH($C74,PQ_Juli!$A$2:$A$1048,0),MATCH(W$3&amp;"",PQ_Juli!$B$1:$AF$1&amp;"",0)),0)</f>
        <v>0</v>
      </c>
      <c r="X74" s="10" cm="1">
        <f t="array" ref="X74">IFERROR(INDEX(PQ_Juli!$B$2:$AF$1048,MATCH($C74,PQ_Juli!$A$2:$A$1048,0),MATCH(X$3&amp;"",PQ_Juli!$B$1:$AF$1&amp;"",0)),0)</f>
        <v>0</v>
      </c>
      <c r="Y74" s="10" cm="1">
        <f t="array" ref="Y74">IFERROR(INDEX(PQ_Juli!$B$2:$AF$1048,MATCH($C74,PQ_Juli!$A$2:$A$1048,0),MATCH(Y$3&amp;"",PQ_Juli!$B$1:$AF$1&amp;"",0)),0)</f>
        <v>0</v>
      </c>
      <c r="Z74" s="11"/>
      <c r="AA74" s="10" cm="1">
        <f t="array" ref="AA74">IFERROR(INDEX(PQ_Juli!$B$2:$AF$1048,MATCH($C74,PQ_Juli!$A$2:$A$1048,0),MATCH(AA$3&amp;"",PQ_Juli!$B$1:$AF$1&amp;"",0)),0)</f>
        <v>0</v>
      </c>
      <c r="AB74" s="10" cm="1">
        <f t="array" ref="AB74">IFERROR(INDEX(PQ_Juli!$B$2:$AF$1048,MATCH($C74,PQ_Juli!$A$2:$A$1048,0),MATCH(AB$3&amp;"",PQ_Juli!$B$1:$AF$1&amp;"",0)),0)</f>
        <v>0</v>
      </c>
      <c r="AC74" s="10" cm="1">
        <f t="array" ref="AC74">IFERROR(INDEX(PQ_Juli!$B$2:$AF$1048,MATCH($C74,PQ_Juli!$A$2:$A$1048,0),MATCH(AC$3&amp;"",PQ_Juli!$B$1:$AF$1&amp;"",0)),0)</f>
        <v>0</v>
      </c>
      <c r="AD74" s="10" cm="1">
        <f t="array" ref="AD74">IFERROR(INDEX(PQ_Juli!$B$2:$AF$1048,MATCH($C74,PQ_Juli!$A$2:$A$1048,0),MATCH(AD$3&amp;"",PQ_Juli!$B$1:$AF$1&amp;"",0)),0)</f>
        <v>0</v>
      </c>
      <c r="AE74" s="10" cm="1">
        <f t="array" ref="AE74">IFERROR(INDEX(PQ_Juli!$B$2:$AF$1048,MATCH($C74,PQ_Juli!$A$2:$A$1048,0),MATCH(AE$3&amp;"",PQ_Juli!$B$1:$AF$1&amp;"",0)),0)</f>
        <v>0</v>
      </c>
      <c r="AF74" s="10" cm="1">
        <f t="array" ref="AF74">IFERROR(INDEX(PQ_Juli!$B$2:$AF$1048,MATCH($C74,PQ_Juli!$A$2:$A$1048,0),MATCH(AF$3&amp;"",PQ_Juli!$B$1:$AF$1&amp;"",0)),0)</f>
        <v>0</v>
      </c>
      <c r="AG74" s="11"/>
      <c r="AH74" s="10" cm="1">
        <f t="array" ref="AH74">IFERROR(INDEX(PQ_Juli!$B$2:$AF$1048,MATCH($C74,PQ_Juli!$A$2:$A$1048,0),MATCH(AH$3&amp;"",PQ_Juli!$B$1:$AF$1&amp;"",0)),0)</f>
        <v>0</v>
      </c>
      <c r="AI74" s="10" cm="1">
        <f t="array" ref="AI74">IFERROR(INDEX(PQ_Juli!$B$2:$AF$1048,MATCH($C74,PQ_Juli!$A$2:$A$1048,0),MATCH(AI$3&amp;"",PQ_Juli!$B$1:$AF$1&amp;"",0)),0)</f>
        <v>0</v>
      </c>
      <c r="AJ74" s="10" cm="1">
        <f t="array" ref="AJ74">IFERROR(INDEX(PQ_Juli!$B$2:$AF$1048,MATCH($C74,PQ_Juli!$A$2:$A$1048,0),MATCH(AJ$3&amp;"",PQ_Juli!$B$1:$AF$1&amp;"",0)),0)</f>
        <v>0</v>
      </c>
      <c r="AK74" s="10" cm="1">
        <f t="array" ref="AK74">IFERROR(INDEX(PQ_Juli!$B$2:$AF$1048,MATCH($C74,PQ_Juli!$A$2:$A$1048,0),MATCH(AK$3&amp;"",PQ_Juli!$B$1:$AF$1&amp;"",0)),0)</f>
        <v>0</v>
      </c>
      <c r="AL74" s="10" cm="1">
        <f t="array" ref="AL74">IFERROR(INDEX(PQ_Juli!$B$2:$AF$1048,MATCH($C74,PQ_Juli!$A$2:$A$1048,0),MATCH(AL$3&amp;"",PQ_Juli!$B$1:$AF$1&amp;"",0)),0)</f>
        <v>0</v>
      </c>
      <c r="AM74" s="13"/>
      <c r="AN74" s="14">
        <f t="shared" si="12"/>
        <v>0</v>
      </c>
      <c r="AO74" s="18" t="e">
        <f t="shared" si="10"/>
        <v>#REF!</v>
      </c>
      <c r="AP74" s="23">
        <v>2</v>
      </c>
      <c r="AQ74" s="24" t="s">
        <v>31</v>
      </c>
      <c r="AR74" s="88"/>
      <c r="AS74" s="89"/>
      <c r="AT74" s="88"/>
      <c r="AU74" s="96"/>
      <c r="AV74" s="97"/>
      <c r="AW74" s="88"/>
      <c r="AX74" s="29">
        <f t="shared" si="13"/>
        <v>0</v>
      </c>
      <c r="AY74" s="29">
        <f t="shared" si="14"/>
        <v>0</v>
      </c>
      <c r="AZ74" s="18">
        <f t="shared" si="15"/>
        <v>0</v>
      </c>
      <c r="BA74" s="18" t="e">
        <f t="shared" si="11"/>
        <v>#REF!</v>
      </c>
      <c r="BB74" s="21"/>
      <c r="BC74" s="30"/>
      <c r="BD74" s="30"/>
      <c r="BE74" s="30"/>
      <c r="BF74" s="30"/>
      <c r="BN74" s="41"/>
    </row>
    <row r="75" spans="1:66" ht="22.5" hidden="1" customHeight="1">
      <c r="A75" s="262" t="e">
        <f t="shared" si="9"/>
        <v>#REF!</v>
      </c>
      <c r="B75" s="263"/>
      <c r="C75" s="77" t="s">
        <v>56</v>
      </c>
      <c r="D75" s="75">
        <v>10</v>
      </c>
      <c r="E75" s="75" t="s">
        <v>29</v>
      </c>
      <c r="F75" s="75" t="s">
        <v>29</v>
      </c>
      <c r="G75" s="41" t="e">
        <f>#REF!</f>
        <v>#REF!</v>
      </c>
      <c r="H75" s="10" cm="1">
        <f t="array" ref="H75">IFERROR(INDEX(PQ_Juli!$B$2:$AF$1048,MATCH($C75,PQ_Juli!$A$2:$A$1048,0),MATCH(H$3&amp;"",PQ_Juli!$B$1:$AF$1&amp;"",0)),0)</f>
        <v>0</v>
      </c>
      <c r="I75" s="10" cm="1">
        <f t="array" ref="I75">IFERROR(INDEX(PQ_Juli!$B$2:$AF$1048,MATCH($C75,PQ_Juli!$A$2:$A$1048,0),MATCH(I$3&amp;"",PQ_Juli!$B$1:$AF$1&amp;"",0)),0)</f>
        <v>0</v>
      </c>
      <c r="J75" s="10" cm="1">
        <f t="array" ref="J75">IFERROR(INDEX(PQ_Juli!$B$2:$AF$1048,MATCH($C75,PQ_Juli!$A$2:$A$1048,0),MATCH(J$3&amp;"",PQ_Juli!$B$1:$AF$1&amp;"",0)),0)</f>
        <v>0</v>
      </c>
      <c r="K75" s="10" cm="1">
        <f t="array" ref="K75">IFERROR(INDEX(PQ_Juli!$B$2:$AF$1048,MATCH($C75,PQ_Juli!$A$2:$A$1048,0),MATCH(K$3&amp;"",PQ_Juli!$B$1:$AF$1&amp;"",0)),0)</f>
        <v>0</v>
      </c>
      <c r="L75" s="11"/>
      <c r="M75" s="10" cm="1">
        <f t="array" ref="M75">IFERROR(INDEX(PQ_Juli!$B$2:$AF$1048,MATCH($C75,PQ_Juli!$A$2:$A$1048,0),MATCH(M$3&amp;"",PQ_Juli!$B$1:$AF$1&amp;"",0)),0)</f>
        <v>0</v>
      </c>
      <c r="N75" s="10" cm="1">
        <f t="array" ref="N75">IFERROR(INDEX(PQ_Juli!$B$2:$AF$1048,MATCH($C75,PQ_Juli!$A$2:$A$1048,0),MATCH(N$3&amp;"",PQ_Juli!$B$1:$AF$1&amp;"",0)),0)</f>
        <v>0</v>
      </c>
      <c r="O75" s="10" cm="1">
        <f t="array" ref="O75">IFERROR(INDEX(PQ_Juli!$B$2:$AF$1048,MATCH($C75,PQ_Juli!$A$2:$A$1048,0),MATCH(O$3&amp;"",PQ_Juli!$B$1:$AF$1&amp;"",0)),0)</f>
        <v>0</v>
      </c>
      <c r="P75" s="10" cm="1">
        <f t="array" ref="P75">IFERROR(INDEX(PQ_Juli!$B$2:$AF$1048,MATCH($C75,PQ_Juli!$A$2:$A$1048,0),MATCH(P$3&amp;"",PQ_Juli!$B$1:$AF$1&amp;"",0)),0)</f>
        <v>0</v>
      </c>
      <c r="Q75" s="10" cm="1">
        <f t="array" ref="Q75">IFERROR(INDEX(PQ_Juli!$B$2:$AF$1048,MATCH($C75,PQ_Juli!$A$2:$A$1048,0),MATCH(Q$3&amp;"",PQ_Juli!$B$1:$AF$1&amp;"",0)),0)</f>
        <v>0</v>
      </c>
      <c r="R75" s="10" cm="1">
        <f t="array" ref="R75">IFERROR(INDEX(PQ_Juli!$B$2:$AF$1048,MATCH($C75,PQ_Juli!$A$2:$A$1048,0),MATCH(R$3&amp;"",PQ_Juli!$B$1:$AF$1&amp;"",0)),0)</f>
        <v>0</v>
      </c>
      <c r="S75" s="11"/>
      <c r="T75" s="10" cm="1">
        <f t="array" ref="T75">IFERROR(INDEX(PQ_Juli!$B$2:$AF$1048,MATCH($C75,PQ_Juli!$A$2:$A$1048,0),MATCH(T$3&amp;"",PQ_Juli!$B$1:$AF$1&amp;"",0)),0)</f>
        <v>0</v>
      </c>
      <c r="U75" s="10" cm="1">
        <f t="array" ref="U75">IFERROR(INDEX(PQ_Juli!$B$2:$AF$1048,MATCH($C75,PQ_Juli!$A$2:$A$1048,0),MATCH(U$3&amp;"",PQ_Juli!$B$1:$AF$1&amp;"",0)),0)</f>
        <v>0</v>
      </c>
      <c r="V75" s="10" cm="1">
        <f t="array" ref="V75">IFERROR(INDEX(PQ_Juli!$B$2:$AF$1048,MATCH($C75,PQ_Juli!$A$2:$A$1048,0),MATCH(V$3&amp;"",PQ_Juli!$B$1:$AF$1&amp;"",0)),0)</f>
        <v>0</v>
      </c>
      <c r="W75" s="10" cm="1">
        <f t="array" ref="W75">IFERROR(INDEX(PQ_Juli!$B$2:$AF$1048,MATCH($C75,PQ_Juli!$A$2:$A$1048,0),MATCH(W$3&amp;"",PQ_Juli!$B$1:$AF$1&amp;"",0)),0)</f>
        <v>0</v>
      </c>
      <c r="X75" s="10" cm="1">
        <f t="array" ref="X75">IFERROR(INDEX(PQ_Juli!$B$2:$AF$1048,MATCH($C75,PQ_Juli!$A$2:$A$1048,0),MATCH(X$3&amp;"",PQ_Juli!$B$1:$AF$1&amp;"",0)),0)</f>
        <v>0</v>
      </c>
      <c r="Y75" s="10" cm="1">
        <f t="array" ref="Y75">IFERROR(INDEX(PQ_Juli!$B$2:$AF$1048,MATCH($C75,PQ_Juli!$A$2:$A$1048,0),MATCH(Y$3&amp;"",PQ_Juli!$B$1:$AF$1&amp;"",0)),0)</f>
        <v>0</v>
      </c>
      <c r="Z75" s="11"/>
      <c r="AA75" s="10" cm="1">
        <f t="array" ref="AA75">IFERROR(INDEX(PQ_Juli!$B$2:$AF$1048,MATCH($C75,PQ_Juli!$A$2:$A$1048,0),MATCH(AA$3&amp;"",PQ_Juli!$B$1:$AF$1&amp;"",0)),0)</f>
        <v>0</v>
      </c>
      <c r="AB75" s="10" cm="1">
        <f t="array" ref="AB75">IFERROR(INDEX(PQ_Juli!$B$2:$AF$1048,MATCH($C75,PQ_Juli!$A$2:$A$1048,0),MATCH(AB$3&amp;"",PQ_Juli!$B$1:$AF$1&amp;"",0)),0)</f>
        <v>0</v>
      </c>
      <c r="AC75" s="10" cm="1">
        <f t="array" ref="AC75">IFERROR(INDEX(PQ_Juli!$B$2:$AF$1048,MATCH($C75,PQ_Juli!$A$2:$A$1048,0),MATCH(AC$3&amp;"",PQ_Juli!$B$1:$AF$1&amp;"",0)),0)</f>
        <v>0</v>
      </c>
      <c r="AD75" s="10" cm="1">
        <f t="array" ref="AD75">IFERROR(INDEX(PQ_Juli!$B$2:$AF$1048,MATCH($C75,PQ_Juli!$A$2:$A$1048,0),MATCH(AD$3&amp;"",PQ_Juli!$B$1:$AF$1&amp;"",0)),0)</f>
        <v>0</v>
      </c>
      <c r="AE75" s="10" cm="1">
        <f t="array" ref="AE75">IFERROR(INDEX(PQ_Juli!$B$2:$AF$1048,MATCH($C75,PQ_Juli!$A$2:$A$1048,0),MATCH(AE$3&amp;"",PQ_Juli!$B$1:$AF$1&amp;"",0)),0)</f>
        <v>0</v>
      </c>
      <c r="AF75" s="10" cm="1">
        <f t="array" ref="AF75">IFERROR(INDEX(PQ_Juli!$B$2:$AF$1048,MATCH($C75,PQ_Juli!$A$2:$A$1048,0),MATCH(AF$3&amp;"",PQ_Juli!$B$1:$AF$1&amp;"",0)),0)</f>
        <v>0</v>
      </c>
      <c r="AG75" s="11"/>
      <c r="AH75" s="10" cm="1">
        <f t="array" ref="AH75">IFERROR(INDEX(PQ_Juli!$B$2:$AF$1048,MATCH($C75,PQ_Juli!$A$2:$A$1048,0),MATCH(AH$3&amp;"",PQ_Juli!$B$1:$AF$1&amp;"",0)),0)</f>
        <v>0</v>
      </c>
      <c r="AI75" s="10" cm="1">
        <f t="array" ref="AI75">IFERROR(INDEX(PQ_Juli!$B$2:$AF$1048,MATCH($C75,PQ_Juli!$A$2:$A$1048,0),MATCH(AI$3&amp;"",PQ_Juli!$B$1:$AF$1&amp;"",0)),0)</f>
        <v>0</v>
      </c>
      <c r="AJ75" s="10" cm="1">
        <f t="array" ref="AJ75">IFERROR(INDEX(PQ_Juli!$B$2:$AF$1048,MATCH($C75,PQ_Juli!$A$2:$A$1048,0),MATCH(AJ$3&amp;"",PQ_Juli!$B$1:$AF$1&amp;"",0)),0)</f>
        <v>0</v>
      </c>
      <c r="AK75" s="10" cm="1">
        <f t="array" ref="AK75">IFERROR(INDEX(PQ_Juli!$B$2:$AF$1048,MATCH($C75,PQ_Juli!$A$2:$A$1048,0),MATCH(AK$3&amp;"",PQ_Juli!$B$1:$AF$1&amp;"",0)),0)</f>
        <v>0</v>
      </c>
      <c r="AL75" s="10" cm="1">
        <f t="array" ref="AL75">IFERROR(INDEX(PQ_Juli!$B$2:$AF$1048,MATCH($C75,PQ_Juli!$A$2:$A$1048,0),MATCH(AL$3&amp;"",PQ_Juli!$B$1:$AF$1&amp;"",0)),0)</f>
        <v>0</v>
      </c>
      <c r="AM75" s="13"/>
      <c r="AN75" s="14">
        <f t="shared" si="12"/>
        <v>0</v>
      </c>
      <c r="AO75" s="18" t="e">
        <f t="shared" si="10"/>
        <v>#REF!</v>
      </c>
      <c r="AP75" s="23">
        <v>2</v>
      </c>
      <c r="AQ75" s="24" t="s">
        <v>31</v>
      </c>
      <c r="AR75" s="92"/>
      <c r="AS75" s="29"/>
      <c r="AT75" s="92"/>
      <c r="AU75" s="29"/>
      <c r="AV75" s="92"/>
      <c r="AW75" s="92"/>
      <c r="AX75" s="29">
        <f t="shared" si="13"/>
        <v>0</v>
      </c>
      <c r="AY75" s="29">
        <f t="shared" si="14"/>
        <v>0</v>
      </c>
      <c r="AZ75" s="18">
        <f t="shared" si="15"/>
        <v>0</v>
      </c>
      <c r="BA75" s="18" t="e">
        <f t="shared" si="11"/>
        <v>#REF!</v>
      </c>
      <c r="BB75" s="21"/>
      <c r="BC75" s="30"/>
      <c r="BD75" s="30"/>
      <c r="BE75" s="30"/>
      <c r="BF75" s="30"/>
      <c r="BN75" s="41"/>
    </row>
    <row r="76" spans="1:66" ht="22.5" hidden="1" customHeight="1">
      <c r="A76" s="262" t="e">
        <f t="shared" si="9"/>
        <v>#REF!</v>
      </c>
      <c r="B76" s="263"/>
      <c r="C76" s="77" t="s">
        <v>57</v>
      </c>
      <c r="D76" s="75">
        <v>5</v>
      </c>
      <c r="E76" s="75" t="s">
        <v>29</v>
      </c>
      <c r="F76" s="75" t="s">
        <v>29</v>
      </c>
      <c r="G76" s="41" t="e">
        <f>#REF!</f>
        <v>#REF!</v>
      </c>
      <c r="H76" s="10" cm="1">
        <f t="array" ref="H76">IFERROR(INDEX(PQ_Juli!$B$2:$AF$1048,MATCH($C76,PQ_Juli!$A$2:$A$1048,0),MATCH(H$3&amp;"",PQ_Juli!$B$1:$AF$1&amp;"",0)),0)</f>
        <v>0</v>
      </c>
      <c r="I76" s="10" cm="1">
        <f t="array" ref="I76">IFERROR(INDEX(PQ_Juli!$B$2:$AF$1048,MATCH($C76,PQ_Juli!$A$2:$A$1048,0),MATCH(I$3&amp;"",PQ_Juli!$B$1:$AF$1&amp;"",0)),0)</f>
        <v>0</v>
      </c>
      <c r="J76" s="10" cm="1">
        <f t="array" ref="J76">IFERROR(INDEX(PQ_Juli!$B$2:$AF$1048,MATCH($C76,PQ_Juli!$A$2:$A$1048,0),MATCH(J$3&amp;"",PQ_Juli!$B$1:$AF$1&amp;"",0)),0)</f>
        <v>0</v>
      </c>
      <c r="K76" s="10" cm="1">
        <f t="array" ref="K76">IFERROR(INDEX(PQ_Juli!$B$2:$AF$1048,MATCH($C76,PQ_Juli!$A$2:$A$1048,0),MATCH(K$3&amp;"",PQ_Juli!$B$1:$AF$1&amp;"",0)),0)</f>
        <v>0</v>
      </c>
      <c r="L76" s="11"/>
      <c r="M76" s="10" cm="1">
        <f t="array" ref="M76">IFERROR(INDEX(PQ_Juli!$B$2:$AF$1048,MATCH($C76,PQ_Juli!$A$2:$A$1048,0),MATCH(M$3&amp;"",PQ_Juli!$B$1:$AF$1&amp;"",0)),0)</f>
        <v>0</v>
      </c>
      <c r="N76" s="10" cm="1">
        <f t="array" ref="N76">IFERROR(INDEX(PQ_Juli!$B$2:$AF$1048,MATCH($C76,PQ_Juli!$A$2:$A$1048,0),MATCH(N$3&amp;"",PQ_Juli!$B$1:$AF$1&amp;"",0)),0)</f>
        <v>0</v>
      </c>
      <c r="O76" s="10" cm="1">
        <f t="array" ref="O76">IFERROR(INDEX(PQ_Juli!$B$2:$AF$1048,MATCH($C76,PQ_Juli!$A$2:$A$1048,0),MATCH(O$3&amp;"",PQ_Juli!$B$1:$AF$1&amp;"",0)),0)</f>
        <v>0</v>
      </c>
      <c r="P76" s="10" cm="1">
        <f t="array" ref="P76">IFERROR(INDEX(PQ_Juli!$B$2:$AF$1048,MATCH($C76,PQ_Juli!$A$2:$A$1048,0),MATCH(P$3&amp;"",PQ_Juli!$B$1:$AF$1&amp;"",0)),0)</f>
        <v>0</v>
      </c>
      <c r="Q76" s="10" cm="1">
        <f t="array" ref="Q76">IFERROR(INDEX(PQ_Juli!$B$2:$AF$1048,MATCH($C76,PQ_Juli!$A$2:$A$1048,0),MATCH(Q$3&amp;"",PQ_Juli!$B$1:$AF$1&amp;"",0)),0)</f>
        <v>0</v>
      </c>
      <c r="R76" s="10" cm="1">
        <f t="array" ref="R76">IFERROR(INDEX(PQ_Juli!$B$2:$AF$1048,MATCH($C76,PQ_Juli!$A$2:$A$1048,0),MATCH(R$3&amp;"",PQ_Juli!$B$1:$AF$1&amp;"",0)),0)</f>
        <v>0</v>
      </c>
      <c r="S76" s="11"/>
      <c r="T76" s="10" cm="1">
        <f t="array" ref="T76">IFERROR(INDEX(PQ_Juli!$B$2:$AF$1048,MATCH($C76,PQ_Juli!$A$2:$A$1048,0),MATCH(T$3&amp;"",PQ_Juli!$B$1:$AF$1&amp;"",0)),0)</f>
        <v>0</v>
      </c>
      <c r="U76" s="10" cm="1">
        <f t="array" ref="U76">IFERROR(INDEX(PQ_Juli!$B$2:$AF$1048,MATCH($C76,PQ_Juli!$A$2:$A$1048,0),MATCH(U$3&amp;"",PQ_Juli!$B$1:$AF$1&amp;"",0)),0)</f>
        <v>0</v>
      </c>
      <c r="V76" s="10" cm="1">
        <f t="array" ref="V76">IFERROR(INDEX(PQ_Juli!$B$2:$AF$1048,MATCH($C76,PQ_Juli!$A$2:$A$1048,0),MATCH(V$3&amp;"",PQ_Juli!$B$1:$AF$1&amp;"",0)),0)</f>
        <v>0</v>
      </c>
      <c r="W76" s="10" cm="1">
        <f t="array" ref="W76">IFERROR(INDEX(PQ_Juli!$B$2:$AF$1048,MATCH($C76,PQ_Juli!$A$2:$A$1048,0),MATCH(W$3&amp;"",PQ_Juli!$B$1:$AF$1&amp;"",0)),0)</f>
        <v>0</v>
      </c>
      <c r="X76" s="10" cm="1">
        <f t="array" ref="X76">IFERROR(INDEX(PQ_Juli!$B$2:$AF$1048,MATCH($C76,PQ_Juli!$A$2:$A$1048,0),MATCH(X$3&amp;"",PQ_Juli!$B$1:$AF$1&amp;"",0)),0)</f>
        <v>0</v>
      </c>
      <c r="Y76" s="10" cm="1">
        <f t="array" ref="Y76">IFERROR(INDEX(PQ_Juli!$B$2:$AF$1048,MATCH($C76,PQ_Juli!$A$2:$A$1048,0),MATCH(Y$3&amp;"",PQ_Juli!$B$1:$AF$1&amp;"",0)),0)</f>
        <v>0</v>
      </c>
      <c r="Z76" s="11"/>
      <c r="AA76" s="10" cm="1">
        <f t="array" ref="AA76">IFERROR(INDEX(PQ_Juli!$B$2:$AF$1048,MATCH($C76,PQ_Juli!$A$2:$A$1048,0),MATCH(AA$3&amp;"",PQ_Juli!$B$1:$AF$1&amp;"",0)),0)</f>
        <v>0</v>
      </c>
      <c r="AB76" s="10" cm="1">
        <f t="array" ref="AB76">IFERROR(INDEX(PQ_Juli!$B$2:$AF$1048,MATCH($C76,PQ_Juli!$A$2:$A$1048,0),MATCH(AB$3&amp;"",PQ_Juli!$B$1:$AF$1&amp;"",0)),0)</f>
        <v>0</v>
      </c>
      <c r="AC76" s="10" cm="1">
        <f t="array" ref="AC76">IFERROR(INDEX(PQ_Juli!$B$2:$AF$1048,MATCH($C76,PQ_Juli!$A$2:$A$1048,0),MATCH(AC$3&amp;"",PQ_Juli!$B$1:$AF$1&amp;"",0)),0)</f>
        <v>0</v>
      </c>
      <c r="AD76" s="10" cm="1">
        <f t="array" ref="AD76">IFERROR(INDEX(PQ_Juli!$B$2:$AF$1048,MATCH($C76,PQ_Juli!$A$2:$A$1048,0),MATCH(AD$3&amp;"",PQ_Juli!$B$1:$AF$1&amp;"",0)),0)</f>
        <v>0</v>
      </c>
      <c r="AE76" s="10" cm="1">
        <f t="array" ref="AE76">IFERROR(INDEX(PQ_Juli!$B$2:$AF$1048,MATCH($C76,PQ_Juli!$A$2:$A$1048,0),MATCH(AE$3&amp;"",PQ_Juli!$B$1:$AF$1&amp;"",0)),0)</f>
        <v>0</v>
      </c>
      <c r="AF76" s="10" cm="1">
        <f t="array" ref="AF76">IFERROR(INDEX(PQ_Juli!$B$2:$AF$1048,MATCH($C76,PQ_Juli!$A$2:$A$1048,0),MATCH(AF$3&amp;"",PQ_Juli!$B$1:$AF$1&amp;"",0)),0)</f>
        <v>0</v>
      </c>
      <c r="AG76" s="11"/>
      <c r="AH76" s="10" cm="1">
        <f t="array" ref="AH76">IFERROR(INDEX(PQ_Juli!$B$2:$AF$1048,MATCH($C76,PQ_Juli!$A$2:$A$1048,0),MATCH(AH$3&amp;"",PQ_Juli!$B$1:$AF$1&amp;"",0)),0)</f>
        <v>0</v>
      </c>
      <c r="AI76" s="10" cm="1">
        <f t="array" ref="AI76">IFERROR(INDEX(PQ_Juli!$B$2:$AF$1048,MATCH($C76,PQ_Juli!$A$2:$A$1048,0),MATCH(AI$3&amp;"",PQ_Juli!$B$1:$AF$1&amp;"",0)),0)</f>
        <v>0</v>
      </c>
      <c r="AJ76" s="10" cm="1">
        <f t="array" ref="AJ76">IFERROR(INDEX(PQ_Juli!$B$2:$AF$1048,MATCH($C76,PQ_Juli!$A$2:$A$1048,0),MATCH(AJ$3&amp;"",PQ_Juli!$B$1:$AF$1&amp;"",0)),0)</f>
        <v>0</v>
      </c>
      <c r="AK76" s="10" cm="1">
        <f t="array" ref="AK76">IFERROR(INDEX(PQ_Juli!$B$2:$AF$1048,MATCH($C76,PQ_Juli!$A$2:$A$1048,0),MATCH(AK$3&amp;"",PQ_Juli!$B$1:$AF$1&amp;"",0)),0)</f>
        <v>0</v>
      </c>
      <c r="AL76" s="10" cm="1">
        <f t="array" ref="AL76">IFERROR(INDEX(PQ_Juli!$B$2:$AF$1048,MATCH($C76,PQ_Juli!$A$2:$A$1048,0),MATCH(AL$3&amp;"",PQ_Juli!$B$1:$AF$1&amp;"",0)),0)</f>
        <v>0</v>
      </c>
      <c r="AM76" s="13"/>
      <c r="AN76" s="14">
        <f t="shared" si="12"/>
        <v>0</v>
      </c>
      <c r="AO76" s="18" t="e">
        <f t="shared" si="10"/>
        <v>#REF!</v>
      </c>
      <c r="AP76" s="23">
        <v>1</v>
      </c>
      <c r="AQ76" s="24" t="s">
        <v>31</v>
      </c>
      <c r="AR76" s="92"/>
      <c r="AS76" s="29"/>
      <c r="AT76" s="92"/>
      <c r="AU76" s="29"/>
      <c r="AV76" s="92"/>
      <c r="AW76" s="92"/>
      <c r="AX76" s="29">
        <f t="shared" si="13"/>
        <v>0</v>
      </c>
      <c r="AY76" s="29">
        <f t="shared" si="14"/>
        <v>0</v>
      </c>
      <c r="AZ76" s="18">
        <f t="shared" si="15"/>
        <v>0</v>
      </c>
      <c r="BA76" s="18" t="e">
        <f t="shared" si="11"/>
        <v>#REF!</v>
      </c>
      <c r="BB76" s="21"/>
      <c r="BC76" s="30"/>
      <c r="BD76" s="30"/>
      <c r="BE76" s="30"/>
      <c r="BF76" s="30"/>
      <c r="BN76" s="41"/>
    </row>
    <row r="77" spans="1:66" ht="22.5" customHeight="1">
      <c r="A77" s="260" t="e">
        <f t="shared" si="9"/>
        <v>#REF!</v>
      </c>
      <c r="B77" s="261"/>
      <c r="C77" s="77" t="s">
        <v>58</v>
      </c>
      <c r="D77" s="75">
        <v>100</v>
      </c>
      <c r="E77" s="75" t="s">
        <v>29</v>
      </c>
      <c r="F77" s="75" t="s">
        <v>29</v>
      </c>
      <c r="G77" s="41" t="e">
        <f>#REF!</f>
        <v>#REF!</v>
      </c>
      <c r="H77" s="10" cm="1">
        <f t="array" ref="H77">IFERROR(INDEX(PQ_Juli!$B$2:$AF$1048,MATCH($C77,PQ_Juli!$A$2:$A$1048,0),MATCH(H$3&amp;"",PQ_Juli!$B$1:$AF$1&amp;"",0)),0)</f>
        <v>2</v>
      </c>
      <c r="I77" s="10" cm="1">
        <f t="array" ref="I77">IFERROR(INDEX(PQ_Juli!$B$2:$AF$1048,MATCH($C77,PQ_Juli!$A$2:$A$1048,0),MATCH(I$3&amp;"",PQ_Juli!$B$1:$AF$1&amp;"",0)),0)</f>
        <v>3</v>
      </c>
      <c r="J77" s="10" cm="1">
        <f t="array" ref="J77">IFERROR(INDEX(PQ_Juli!$B$2:$AF$1048,MATCH($C77,PQ_Juli!$A$2:$A$1048,0),MATCH(J$3&amp;"",PQ_Juli!$B$1:$AF$1&amp;"",0)),0)</f>
        <v>4</v>
      </c>
      <c r="K77" s="10" cm="1">
        <f t="array" ref="K77">IFERROR(INDEX(PQ_Juli!$B$2:$AF$1048,MATCH($C77,PQ_Juli!$A$2:$A$1048,0),MATCH(K$3&amp;"",PQ_Juli!$B$1:$AF$1&amp;"",0)),0)</f>
        <v>12</v>
      </c>
      <c r="L77" s="11"/>
      <c r="M77" s="10" cm="1">
        <f t="array" ref="M77">IFERROR(INDEX(PQ_Juli!$B$2:$AF$1048,MATCH($C77,PQ_Juli!$A$2:$A$1048,0),MATCH(M$3&amp;"",PQ_Juli!$B$1:$AF$1&amp;"",0)),0)</f>
        <v>3</v>
      </c>
      <c r="N77" s="10" cm="1">
        <f t="array" ref="N77">IFERROR(INDEX(PQ_Juli!$B$2:$AF$1048,MATCH($C77,PQ_Juli!$A$2:$A$1048,0),MATCH(N$3&amp;"",PQ_Juli!$B$1:$AF$1&amp;"",0)),0)</f>
        <v>2</v>
      </c>
      <c r="O77" s="10" cm="1">
        <f t="array" ref="O77">IFERROR(INDEX(PQ_Juli!$B$2:$AF$1048,MATCH($C77,PQ_Juli!$A$2:$A$1048,0),MATCH(O$3&amp;"",PQ_Juli!$B$1:$AF$1&amp;"",0)),0)</f>
        <v>4</v>
      </c>
      <c r="P77" s="10" cm="1">
        <f t="array" ref="P77">IFERROR(INDEX(PQ_Juli!$B$2:$AF$1048,MATCH($C77,PQ_Juli!$A$2:$A$1048,0),MATCH(P$3&amp;"",PQ_Juli!$B$1:$AF$1&amp;"",0)),0)</f>
        <v>1</v>
      </c>
      <c r="Q77" s="10" cm="1">
        <f t="array" ref="Q77">IFERROR(INDEX(PQ_Juli!$B$2:$AF$1048,MATCH($C77,PQ_Juli!$A$2:$A$1048,0),MATCH(Q$3&amp;"",PQ_Juli!$B$1:$AF$1&amp;"",0)),0)</f>
        <v>14</v>
      </c>
      <c r="R77" s="10" cm="1">
        <f t="array" ref="R77">IFERROR(INDEX(PQ_Juli!$B$2:$AF$1048,MATCH($C77,PQ_Juli!$A$2:$A$1048,0),MATCH(R$3&amp;"",PQ_Juli!$B$1:$AF$1&amp;"",0)),0)</f>
        <v>4</v>
      </c>
      <c r="S77" s="11"/>
      <c r="T77" s="10" cm="1">
        <f t="array" ref="T77">IFERROR(INDEX(PQ_Juli!$B$2:$AF$1048,MATCH($C77,PQ_Juli!$A$2:$A$1048,0),MATCH(T$3&amp;"",PQ_Juli!$B$1:$AF$1&amp;"",0)),0)</f>
        <v>2</v>
      </c>
      <c r="U77" s="10" cm="1">
        <f t="array" ref="U77">IFERROR(INDEX(PQ_Juli!$B$2:$AF$1048,MATCH($C77,PQ_Juli!$A$2:$A$1048,0),MATCH(U$3&amp;"",PQ_Juli!$B$1:$AF$1&amp;"",0)),0)</f>
        <v>1</v>
      </c>
      <c r="V77" s="10" cm="1">
        <f t="array" ref="V77">IFERROR(INDEX(PQ_Juli!$B$2:$AF$1048,MATCH($C77,PQ_Juli!$A$2:$A$1048,0),MATCH(V$3&amp;"",PQ_Juli!$B$1:$AF$1&amp;"",0)),0)</f>
        <v>2</v>
      </c>
      <c r="W77" s="10" cm="1">
        <f t="array" ref="W77">IFERROR(INDEX(PQ_Juli!$B$2:$AF$1048,MATCH($C77,PQ_Juli!$A$2:$A$1048,0),MATCH(W$3&amp;"",PQ_Juli!$B$1:$AF$1&amp;"",0)),0)</f>
        <v>1</v>
      </c>
      <c r="X77" s="10" cm="1">
        <f t="array" ref="X77">IFERROR(INDEX(PQ_Juli!$B$2:$AF$1048,MATCH($C77,PQ_Juli!$A$2:$A$1048,0),MATCH(X$3&amp;"",PQ_Juli!$B$1:$AF$1&amp;"",0)),0)</f>
        <v>3</v>
      </c>
      <c r="Y77" s="10" cm="1">
        <f t="array" ref="Y77">IFERROR(INDEX(PQ_Juli!$B$2:$AF$1048,MATCH($C77,PQ_Juli!$A$2:$A$1048,0),MATCH(Y$3&amp;"",PQ_Juli!$B$1:$AF$1&amp;"",0)),0)</f>
        <v>2</v>
      </c>
      <c r="Z77" s="11"/>
      <c r="AA77" s="10" cm="1">
        <f t="array" ref="AA77">IFERROR(INDEX(PQ_Juli!$B$2:$AF$1048,MATCH($C77,PQ_Juli!$A$2:$A$1048,0),MATCH(AA$3&amp;"",PQ_Juli!$B$1:$AF$1&amp;"",0)),0)</f>
        <v>4</v>
      </c>
      <c r="AB77" s="10" cm="1">
        <f t="array" ref="AB77">IFERROR(INDEX(PQ_Juli!$B$2:$AF$1048,MATCH($C77,PQ_Juli!$A$2:$A$1048,0),MATCH(AB$3&amp;"",PQ_Juli!$B$1:$AF$1&amp;"",0)),0)</f>
        <v>3</v>
      </c>
      <c r="AC77" s="10" cm="1">
        <f t="array" ref="AC77">IFERROR(INDEX(PQ_Juli!$B$2:$AF$1048,MATCH($C77,PQ_Juli!$A$2:$A$1048,0),MATCH(AC$3&amp;"",PQ_Juli!$B$1:$AF$1&amp;"",0)),0)</f>
        <v>2</v>
      </c>
      <c r="AD77" s="10" cm="1">
        <f t="array" ref="AD77">IFERROR(INDEX(PQ_Juli!$B$2:$AF$1048,MATCH($C77,PQ_Juli!$A$2:$A$1048,0),MATCH(AD$3&amp;"",PQ_Juli!$B$1:$AF$1&amp;"",0)),0)</f>
        <v>1</v>
      </c>
      <c r="AE77" s="10" cm="1">
        <f t="array" ref="AE77">IFERROR(INDEX(PQ_Juli!$B$2:$AF$1048,MATCH($C77,PQ_Juli!$A$2:$A$1048,0),MATCH(AE$3&amp;"",PQ_Juli!$B$1:$AF$1&amp;"",0)),0)</f>
        <v>2</v>
      </c>
      <c r="AF77" s="10" cm="1">
        <f t="array" ref="AF77">IFERROR(INDEX(PQ_Juli!$B$2:$AF$1048,MATCH($C77,PQ_Juli!$A$2:$A$1048,0),MATCH(AF$3&amp;"",PQ_Juli!$B$1:$AF$1&amp;"",0)),0)</f>
        <v>4</v>
      </c>
      <c r="AG77" s="11"/>
      <c r="AH77" s="10" cm="1">
        <f t="array" ref="AH77">IFERROR(INDEX(PQ_Juli!$B$2:$AF$1048,MATCH($C77,PQ_Juli!$A$2:$A$1048,0),MATCH(AH$3&amp;"",PQ_Juli!$B$1:$AF$1&amp;"",0)),0)</f>
        <v>2</v>
      </c>
      <c r="AI77" s="10" cm="1">
        <f t="array" ref="AI77">IFERROR(INDEX(PQ_Juli!$B$2:$AF$1048,MATCH($C77,PQ_Juli!$A$2:$A$1048,0),MATCH(AI$3&amp;"",PQ_Juli!$B$1:$AF$1&amp;"",0)),0)</f>
        <v>7</v>
      </c>
      <c r="AJ77" s="10" cm="1">
        <f t="array" ref="AJ77">IFERROR(INDEX(PQ_Juli!$B$2:$AF$1048,MATCH($C77,PQ_Juli!$A$2:$A$1048,0),MATCH(AJ$3&amp;"",PQ_Juli!$B$1:$AF$1&amp;"",0)),0)</f>
        <v>3</v>
      </c>
      <c r="AK77" s="10" cm="1">
        <f t="array" ref="AK77">IFERROR(INDEX(PQ_Juli!$B$2:$AF$1048,MATCH($C77,PQ_Juli!$A$2:$A$1048,0),MATCH(AK$3&amp;"",PQ_Juli!$B$1:$AF$1&amp;"",0)),0)</f>
        <v>3</v>
      </c>
      <c r="AL77" s="10" cm="1">
        <f t="array" ref="AL77">IFERROR(INDEX(PQ_Juli!$B$2:$AF$1048,MATCH($C77,PQ_Juli!$A$2:$A$1048,0),MATCH(AL$3&amp;"",PQ_Juli!$B$1:$AF$1&amp;"",0)),0)</f>
        <v>2</v>
      </c>
      <c r="AM77" s="13">
        <v>44</v>
      </c>
      <c r="AN77" s="14">
        <f t="shared" si="12"/>
        <v>137</v>
      </c>
      <c r="AO77" s="18" t="e">
        <f t="shared" si="10"/>
        <v>#REF!</v>
      </c>
      <c r="AP77" s="23">
        <v>50</v>
      </c>
      <c r="AQ77" s="24" t="s">
        <v>79</v>
      </c>
      <c r="AR77" s="132" t="s">
        <v>29</v>
      </c>
      <c r="AS77" s="29">
        <v>1</v>
      </c>
      <c r="AT77" s="92"/>
      <c r="AU77" s="29"/>
      <c r="AV77" s="92">
        <v>46231</v>
      </c>
      <c r="AW77" s="92"/>
      <c r="AX77" s="29">
        <f t="shared" si="13"/>
        <v>100</v>
      </c>
      <c r="AY77" s="29">
        <f t="shared" si="14"/>
        <v>0</v>
      </c>
      <c r="AZ77" s="18">
        <f t="shared" si="15"/>
        <v>100</v>
      </c>
      <c r="BA77" s="18" t="e">
        <f t="shared" si="11"/>
        <v>#REF!</v>
      </c>
      <c r="BB77" s="21"/>
      <c r="BC77" s="30"/>
      <c r="BD77" s="30"/>
      <c r="BE77" s="30"/>
      <c r="BF77" s="30"/>
      <c r="BN77" s="41">
        <v>55</v>
      </c>
    </row>
    <row r="78" spans="1:66" ht="22.5" customHeight="1">
      <c r="A78" s="260"/>
      <c r="B78" s="261"/>
      <c r="C78" s="77" t="s">
        <v>132</v>
      </c>
      <c r="D78" s="75">
        <v>100</v>
      </c>
      <c r="E78" s="75"/>
      <c r="F78" s="75"/>
      <c r="G78" s="41" t="e">
        <f>#REF!</f>
        <v>#REF!</v>
      </c>
      <c r="H78" s="10" cm="1">
        <f t="array" ref="H78">IFERROR(INDEX(PQ_Juli!$B$2:$AF$1048,MATCH($C78,PQ_Juli!$A$2:$A$1048,0),MATCH(H$3&amp;"",PQ_Juli!$B$1:$AF$1&amp;"",0)),0)</f>
        <v>0</v>
      </c>
      <c r="I78" s="10" cm="1">
        <f t="array" ref="I78">IFERROR(INDEX(PQ_Juli!$B$2:$AF$1048,MATCH($C78,PQ_Juli!$A$2:$A$1048,0),MATCH(I$3&amp;"",PQ_Juli!$B$1:$AF$1&amp;"",0)),0)</f>
        <v>0</v>
      </c>
      <c r="J78" s="10" cm="1">
        <f t="array" ref="J78">IFERROR(INDEX(PQ_Juli!$B$2:$AF$1048,MATCH($C78,PQ_Juli!$A$2:$A$1048,0),MATCH(J$3&amp;"",PQ_Juli!$B$1:$AF$1&amp;"",0)),0)</f>
        <v>1</v>
      </c>
      <c r="K78" s="10" cm="1">
        <f t="array" ref="K78">IFERROR(INDEX(PQ_Juli!$B$2:$AF$1048,MATCH($C78,PQ_Juli!$A$2:$A$1048,0),MATCH(K$3&amp;"",PQ_Juli!$B$1:$AF$1&amp;"",0)),0)</f>
        <v>0</v>
      </c>
      <c r="L78" s="11"/>
      <c r="M78" s="10" cm="1">
        <f t="array" ref="M78">IFERROR(INDEX(PQ_Juli!$B$2:$AF$1048,MATCH($C78,PQ_Juli!$A$2:$A$1048,0),MATCH(M$3&amp;"",PQ_Juli!$B$1:$AF$1&amp;"",0)),0)</f>
        <v>0</v>
      </c>
      <c r="N78" s="10" cm="1">
        <f t="array" ref="N78">IFERROR(INDEX(PQ_Juli!$B$2:$AF$1048,MATCH($C78,PQ_Juli!$A$2:$A$1048,0),MATCH(N$3&amp;"",PQ_Juli!$B$1:$AF$1&amp;"",0)),0)</f>
        <v>1</v>
      </c>
      <c r="O78" s="10" cm="1">
        <f t="array" ref="O78">IFERROR(INDEX(PQ_Juli!$B$2:$AF$1048,MATCH($C78,PQ_Juli!$A$2:$A$1048,0),MATCH(O$3&amp;"",PQ_Juli!$B$1:$AF$1&amp;"",0)),0)</f>
        <v>1</v>
      </c>
      <c r="P78" s="10" cm="1">
        <f t="array" ref="P78">IFERROR(INDEX(PQ_Juli!$B$2:$AF$1048,MATCH($C78,PQ_Juli!$A$2:$A$1048,0),MATCH(P$3&amp;"",PQ_Juli!$B$1:$AF$1&amp;"",0)),0)</f>
        <v>1</v>
      </c>
      <c r="Q78" s="10" cm="1">
        <f t="array" ref="Q78">IFERROR(INDEX(PQ_Juli!$B$2:$AF$1048,MATCH($C78,PQ_Juli!$A$2:$A$1048,0),MATCH(Q$3&amp;"",PQ_Juli!$B$1:$AF$1&amp;"",0)),0)</f>
        <v>1</v>
      </c>
      <c r="R78" s="10" cm="1">
        <f t="array" ref="R78">IFERROR(INDEX(PQ_Juli!$B$2:$AF$1048,MATCH($C78,PQ_Juli!$A$2:$A$1048,0),MATCH(R$3&amp;"",PQ_Juli!$B$1:$AF$1&amp;"",0)),0)</f>
        <v>1</v>
      </c>
      <c r="S78" s="11"/>
      <c r="T78" s="10" cm="1">
        <f t="array" ref="T78">IFERROR(INDEX(PQ_Juli!$B$2:$AF$1048,MATCH($C78,PQ_Juli!$A$2:$A$1048,0),MATCH(T$3&amp;"",PQ_Juli!$B$1:$AF$1&amp;"",0)),0)</f>
        <v>2</v>
      </c>
      <c r="U78" s="10" cm="1">
        <f t="array" ref="U78">IFERROR(INDEX(PQ_Juli!$B$2:$AF$1048,MATCH($C78,PQ_Juli!$A$2:$A$1048,0),MATCH(U$3&amp;"",PQ_Juli!$B$1:$AF$1&amp;"",0)),0)</f>
        <v>1</v>
      </c>
      <c r="V78" s="10" cm="1">
        <f t="array" ref="V78">IFERROR(INDEX(PQ_Juli!$B$2:$AF$1048,MATCH($C78,PQ_Juli!$A$2:$A$1048,0),MATCH(V$3&amp;"",PQ_Juli!$B$1:$AF$1&amp;"",0)),0)</f>
        <v>0</v>
      </c>
      <c r="W78" s="10" cm="1">
        <f t="array" ref="W78">IFERROR(INDEX(PQ_Juli!$B$2:$AF$1048,MATCH($C78,PQ_Juli!$A$2:$A$1048,0),MATCH(W$3&amp;"",PQ_Juli!$B$1:$AF$1&amp;"",0)),0)</f>
        <v>0</v>
      </c>
      <c r="X78" s="10" cm="1">
        <f t="array" ref="X78">IFERROR(INDEX(PQ_Juli!$B$2:$AF$1048,MATCH($C78,PQ_Juli!$A$2:$A$1048,0),MATCH(X$3&amp;"",PQ_Juli!$B$1:$AF$1&amp;"",0)),0)</f>
        <v>1</v>
      </c>
      <c r="Y78" s="10" cm="1">
        <f t="array" ref="Y78">IFERROR(INDEX(PQ_Juli!$B$2:$AF$1048,MATCH($C78,PQ_Juli!$A$2:$A$1048,0),MATCH(Y$3&amp;"",PQ_Juli!$B$1:$AF$1&amp;"",0)),0)</f>
        <v>0</v>
      </c>
      <c r="Z78" s="11"/>
      <c r="AA78" s="10" cm="1">
        <f t="array" ref="AA78">IFERROR(INDEX(PQ_Juli!$B$2:$AF$1048,MATCH($C78,PQ_Juli!$A$2:$A$1048,0),MATCH(AA$3&amp;"",PQ_Juli!$B$1:$AF$1&amp;"",0)),0)</f>
        <v>0</v>
      </c>
      <c r="AB78" s="10" cm="1">
        <f t="array" ref="AB78">IFERROR(INDEX(PQ_Juli!$B$2:$AF$1048,MATCH($C78,PQ_Juli!$A$2:$A$1048,0),MATCH(AB$3&amp;"",PQ_Juli!$B$1:$AF$1&amp;"",0)),0)</f>
        <v>0</v>
      </c>
      <c r="AC78" s="10" cm="1">
        <f t="array" ref="AC78">IFERROR(INDEX(PQ_Juli!$B$2:$AF$1048,MATCH($C78,PQ_Juli!$A$2:$A$1048,0),MATCH(AC$3&amp;"",PQ_Juli!$B$1:$AF$1&amp;"",0)),0)</f>
        <v>0</v>
      </c>
      <c r="AD78" s="10" cm="1">
        <f t="array" ref="AD78">IFERROR(INDEX(PQ_Juli!$B$2:$AF$1048,MATCH($C78,PQ_Juli!$A$2:$A$1048,0),MATCH(AD$3&amp;"",PQ_Juli!$B$1:$AF$1&amp;"",0)),0)</f>
        <v>0</v>
      </c>
      <c r="AE78" s="10" cm="1">
        <f t="array" ref="AE78">IFERROR(INDEX(PQ_Juli!$B$2:$AF$1048,MATCH($C78,PQ_Juli!$A$2:$A$1048,0),MATCH(AE$3&amp;"",PQ_Juli!$B$1:$AF$1&amp;"",0)),0)</f>
        <v>0</v>
      </c>
      <c r="AF78" s="10" cm="1">
        <f t="array" ref="AF78">IFERROR(INDEX(PQ_Juli!$B$2:$AF$1048,MATCH($C78,PQ_Juli!$A$2:$A$1048,0),MATCH(AF$3&amp;"",PQ_Juli!$B$1:$AF$1&amp;"",0)),0)</f>
        <v>0</v>
      </c>
      <c r="AG78" s="11"/>
      <c r="AH78" s="10" cm="1">
        <f t="array" ref="AH78">IFERROR(INDEX(PQ_Juli!$B$2:$AF$1048,MATCH($C78,PQ_Juli!$A$2:$A$1048,0),MATCH(AH$3&amp;"",PQ_Juli!$B$1:$AF$1&amp;"",0)),0)</f>
        <v>0</v>
      </c>
      <c r="AI78" s="10" cm="1">
        <f t="array" ref="AI78">IFERROR(INDEX(PQ_Juli!$B$2:$AF$1048,MATCH($C78,PQ_Juli!$A$2:$A$1048,0),MATCH(AI$3&amp;"",PQ_Juli!$B$1:$AF$1&amp;"",0)),0)</f>
        <v>0</v>
      </c>
      <c r="AJ78" s="10" cm="1">
        <f t="array" ref="AJ78">IFERROR(INDEX(PQ_Juli!$B$2:$AF$1048,MATCH($C78,PQ_Juli!$A$2:$A$1048,0),MATCH(AJ$3&amp;"",PQ_Juli!$B$1:$AF$1&amp;"",0)),0)</f>
        <v>0</v>
      </c>
      <c r="AK78" s="10" cm="1">
        <f t="array" ref="AK78">IFERROR(INDEX(PQ_Juli!$B$2:$AF$1048,MATCH($C78,PQ_Juli!$A$2:$A$1048,0),MATCH(AK$3&amp;"",PQ_Juli!$B$1:$AF$1&amp;"",0)),0)</f>
        <v>0</v>
      </c>
      <c r="AL78" s="10" cm="1">
        <f t="array" ref="AL78">IFERROR(INDEX(PQ_Juli!$B$2:$AF$1048,MATCH($C78,PQ_Juli!$A$2:$A$1048,0),MATCH(AL$3&amp;"",PQ_Juli!$B$1:$AF$1&amp;"",0)),0)</f>
        <v>1</v>
      </c>
      <c r="AM78" s="13">
        <v>22</v>
      </c>
      <c r="AN78" s="14">
        <f t="shared" si="12"/>
        <v>33</v>
      </c>
      <c r="AO78" s="18" t="e">
        <f t="shared" si="10"/>
        <v>#REF!</v>
      </c>
      <c r="AP78" s="23">
        <v>20</v>
      </c>
      <c r="AQ78" s="24" t="s">
        <v>79</v>
      </c>
      <c r="AR78" s="92"/>
      <c r="AS78" s="29"/>
      <c r="AT78" s="92"/>
      <c r="AU78" s="29"/>
      <c r="AV78" s="92"/>
      <c r="AW78" s="92"/>
      <c r="AX78" s="29">
        <f t="shared" si="13"/>
        <v>0</v>
      </c>
      <c r="AY78" s="29">
        <f t="shared" si="14"/>
        <v>0</v>
      </c>
      <c r="AZ78" s="18">
        <f t="shared" si="15"/>
        <v>0</v>
      </c>
      <c r="BA78" s="18" t="e">
        <f t="shared" si="11"/>
        <v>#REF!</v>
      </c>
      <c r="BB78" s="21"/>
      <c r="BC78" s="30"/>
      <c r="BD78" s="30"/>
      <c r="BE78" s="30"/>
      <c r="BF78" s="30"/>
      <c r="BN78" s="41"/>
    </row>
    <row r="79" spans="1:66" ht="22.5" customHeight="1">
      <c r="A79" s="262">
        <f t="shared" ref="A79:A100" si="16">AO79</f>
        <v>52</v>
      </c>
      <c r="B79" s="263"/>
      <c r="C79" s="74" t="s">
        <v>170</v>
      </c>
      <c r="D79" s="75">
        <v>50</v>
      </c>
      <c r="E79" s="75">
        <v>5</v>
      </c>
      <c r="F79" s="75">
        <v>4</v>
      </c>
      <c r="G79" s="41">
        <v>24</v>
      </c>
      <c r="H79" s="10">
        <v>0</v>
      </c>
      <c r="I79" s="10" cm="1">
        <f t="array" ref="I79">IFERROR(INDEX(PQ_Juli!$B$2:$AF$1048,MATCH($C79,PQ_Juli!$A$2:$A$1048,0),MATCH(I$3&amp;"",PQ_Juli!$B$1:$AF$1&amp;"",0)),0)</f>
        <v>0</v>
      </c>
      <c r="J79" s="10">
        <v>0</v>
      </c>
      <c r="K79" s="10">
        <v>0</v>
      </c>
      <c r="L79" s="11"/>
      <c r="M79" s="10">
        <v>0</v>
      </c>
      <c r="N79" s="10">
        <v>5</v>
      </c>
      <c r="O79" s="10">
        <v>0</v>
      </c>
      <c r="P79" s="10" cm="1">
        <f t="array" ref="P79">IFERROR(INDEX(PQ_Juli!$B$2:$AF$1048,MATCH($C79,PQ_Juli!$A$2:$A$1048,0),MATCH(P$3&amp;"",PQ_Juli!$B$1:$AF$1&amp;"",0)),0)</f>
        <v>0</v>
      </c>
      <c r="Q79" s="10" cm="1">
        <f t="array" ref="Q79">IFERROR(INDEX(PQ_Juli!$B$2:$AF$1048,MATCH($C79,PQ_Juli!$A$2:$A$1048,0),MATCH(Q$3&amp;"",PQ_Juli!$B$1:$AF$1&amp;"",0)),0)</f>
        <v>0</v>
      </c>
      <c r="R79" s="10" cm="1">
        <f t="array" ref="R79">IFERROR(INDEX(PQ_Juli!$B$2:$AF$1048,MATCH($C79,PQ_Juli!$A$2:$A$1048,0),MATCH(R$3&amp;"",PQ_Juli!$B$1:$AF$1&amp;"",0)),0)</f>
        <v>0</v>
      </c>
      <c r="S79" s="11"/>
      <c r="T79" s="10" cm="1">
        <f t="array" ref="T79">IFERROR(INDEX(PQ_Juli!$B$2:$AF$1048,MATCH($C79,PQ_Juli!$A$2:$A$1048,0),MATCH(T$3&amp;"",PQ_Juli!$B$1:$AF$1&amp;"",0)),0)</f>
        <v>4</v>
      </c>
      <c r="U79" s="10" cm="1">
        <f t="array" ref="U79">IFERROR(INDEX(PQ_Juli!$B$2:$AF$1048,MATCH($C79,PQ_Juli!$A$2:$A$1048,0),MATCH(U$3&amp;"",PQ_Juli!$B$1:$AF$1&amp;"",0)),0)</f>
        <v>0</v>
      </c>
      <c r="V79" s="10" cm="1">
        <f t="array" ref="V79">IFERROR(INDEX(PQ_Juli!$B$2:$AF$1048,MATCH($C79,PQ_Juli!$A$2:$A$1048,0),MATCH(V$3&amp;"",PQ_Juli!$B$1:$AF$1&amp;"",0)),0)</f>
        <v>0</v>
      </c>
      <c r="W79" s="10" cm="1">
        <f t="array" ref="W79">IFERROR(INDEX(PQ_Juli!$B$2:$AF$1048,MATCH($C79,PQ_Juli!$A$2:$A$1048,0),MATCH(W$3&amp;"",PQ_Juli!$B$1:$AF$1&amp;"",0)),0)</f>
        <v>2</v>
      </c>
      <c r="X79" s="10" cm="1">
        <f t="array" ref="X79">IFERROR(INDEX(PQ_Juli!$B$2:$AF$1048,MATCH($C79,PQ_Juli!$A$2:$A$1048,0),MATCH(X$3&amp;"",PQ_Juli!$B$1:$AF$1&amp;"",0)),0)</f>
        <v>0</v>
      </c>
      <c r="Y79" s="10" cm="1">
        <f t="array" ref="Y79">IFERROR(INDEX(PQ_Juli!$B$2:$AF$1048,MATCH($C79,PQ_Juli!$A$2:$A$1048,0),MATCH(Y$3&amp;"",PQ_Juli!$B$1:$AF$1&amp;"",0)),0)</f>
        <v>0</v>
      </c>
      <c r="Z79" s="11"/>
      <c r="AA79" s="10" cm="1">
        <f t="array" ref="AA79">IFERROR(INDEX(PQ_Juli!$B$2:$AF$1048,MATCH($C79,PQ_Juli!$A$2:$A$1048,0),MATCH(AA$3&amp;"",PQ_Juli!$B$1:$AF$1&amp;"",0)),0)</f>
        <v>2</v>
      </c>
      <c r="AB79" s="10" cm="1">
        <f t="array" ref="AB79">IFERROR(INDEX(PQ_Juli!$B$2:$AF$1048,MATCH($C79,PQ_Juli!$A$2:$A$1048,0),MATCH(AB$3&amp;"",PQ_Juli!$B$1:$AF$1&amp;"",0)),0)</f>
        <v>0</v>
      </c>
      <c r="AC79" s="10" cm="1">
        <f t="array" ref="AC79">IFERROR(INDEX(PQ_Juli!$B$2:$AF$1048,MATCH($C79,PQ_Juli!$A$2:$A$1048,0),MATCH(AC$3&amp;"",PQ_Juli!$B$1:$AF$1&amp;"",0)),0)</f>
        <v>0</v>
      </c>
      <c r="AD79" s="10" cm="1">
        <f t="array" ref="AD79">IFERROR(INDEX(PQ_Juli!$B$2:$AF$1048,MATCH($C79,PQ_Juli!$A$2:$A$1048,0),MATCH(AD$3&amp;"",PQ_Juli!$B$1:$AF$1&amp;"",0)),0)</f>
        <v>0</v>
      </c>
      <c r="AE79" s="10" cm="1">
        <f t="array" ref="AE79">IFERROR(INDEX(PQ_Juli!$B$2:$AF$1048,MATCH($C79,PQ_Juli!$A$2:$A$1048,0),MATCH(AE$3&amp;"",PQ_Juli!$B$1:$AF$1&amp;"",0)),0)</f>
        <v>0</v>
      </c>
      <c r="AF79" s="10" cm="1">
        <f t="array" ref="AF79">IFERROR(INDEX(PQ_Juli!$B$2:$AF$1048,MATCH($C79,PQ_Juli!$A$2:$A$1048,0),MATCH(AF$3&amp;"",PQ_Juli!$B$1:$AF$1&amp;"",0)),0)</f>
        <v>0</v>
      </c>
      <c r="AG79" s="11"/>
      <c r="AH79" s="10" cm="1">
        <f t="array" ref="AH79">IFERROR(INDEX(PQ_Juli!$B$2:$AF$1048,MATCH($C79,PQ_Juli!$A$2:$A$1048,0),MATCH(AH$3&amp;"",PQ_Juli!$B$1:$AF$1&amp;"",0)),0)</f>
        <v>0</v>
      </c>
      <c r="AI79" s="10">
        <v>5</v>
      </c>
      <c r="AJ79" s="10" cm="1">
        <f t="array" ref="AJ79">IFERROR(INDEX(PQ_Juli!$B$2:$AF$1048,MATCH($C79,PQ_Juli!$A$2:$A$1048,0),MATCH(AJ$3&amp;"",PQ_Juli!$B$1:$AF$1&amp;"",0)),0)</f>
        <v>0</v>
      </c>
      <c r="AK79" s="10" cm="1">
        <f t="array" ref="AK79">IFERROR(INDEX(PQ_Juli!$B$2:$AF$1048,MATCH($C79,PQ_Juli!$A$2:$A$1048,0),MATCH(AK$3&amp;"",PQ_Juli!$B$1:$AF$1&amp;"",0)),0)</f>
        <v>0</v>
      </c>
      <c r="AL79" s="10" cm="1">
        <f t="array" ref="AL79">IFERROR(INDEX(PQ_Juli!$B$2:$AF$1048,MATCH($C79,PQ_Juli!$A$2:$A$1048,0),MATCH(AL$3&amp;"",PQ_Juli!$B$1:$AF$1&amp;"",0)),0)</f>
        <v>0</v>
      </c>
      <c r="AM79" s="13">
        <v>4</v>
      </c>
      <c r="AN79" s="14">
        <f t="shared" si="12"/>
        <v>22</v>
      </c>
      <c r="AO79" s="18">
        <f t="shared" si="10"/>
        <v>52</v>
      </c>
      <c r="AP79" s="23">
        <v>10</v>
      </c>
      <c r="AQ79" s="23" t="s">
        <v>79</v>
      </c>
      <c r="AR79" s="92">
        <v>46218</v>
      </c>
      <c r="AS79" s="29">
        <v>1</v>
      </c>
      <c r="AT79" s="92"/>
      <c r="AU79" s="29"/>
      <c r="AV79" s="92">
        <v>46231</v>
      </c>
      <c r="AW79" s="92"/>
      <c r="AX79" s="29">
        <f t="shared" si="13"/>
        <v>50</v>
      </c>
      <c r="AY79" s="29">
        <f t="shared" si="14"/>
        <v>0</v>
      </c>
      <c r="AZ79" s="18">
        <f t="shared" si="15"/>
        <v>50</v>
      </c>
      <c r="BA79" s="18">
        <f t="shared" si="11"/>
        <v>52</v>
      </c>
      <c r="BB79" s="21"/>
      <c r="BC79" s="30"/>
      <c r="BD79" s="30"/>
      <c r="BE79" s="30"/>
      <c r="BF79" s="30"/>
      <c r="BN79" s="41">
        <v>20</v>
      </c>
    </row>
    <row r="80" spans="1:66" ht="22.5" customHeight="1">
      <c r="A80" s="262" t="e">
        <f t="shared" si="16"/>
        <v>#REF!</v>
      </c>
      <c r="B80" s="263"/>
      <c r="C80" s="74" t="s">
        <v>97</v>
      </c>
      <c r="D80" s="75">
        <v>10</v>
      </c>
      <c r="E80" s="75">
        <v>9</v>
      </c>
      <c r="F80" s="75">
        <v>11</v>
      </c>
      <c r="G80" s="41" t="e">
        <f>#REF!</f>
        <v>#REF!</v>
      </c>
      <c r="H80" s="10" cm="1">
        <f t="array" ref="H80">IFERROR(INDEX(PQ_Juli!$B$2:$AF$1048,MATCH($C80,PQ_Juli!$A$2:$A$1048,0),MATCH(H$3&amp;"",PQ_Juli!$B$1:$AF$1&amp;"",0)),0)</f>
        <v>0</v>
      </c>
      <c r="I80" s="10" cm="1">
        <f t="array" ref="I80">IFERROR(INDEX(PQ_Juli!$B$2:$AF$1048,MATCH($C80,PQ_Juli!$A$2:$A$1048,0),MATCH(I$3&amp;"",PQ_Juli!$B$1:$AF$1&amp;"",0)),0)</f>
        <v>0</v>
      </c>
      <c r="J80" s="10" cm="1">
        <f t="array" ref="J80">IFERROR(INDEX(PQ_Juli!$B$2:$AF$1048,MATCH($C80,PQ_Juli!$A$2:$A$1048,0),MATCH(J$3&amp;"",PQ_Juli!$B$1:$AF$1&amp;"",0)),0)</f>
        <v>0</v>
      </c>
      <c r="K80" s="10" cm="1">
        <f t="array" ref="K80">IFERROR(INDEX(PQ_Juli!$B$2:$AF$1048,MATCH($C80,PQ_Juli!$A$2:$A$1048,0),MATCH(K$3&amp;"",PQ_Juli!$B$1:$AF$1&amp;"",0)),0)</f>
        <v>0</v>
      </c>
      <c r="L80" s="11"/>
      <c r="M80" s="10" cm="1">
        <f t="array" ref="M80">IFERROR(INDEX(PQ_Juli!$B$2:$AF$1048,MATCH($C80,PQ_Juli!$A$2:$A$1048,0),MATCH(M$3&amp;"",PQ_Juli!$B$1:$AF$1&amp;"",0)),0)</f>
        <v>1</v>
      </c>
      <c r="N80" s="10" cm="1">
        <f t="array" ref="N80">IFERROR(INDEX(PQ_Juli!$B$2:$AF$1048,MATCH($C80,PQ_Juli!$A$2:$A$1048,0),MATCH(N$3&amp;"",PQ_Juli!$B$1:$AF$1&amp;"",0)),0)</f>
        <v>1</v>
      </c>
      <c r="O80" s="10" cm="1">
        <f t="array" ref="O80">IFERROR(INDEX(PQ_Juli!$B$2:$AF$1048,MATCH($C80,PQ_Juli!$A$2:$A$1048,0),MATCH(O$3&amp;"",PQ_Juli!$B$1:$AF$1&amp;"",0)),0)</f>
        <v>0</v>
      </c>
      <c r="P80" s="10" cm="1">
        <f t="array" ref="P80">IFERROR(INDEX(PQ_Juli!$B$2:$AF$1048,MATCH($C80,PQ_Juli!$A$2:$A$1048,0),MATCH(P$3&amp;"",PQ_Juli!$B$1:$AF$1&amp;"",0)),0)</f>
        <v>0</v>
      </c>
      <c r="Q80" s="10" cm="1">
        <f t="array" ref="Q80">IFERROR(INDEX(PQ_Juli!$B$2:$AF$1048,MATCH($C80,PQ_Juli!$A$2:$A$1048,0),MATCH(Q$3&amp;"",PQ_Juli!$B$1:$AF$1&amp;"",0)),0)</f>
        <v>0</v>
      </c>
      <c r="R80" s="10" cm="1">
        <f t="array" ref="R80">IFERROR(INDEX(PQ_Juli!$B$2:$AF$1048,MATCH($C80,PQ_Juli!$A$2:$A$1048,0),MATCH(R$3&amp;"",PQ_Juli!$B$1:$AF$1&amp;"",0)),0)</f>
        <v>0</v>
      </c>
      <c r="S80" s="11"/>
      <c r="T80" s="10" cm="1">
        <f t="array" ref="T80">IFERROR(INDEX(PQ_Juli!$B$2:$AF$1048,MATCH($C80,PQ_Juli!$A$2:$A$1048,0),MATCH(T$3&amp;"",PQ_Juli!$B$1:$AF$1&amp;"",0)),0)</f>
        <v>4</v>
      </c>
      <c r="U80" s="10" cm="1">
        <f t="array" ref="U80">IFERROR(INDEX(PQ_Juli!$B$2:$AF$1048,MATCH($C80,PQ_Juli!$A$2:$A$1048,0),MATCH(U$3&amp;"",PQ_Juli!$B$1:$AF$1&amp;"",0)),0)</f>
        <v>3</v>
      </c>
      <c r="V80" s="10" cm="1">
        <f t="array" ref="V80">IFERROR(INDEX(PQ_Juli!$B$2:$AF$1048,MATCH($C80,PQ_Juli!$A$2:$A$1048,0),MATCH(V$3&amp;"",PQ_Juli!$B$1:$AF$1&amp;"",0)),0)</f>
        <v>0</v>
      </c>
      <c r="W80" s="10" cm="1">
        <f t="array" ref="W80">IFERROR(INDEX(PQ_Juli!$B$2:$AF$1048,MATCH($C80,PQ_Juli!$A$2:$A$1048,0),MATCH(W$3&amp;"",PQ_Juli!$B$1:$AF$1&amp;"",0)),0)</f>
        <v>0</v>
      </c>
      <c r="X80" s="10" cm="1">
        <f t="array" ref="X80">IFERROR(INDEX(PQ_Juli!$B$2:$AF$1048,MATCH($C80,PQ_Juli!$A$2:$A$1048,0),MATCH(X$3&amp;"",PQ_Juli!$B$1:$AF$1&amp;"",0)),0)</f>
        <v>0</v>
      </c>
      <c r="Y80" s="10" cm="1">
        <f t="array" ref="Y80">IFERROR(INDEX(PQ_Juli!$B$2:$AF$1048,MATCH($C80,PQ_Juli!$A$2:$A$1048,0),MATCH(Y$3&amp;"",PQ_Juli!$B$1:$AF$1&amp;"",0)),0)</f>
        <v>0</v>
      </c>
      <c r="Z80" s="11"/>
      <c r="AA80" s="10" cm="1">
        <f t="array" ref="AA80">IFERROR(INDEX(PQ_Juli!$B$2:$AF$1048,MATCH($C80,PQ_Juli!$A$2:$A$1048,0),MATCH(AA$3&amp;"",PQ_Juli!$B$1:$AF$1&amp;"",0)),0)</f>
        <v>0</v>
      </c>
      <c r="AB80" s="10" cm="1">
        <f t="array" ref="AB80">IFERROR(INDEX(PQ_Juli!$B$2:$AF$1048,MATCH($C80,PQ_Juli!$A$2:$A$1048,0),MATCH(AB$3&amp;"",PQ_Juli!$B$1:$AF$1&amp;"",0)),0)</f>
        <v>0</v>
      </c>
      <c r="AC80" s="10" cm="1">
        <f t="array" ref="AC80">IFERROR(INDEX(PQ_Juli!$B$2:$AF$1048,MATCH($C80,PQ_Juli!$A$2:$A$1048,0),MATCH(AC$3&amp;"",PQ_Juli!$B$1:$AF$1&amp;"",0)),0)</f>
        <v>0</v>
      </c>
      <c r="AD80" s="10" cm="1">
        <f t="array" ref="AD80">IFERROR(INDEX(PQ_Juli!$B$2:$AF$1048,MATCH($C80,PQ_Juli!$A$2:$A$1048,0),MATCH(AD$3&amp;"",PQ_Juli!$B$1:$AF$1&amp;"",0)),0)</f>
        <v>0</v>
      </c>
      <c r="AE80" s="10" cm="1">
        <f t="array" ref="AE80">IFERROR(INDEX(PQ_Juli!$B$2:$AF$1048,MATCH($C80,PQ_Juli!$A$2:$A$1048,0),MATCH(AE$3&amp;"",PQ_Juli!$B$1:$AF$1&amp;"",0)),0)</f>
        <v>0</v>
      </c>
      <c r="AF80" s="10" cm="1">
        <f t="array" ref="AF80">IFERROR(INDEX(PQ_Juli!$B$2:$AF$1048,MATCH($C80,PQ_Juli!$A$2:$A$1048,0),MATCH(AF$3&amp;"",PQ_Juli!$B$1:$AF$1&amp;"",0)),0)</f>
        <v>0</v>
      </c>
      <c r="AG80" s="11"/>
      <c r="AH80" s="10" cm="1">
        <f t="array" ref="AH80">IFERROR(INDEX(PQ_Juli!$B$2:$AF$1048,MATCH($C80,PQ_Juli!$A$2:$A$1048,0),MATCH(AH$3&amp;"",PQ_Juli!$B$1:$AF$1&amp;"",0)),0)</f>
        <v>0</v>
      </c>
      <c r="AI80" s="10" cm="1">
        <f t="array" ref="AI80">IFERROR(INDEX(PQ_Juli!$B$2:$AF$1048,MATCH($C80,PQ_Juli!$A$2:$A$1048,0),MATCH(AI$3&amp;"",PQ_Juli!$B$1:$AF$1&amp;"",0)),0)</f>
        <v>0</v>
      </c>
      <c r="AJ80" s="10" cm="1">
        <f t="array" ref="AJ80">IFERROR(INDEX(PQ_Juli!$B$2:$AF$1048,MATCH($C80,PQ_Juli!$A$2:$A$1048,0),MATCH(AJ$3&amp;"",PQ_Juli!$B$1:$AF$1&amp;"",0)),0)</f>
        <v>0</v>
      </c>
      <c r="AK80" s="10" cm="1">
        <f t="array" ref="AK80">IFERROR(INDEX(PQ_Juli!$B$2:$AF$1048,MATCH($C80,PQ_Juli!$A$2:$A$1048,0),MATCH(AK$3&amp;"",PQ_Juli!$B$1:$AF$1&amp;"",0)),0)</f>
        <v>0</v>
      </c>
      <c r="AL80" s="10" cm="1">
        <f t="array" ref="AL80">IFERROR(INDEX(PQ_Juli!$B$2:$AF$1048,MATCH($C80,PQ_Juli!$A$2:$A$1048,0),MATCH(AL$3&amp;"",PQ_Juli!$B$1:$AF$1&amp;"",0)),0)</f>
        <v>0</v>
      </c>
      <c r="AM80" s="13"/>
      <c r="AN80" s="14">
        <f t="shared" si="12"/>
        <v>9</v>
      </c>
      <c r="AO80" s="18" t="e">
        <f t="shared" si="10"/>
        <v>#REF!</v>
      </c>
      <c r="AP80" s="23">
        <v>5</v>
      </c>
      <c r="AQ80" s="23" t="s">
        <v>79</v>
      </c>
      <c r="AR80" s="92">
        <v>46225</v>
      </c>
      <c r="AS80" s="29">
        <v>1</v>
      </c>
      <c r="AT80" s="92"/>
      <c r="AU80" s="29"/>
      <c r="AV80" s="92"/>
      <c r="AW80" s="92"/>
      <c r="AX80" s="29">
        <f t="shared" si="13"/>
        <v>0</v>
      </c>
      <c r="AY80" s="29">
        <f t="shared" si="14"/>
        <v>0</v>
      </c>
      <c r="AZ80" s="18">
        <f t="shared" si="15"/>
        <v>0</v>
      </c>
      <c r="BA80" s="18" t="e">
        <f t="shared" si="11"/>
        <v>#REF!</v>
      </c>
      <c r="BB80" s="21"/>
      <c r="BC80" s="30"/>
      <c r="BD80" s="30"/>
      <c r="BE80" s="30"/>
      <c r="BF80" s="30"/>
      <c r="BN80" s="41">
        <v>6</v>
      </c>
    </row>
    <row r="81" spans="1:66" ht="22.5" customHeight="1">
      <c r="A81" s="260" t="e">
        <f t="shared" si="16"/>
        <v>#REF!</v>
      </c>
      <c r="B81" s="261"/>
      <c r="C81" s="77" t="s">
        <v>133</v>
      </c>
      <c r="D81" s="75">
        <v>60</v>
      </c>
      <c r="E81" s="75">
        <v>38</v>
      </c>
      <c r="F81" s="75">
        <v>38</v>
      </c>
      <c r="G81" s="41" t="e">
        <f>#REF!</f>
        <v>#REF!</v>
      </c>
      <c r="H81" s="10" cm="1">
        <f t="array" ref="H81">IFERROR(INDEX(PQ_Juli!$B$2:$AF$1048,MATCH($C81,PQ_Juli!$A$2:$A$1048,0),MATCH(H$3&amp;"",PQ_Juli!$B$1:$AF$1&amp;"",0)),0)</f>
        <v>2</v>
      </c>
      <c r="I81" s="10" cm="1">
        <f t="array" ref="I81">IFERROR(INDEX(PQ_Juli!$B$2:$AF$1048,MATCH($C81,PQ_Juli!$A$2:$A$1048,0),MATCH(I$3&amp;"",PQ_Juli!$B$1:$AF$1&amp;"",0)),0)</f>
        <v>0</v>
      </c>
      <c r="J81" s="10" cm="1">
        <f t="array" ref="J81">IFERROR(INDEX(PQ_Juli!$B$2:$AF$1048,MATCH($C81,PQ_Juli!$A$2:$A$1048,0),MATCH(J$3&amp;"",PQ_Juli!$B$1:$AF$1&amp;"",0)),0)</f>
        <v>0</v>
      </c>
      <c r="K81" s="10" cm="1">
        <f t="array" ref="K81">IFERROR(INDEX(PQ_Juli!$B$2:$AF$1048,MATCH($C81,PQ_Juli!$A$2:$A$1048,0),MATCH(K$3&amp;"",PQ_Juli!$B$1:$AF$1&amp;"",0)),0)</f>
        <v>0</v>
      </c>
      <c r="L81" s="11"/>
      <c r="M81" s="10" cm="1">
        <f t="array" ref="M81">IFERROR(INDEX(PQ_Juli!$B$2:$AF$1048,MATCH($C81,PQ_Juli!$A$2:$A$1048,0),MATCH(M$3&amp;"",PQ_Juli!$B$1:$AF$1&amp;"",0)),0)</f>
        <v>4</v>
      </c>
      <c r="N81" s="10" cm="1">
        <f t="array" ref="N81">IFERROR(INDEX(PQ_Juli!$B$2:$AF$1048,MATCH($C81,PQ_Juli!$A$2:$A$1048,0),MATCH(N$3&amp;"",PQ_Juli!$B$1:$AF$1&amp;"",0)),0)</f>
        <v>2</v>
      </c>
      <c r="O81" s="10" cm="1">
        <f t="array" ref="O81">IFERROR(INDEX(PQ_Juli!$B$2:$AF$1048,MATCH($C81,PQ_Juli!$A$2:$A$1048,0),MATCH(O$3&amp;"",PQ_Juli!$B$1:$AF$1&amp;"",0)),0)</f>
        <v>2</v>
      </c>
      <c r="P81" s="10" cm="1">
        <f t="array" ref="P81">IFERROR(INDEX(PQ_Juli!$B$2:$AF$1048,MATCH($C81,PQ_Juli!$A$2:$A$1048,0),MATCH(P$3&amp;"",PQ_Juli!$B$1:$AF$1&amp;"",0)),0)</f>
        <v>0</v>
      </c>
      <c r="Q81" s="10" cm="1">
        <f t="array" ref="Q81">IFERROR(INDEX(PQ_Juli!$B$2:$AF$1048,MATCH($C81,PQ_Juli!$A$2:$A$1048,0),MATCH(Q$3&amp;"",PQ_Juli!$B$1:$AF$1&amp;"",0)),0)</f>
        <v>2</v>
      </c>
      <c r="R81" s="10" cm="1">
        <f t="array" ref="R81">IFERROR(INDEX(PQ_Juli!$B$2:$AF$1048,MATCH($C81,PQ_Juli!$A$2:$A$1048,0),MATCH(R$3&amp;"",PQ_Juli!$B$1:$AF$1&amp;"",0)),0)</f>
        <v>0</v>
      </c>
      <c r="S81" s="11"/>
      <c r="T81" s="10" cm="1">
        <f t="array" ref="T81">IFERROR(INDEX(PQ_Juli!$B$2:$AF$1048,MATCH($C81,PQ_Juli!$A$2:$A$1048,0),MATCH(T$3&amp;"",PQ_Juli!$B$1:$AF$1&amp;"",0)),0)</f>
        <v>1</v>
      </c>
      <c r="U81" s="10" cm="1">
        <f t="array" ref="U81">IFERROR(INDEX(PQ_Juli!$B$2:$AF$1048,MATCH($C81,PQ_Juli!$A$2:$A$1048,0),MATCH(U$3&amp;"",PQ_Juli!$B$1:$AF$1&amp;"",0)),0)</f>
        <v>0</v>
      </c>
      <c r="V81" s="10" cm="1">
        <f t="array" ref="V81">IFERROR(INDEX(PQ_Juli!$B$2:$AF$1048,MATCH($C81,PQ_Juli!$A$2:$A$1048,0),MATCH(V$3&amp;"",PQ_Juli!$B$1:$AF$1&amp;"",0)),0)</f>
        <v>0</v>
      </c>
      <c r="W81" s="10" cm="1">
        <f t="array" ref="W81">IFERROR(INDEX(PQ_Juli!$B$2:$AF$1048,MATCH($C81,PQ_Juli!$A$2:$A$1048,0),MATCH(W$3&amp;"",PQ_Juli!$B$1:$AF$1&amp;"",0)),0)</f>
        <v>1</v>
      </c>
      <c r="X81" s="10" cm="1">
        <f t="array" ref="X81">IFERROR(INDEX(PQ_Juli!$B$2:$AF$1048,MATCH($C81,PQ_Juli!$A$2:$A$1048,0),MATCH(X$3&amp;"",PQ_Juli!$B$1:$AF$1&amp;"",0)),0)</f>
        <v>0</v>
      </c>
      <c r="Y81" s="10" cm="1">
        <f t="array" ref="Y81">IFERROR(INDEX(PQ_Juli!$B$2:$AF$1048,MATCH($C81,PQ_Juli!$A$2:$A$1048,0),MATCH(Y$3&amp;"",PQ_Juli!$B$1:$AF$1&amp;"",0)),0)</f>
        <v>0</v>
      </c>
      <c r="Z81" s="11"/>
      <c r="AA81" s="10" cm="1">
        <f t="array" ref="AA81">IFERROR(INDEX(PQ_Juli!$B$2:$AF$1048,MATCH($C81,PQ_Juli!$A$2:$A$1048,0),MATCH(AA$3&amp;"",PQ_Juli!$B$1:$AF$1&amp;"",0)),0)</f>
        <v>2</v>
      </c>
      <c r="AB81" s="10" cm="1">
        <f t="array" ref="AB81">IFERROR(INDEX(PQ_Juli!$B$2:$AF$1048,MATCH($C81,PQ_Juli!$A$2:$A$1048,0),MATCH(AB$3&amp;"",PQ_Juli!$B$1:$AF$1&amp;"",0)),0)</f>
        <v>1</v>
      </c>
      <c r="AC81" s="10" cm="1">
        <f t="array" ref="AC81">IFERROR(INDEX(PQ_Juli!$B$2:$AF$1048,MATCH($C81,PQ_Juli!$A$2:$A$1048,0),MATCH(AC$3&amp;"",PQ_Juli!$B$1:$AF$1&amp;"",0)),0)</f>
        <v>0</v>
      </c>
      <c r="AD81" s="10" cm="1">
        <f t="array" ref="AD81">IFERROR(INDEX(PQ_Juli!$B$2:$AF$1048,MATCH($C81,PQ_Juli!$A$2:$A$1048,0),MATCH(AD$3&amp;"",PQ_Juli!$B$1:$AF$1&amp;"",0)),0)</f>
        <v>0</v>
      </c>
      <c r="AE81" s="10" cm="1">
        <f t="array" ref="AE81">IFERROR(INDEX(PQ_Juli!$B$2:$AF$1048,MATCH($C81,PQ_Juli!$A$2:$A$1048,0),MATCH(AE$3&amp;"",PQ_Juli!$B$1:$AF$1&amp;"",0)),0)</f>
        <v>0</v>
      </c>
      <c r="AF81" s="10" cm="1">
        <f t="array" ref="AF81">IFERROR(INDEX(PQ_Juli!$B$2:$AF$1048,MATCH($C81,PQ_Juli!$A$2:$A$1048,0),MATCH(AF$3&amp;"",PQ_Juli!$B$1:$AF$1&amp;"",0)),0)</f>
        <v>0</v>
      </c>
      <c r="AG81" s="11"/>
      <c r="AH81" s="10" cm="1">
        <f t="array" ref="AH81">IFERROR(INDEX(PQ_Juli!$B$2:$AF$1048,MATCH($C81,PQ_Juli!$A$2:$A$1048,0),MATCH(AH$3&amp;"",PQ_Juli!$B$1:$AF$1&amp;"",0)),0)</f>
        <v>0</v>
      </c>
      <c r="AI81" s="10" cm="1">
        <f t="array" ref="AI81">IFERROR(INDEX(PQ_Juli!$B$2:$AF$1048,MATCH($C81,PQ_Juli!$A$2:$A$1048,0),MATCH(AI$3&amp;"",PQ_Juli!$B$1:$AF$1&amp;"",0)),0)</f>
        <v>1</v>
      </c>
      <c r="AJ81" s="10" cm="1">
        <f t="array" ref="AJ81">IFERROR(INDEX(PQ_Juli!$B$2:$AF$1048,MATCH($C81,PQ_Juli!$A$2:$A$1048,0),MATCH(AJ$3&amp;"",PQ_Juli!$B$1:$AF$1&amp;"",0)),0)</f>
        <v>0</v>
      </c>
      <c r="AK81" s="10" cm="1">
        <f t="array" ref="AK81">IFERROR(INDEX(PQ_Juli!$B$2:$AF$1048,MATCH($C81,PQ_Juli!$A$2:$A$1048,0),MATCH(AK$3&amp;"",PQ_Juli!$B$1:$AF$1&amp;"",0)),0)</f>
        <v>0</v>
      </c>
      <c r="AL81" s="10">
        <v>1</v>
      </c>
      <c r="AM81" s="13">
        <v>4</v>
      </c>
      <c r="AN81" s="14">
        <f t="shared" si="12"/>
        <v>23</v>
      </c>
      <c r="AO81" s="18" t="e">
        <f t="shared" si="10"/>
        <v>#REF!</v>
      </c>
      <c r="AP81" s="23">
        <v>20</v>
      </c>
      <c r="AQ81" s="23" t="s">
        <v>21</v>
      </c>
      <c r="AR81" s="92"/>
      <c r="AS81" s="29"/>
      <c r="AT81" s="92"/>
      <c r="AU81" s="29"/>
      <c r="AV81" s="92"/>
      <c r="AW81" s="92"/>
      <c r="AX81" s="29">
        <f t="shared" si="13"/>
        <v>0</v>
      </c>
      <c r="AY81" s="29">
        <f t="shared" si="14"/>
        <v>0</v>
      </c>
      <c r="AZ81" s="18">
        <f t="shared" si="15"/>
        <v>0</v>
      </c>
      <c r="BA81" s="18" t="e">
        <f t="shared" si="11"/>
        <v>#REF!</v>
      </c>
      <c r="BB81" s="21"/>
      <c r="BC81" s="30"/>
      <c r="BD81" s="30"/>
      <c r="BE81" s="30"/>
      <c r="BF81" s="30"/>
      <c r="BN81" s="41">
        <v>45</v>
      </c>
    </row>
    <row r="82" spans="1:66" ht="22.5" customHeight="1">
      <c r="A82" s="262" t="e">
        <f t="shared" si="16"/>
        <v>#REF!</v>
      </c>
      <c r="B82" s="263"/>
      <c r="C82" s="77" t="s">
        <v>60</v>
      </c>
      <c r="D82" s="75">
        <v>60</v>
      </c>
      <c r="E82" s="75">
        <v>90</v>
      </c>
      <c r="F82" s="75">
        <v>20</v>
      </c>
      <c r="G82" s="41" t="e">
        <f>#REF!</f>
        <v>#REF!</v>
      </c>
      <c r="H82" s="10" cm="1">
        <f t="array" ref="H82">IFERROR(INDEX(PQ_Juli!$B$2:$AF$1048,MATCH($C82,PQ_Juli!$A$2:$A$1048,0),MATCH(H$3&amp;"",PQ_Juli!$B$1:$AF$1&amp;"",0)),0)</f>
        <v>0</v>
      </c>
      <c r="I82" s="10" cm="1">
        <f t="array" ref="I82">IFERROR(INDEX(PQ_Juli!$B$2:$AF$1048,MATCH($C82,PQ_Juli!$A$2:$A$1048,0),MATCH(I$3&amp;"",PQ_Juli!$B$1:$AF$1&amp;"",0)),0)</f>
        <v>0</v>
      </c>
      <c r="J82" s="10" cm="1">
        <f t="array" ref="J82">IFERROR(INDEX(PQ_Juli!$B$2:$AF$1048,MATCH($C82,PQ_Juli!$A$2:$A$1048,0),MATCH(J$3&amp;"",PQ_Juli!$B$1:$AF$1&amp;"",0)),0)</f>
        <v>2</v>
      </c>
      <c r="K82" s="10" cm="1">
        <f t="array" ref="K82">IFERROR(INDEX(PQ_Juli!$B$2:$AF$1048,MATCH($C82,PQ_Juli!$A$2:$A$1048,0),MATCH(K$3&amp;"",PQ_Juli!$B$1:$AF$1&amp;"",0)),0)</f>
        <v>0</v>
      </c>
      <c r="L82" s="11"/>
      <c r="M82" s="10" cm="1">
        <f t="array" ref="M82">IFERROR(INDEX(PQ_Juli!$B$2:$AF$1048,MATCH($C82,PQ_Juli!$A$2:$A$1048,0),MATCH(M$3&amp;"",PQ_Juli!$B$1:$AF$1&amp;"",0)),0)</f>
        <v>2</v>
      </c>
      <c r="N82" s="10" cm="1">
        <f t="array" ref="N82">IFERROR(INDEX(PQ_Juli!$B$2:$AF$1048,MATCH($C82,PQ_Juli!$A$2:$A$1048,0),MATCH(N$3&amp;"",PQ_Juli!$B$1:$AF$1&amp;"",0)),0)</f>
        <v>0</v>
      </c>
      <c r="O82" s="10" cm="1">
        <f t="array" ref="O82">IFERROR(INDEX(PQ_Juli!$B$2:$AF$1048,MATCH($C82,PQ_Juli!$A$2:$A$1048,0),MATCH(O$3&amp;"",PQ_Juli!$B$1:$AF$1&amp;"",0)),0)</f>
        <v>1</v>
      </c>
      <c r="P82" s="10" cm="1">
        <f t="array" ref="P82">IFERROR(INDEX(PQ_Juli!$B$2:$AF$1048,MATCH($C82,PQ_Juli!$A$2:$A$1048,0),MATCH(P$3&amp;"",PQ_Juli!$B$1:$AF$1&amp;"",0)),0)</f>
        <v>0</v>
      </c>
      <c r="Q82" s="10" cm="1">
        <f t="array" ref="Q82">IFERROR(INDEX(PQ_Juli!$B$2:$AF$1048,MATCH($C82,PQ_Juli!$A$2:$A$1048,0),MATCH(Q$3&amp;"",PQ_Juli!$B$1:$AF$1&amp;"",0)),0)</f>
        <v>0</v>
      </c>
      <c r="R82" s="10" cm="1">
        <f t="array" ref="R82">IFERROR(INDEX(PQ_Juli!$B$2:$AF$1048,MATCH($C82,PQ_Juli!$A$2:$A$1048,0),MATCH(R$3&amp;"",PQ_Juli!$B$1:$AF$1&amp;"",0)),0)</f>
        <v>0</v>
      </c>
      <c r="S82" s="11"/>
      <c r="T82" s="10" cm="1">
        <f t="array" ref="T82">IFERROR(INDEX(PQ_Juli!$B$2:$AF$1048,MATCH($C82,PQ_Juli!$A$2:$A$1048,0),MATCH(T$3&amp;"",PQ_Juli!$B$1:$AF$1&amp;"",0)),0)</f>
        <v>0</v>
      </c>
      <c r="U82" s="10" cm="1">
        <f t="array" ref="U82">IFERROR(INDEX(PQ_Juli!$B$2:$AF$1048,MATCH($C82,PQ_Juli!$A$2:$A$1048,0),MATCH(U$3&amp;"",PQ_Juli!$B$1:$AF$1&amp;"",0)),0)</f>
        <v>0</v>
      </c>
      <c r="V82" s="10" cm="1">
        <f t="array" ref="V82">IFERROR(INDEX(PQ_Juli!$B$2:$AF$1048,MATCH($C82,PQ_Juli!$A$2:$A$1048,0),MATCH(V$3&amp;"",PQ_Juli!$B$1:$AF$1&amp;"",0)),0)</f>
        <v>0</v>
      </c>
      <c r="W82" s="10" cm="1">
        <f t="array" ref="W82">IFERROR(INDEX(PQ_Juli!$B$2:$AF$1048,MATCH($C82,PQ_Juli!$A$2:$A$1048,0),MATCH(W$3&amp;"",PQ_Juli!$B$1:$AF$1&amp;"",0)),0)</f>
        <v>2</v>
      </c>
      <c r="X82" s="10" cm="1">
        <f t="array" ref="X82">IFERROR(INDEX(PQ_Juli!$B$2:$AF$1048,MATCH($C82,PQ_Juli!$A$2:$A$1048,0),MATCH(X$3&amp;"",PQ_Juli!$B$1:$AF$1&amp;"",0)),0)</f>
        <v>0</v>
      </c>
      <c r="Y82" s="10" cm="1">
        <f t="array" ref="Y82">IFERROR(INDEX(PQ_Juli!$B$2:$AF$1048,MATCH($C82,PQ_Juli!$A$2:$A$1048,0),MATCH(Y$3&amp;"",PQ_Juli!$B$1:$AF$1&amp;"",0)),0)</f>
        <v>0</v>
      </c>
      <c r="Z82" s="11"/>
      <c r="AA82" s="10" cm="1">
        <f t="array" ref="AA82">IFERROR(INDEX(PQ_Juli!$B$2:$AF$1048,MATCH($C82,PQ_Juli!$A$2:$A$1048,0),MATCH(AA$3&amp;"",PQ_Juli!$B$1:$AF$1&amp;"",0)),0)</f>
        <v>0</v>
      </c>
      <c r="AB82" s="10" cm="1">
        <f t="array" ref="AB82">IFERROR(INDEX(PQ_Juli!$B$2:$AF$1048,MATCH($C82,PQ_Juli!$A$2:$A$1048,0),MATCH(AB$3&amp;"",PQ_Juli!$B$1:$AF$1&amp;"",0)),0)</f>
        <v>0</v>
      </c>
      <c r="AC82" s="10" cm="1">
        <f t="array" ref="AC82">IFERROR(INDEX(PQ_Juli!$B$2:$AF$1048,MATCH($C82,PQ_Juli!$A$2:$A$1048,0),MATCH(AC$3&amp;"",PQ_Juli!$B$1:$AF$1&amp;"",0)),0)</f>
        <v>0</v>
      </c>
      <c r="AD82" s="10" cm="1">
        <f t="array" ref="AD82">IFERROR(INDEX(PQ_Juli!$B$2:$AF$1048,MATCH($C82,PQ_Juli!$A$2:$A$1048,0),MATCH(AD$3&amp;"",PQ_Juli!$B$1:$AF$1&amp;"",0)),0)</f>
        <v>0</v>
      </c>
      <c r="AE82" s="10" cm="1">
        <f t="array" ref="AE82">IFERROR(INDEX(PQ_Juli!$B$2:$AF$1048,MATCH($C82,PQ_Juli!$A$2:$A$1048,0),MATCH(AE$3&amp;"",PQ_Juli!$B$1:$AF$1&amp;"",0)),0)</f>
        <v>0</v>
      </c>
      <c r="AF82" s="10" cm="1">
        <f t="array" ref="AF82">IFERROR(INDEX(PQ_Juli!$B$2:$AF$1048,MATCH($C82,PQ_Juli!$A$2:$A$1048,0),MATCH(AF$3&amp;"",PQ_Juli!$B$1:$AF$1&amp;"",0)),0)</f>
        <v>0</v>
      </c>
      <c r="AG82" s="11"/>
      <c r="AH82" s="10" cm="1">
        <f t="array" ref="AH82">IFERROR(INDEX(PQ_Juli!$B$2:$AF$1048,MATCH($C82,PQ_Juli!$A$2:$A$1048,0),MATCH(AH$3&amp;"",PQ_Juli!$B$1:$AF$1&amp;"",0)),0)</f>
        <v>0</v>
      </c>
      <c r="AI82" s="10" cm="1">
        <f t="array" ref="AI82">IFERROR(INDEX(PQ_Juli!$B$2:$AF$1048,MATCH($C82,PQ_Juli!$A$2:$A$1048,0),MATCH(AI$3&amp;"",PQ_Juli!$B$1:$AF$1&amp;"",0)),0)</f>
        <v>0</v>
      </c>
      <c r="AJ82" s="10" cm="1">
        <f t="array" ref="AJ82">IFERROR(INDEX(PQ_Juli!$B$2:$AF$1048,MATCH($C82,PQ_Juli!$A$2:$A$1048,0),MATCH(AJ$3&amp;"",PQ_Juli!$B$1:$AF$1&amp;"",0)),0)</f>
        <v>0</v>
      </c>
      <c r="AK82" s="10" cm="1">
        <f t="array" ref="AK82">IFERROR(INDEX(PQ_Juli!$B$2:$AF$1048,MATCH($C82,PQ_Juli!$A$2:$A$1048,0),MATCH(AK$3&amp;"",PQ_Juli!$B$1:$AF$1&amp;"",0)),0)</f>
        <v>0</v>
      </c>
      <c r="AL82" s="10">
        <v>1</v>
      </c>
      <c r="AM82" s="13">
        <v>4</v>
      </c>
      <c r="AN82" s="14">
        <f t="shared" si="12"/>
        <v>12</v>
      </c>
      <c r="AO82" s="18" t="e">
        <f t="shared" si="10"/>
        <v>#REF!</v>
      </c>
      <c r="AP82" s="23">
        <v>20</v>
      </c>
      <c r="AQ82" s="23" t="s">
        <v>21</v>
      </c>
      <c r="AR82" s="92"/>
      <c r="AS82" s="29"/>
      <c r="AT82" s="92"/>
      <c r="AU82" s="29"/>
      <c r="AV82" s="92"/>
      <c r="AW82" s="92"/>
      <c r="AX82" s="29">
        <f t="shared" si="13"/>
        <v>0</v>
      </c>
      <c r="AY82" s="29">
        <f t="shared" si="14"/>
        <v>0</v>
      </c>
      <c r="AZ82" s="18">
        <f t="shared" si="15"/>
        <v>0</v>
      </c>
      <c r="BA82" s="18" t="e">
        <f t="shared" si="11"/>
        <v>#REF!</v>
      </c>
      <c r="BB82" s="21"/>
      <c r="BC82" s="30"/>
      <c r="BD82" s="30"/>
      <c r="BE82" s="30"/>
      <c r="BF82" s="30"/>
      <c r="BN82" s="41">
        <v>53</v>
      </c>
    </row>
    <row r="83" spans="1:66" ht="22.5" customHeight="1">
      <c r="A83" s="262" t="e">
        <f t="shared" si="16"/>
        <v>#REF!</v>
      </c>
      <c r="B83" s="263"/>
      <c r="C83" s="77" t="s">
        <v>61</v>
      </c>
      <c r="D83" s="75">
        <v>60</v>
      </c>
      <c r="E83" s="75">
        <v>3</v>
      </c>
      <c r="F83" s="75">
        <v>3</v>
      </c>
      <c r="G83" s="41" t="e">
        <f>#REF!</f>
        <v>#REF!</v>
      </c>
      <c r="H83" s="10">
        <v>2</v>
      </c>
      <c r="I83" s="10" cm="1">
        <f t="array" ref="I83">IFERROR(INDEX(PQ_Juli!$B$2:$AF$1048,MATCH($C83,PQ_Juli!$A$2:$A$1048,0),MATCH(I$3&amp;"",PQ_Juli!$B$1:$AF$1&amp;"",0)),0)</f>
        <v>0</v>
      </c>
      <c r="J83" s="10">
        <v>2</v>
      </c>
      <c r="K83" s="10">
        <v>0</v>
      </c>
      <c r="L83" s="11"/>
      <c r="M83" s="10">
        <v>1</v>
      </c>
      <c r="N83" s="10" cm="1">
        <f t="array" ref="N83">IFERROR(INDEX(PQ_Juli!$B$2:$AF$1048,MATCH($C83,PQ_Juli!$A$2:$A$1048,0),MATCH(N$3&amp;"",PQ_Juli!$B$1:$AF$1&amp;"",0)),0)</f>
        <v>5</v>
      </c>
      <c r="O83" s="10" cm="1">
        <f t="array" ref="O83">IFERROR(INDEX(PQ_Juli!$B$2:$AF$1048,MATCH($C83,PQ_Juli!$A$2:$A$1048,0),MATCH(O$3&amp;"",PQ_Juli!$B$1:$AF$1&amp;"",0)),0)</f>
        <v>1</v>
      </c>
      <c r="P83" s="10" cm="1">
        <f t="array" ref="P83">IFERROR(INDEX(PQ_Juli!$B$2:$AF$1048,MATCH($C83,PQ_Juli!$A$2:$A$1048,0),MATCH(P$3&amp;"",PQ_Juli!$B$1:$AF$1&amp;"",0)),0)</f>
        <v>0</v>
      </c>
      <c r="Q83" s="10" cm="1">
        <f t="array" ref="Q83">IFERROR(INDEX(PQ_Juli!$B$2:$AF$1048,MATCH($C83,PQ_Juli!$A$2:$A$1048,0),MATCH(Q$3&amp;"",PQ_Juli!$B$1:$AF$1&amp;"",0)),0)</f>
        <v>1</v>
      </c>
      <c r="R83" s="10" cm="1">
        <f t="array" ref="R83">IFERROR(INDEX(PQ_Juli!$B$2:$AF$1048,MATCH($C83,PQ_Juli!$A$2:$A$1048,0),MATCH(R$3&amp;"",PQ_Juli!$B$1:$AF$1&amp;"",0)),0)</f>
        <v>1</v>
      </c>
      <c r="S83" s="11"/>
      <c r="T83" s="10" cm="1">
        <f t="array" ref="T83">IFERROR(INDEX(PQ_Juli!$B$2:$AF$1048,MATCH($C83,PQ_Juli!$A$2:$A$1048,0),MATCH(T$3&amp;"",PQ_Juli!$B$1:$AF$1&amp;"",0)),0)</f>
        <v>4</v>
      </c>
      <c r="U83" s="10" cm="1">
        <f t="array" ref="U83">IFERROR(INDEX(PQ_Juli!$B$2:$AF$1048,MATCH($C83,PQ_Juli!$A$2:$A$1048,0),MATCH(U$3&amp;"",PQ_Juli!$B$1:$AF$1&amp;"",0)),0)</f>
        <v>0</v>
      </c>
      <c r="V83" s="10" cm="1">
        <f t="array" ref="V83">IFERROR(INDEX(PQ_Juli!$B$2:$AF$1048,MATCH($C83,PQ_Juli!$A$2:$A$1048,0),MATCH(V$3&amp;"",PQ_Juli!$B$1:$AF$1&amp;"",0)),0)</f>
        <v>1</v>
      </c>
      <c r="W83" s="10" cm="1">
        <f t="array" ref="W83">IFERROR(INDEX(PQ_Juli!$B$2:$AF$1048,MATCH($C83,PQ_Juli!$A$2:$A$1048,0),MATCH(W$3&amp;"",PQ_Juli!$B$1:$AF$1&amp;"",0)),0)</f>
        <v>2</v>
      </c>
      <c r="X83" s="10" cm="1">
        <f t="array" ref="X83">IFERROR(INDEX(PQ_Juli!$B$2:$AF$1048,MATCH($C83,PQ_Juli!$A$2:$A$1048,0),MATCH(X$3&amp;"",PQ_Juli!$B$1:$AF$1&amp;"",0)),0)</f>
        <v>0</v>
      </c>
      <c r="Y83" s="10" cm="1">
        <f t="array" ref="Y83">IFERROR(INDEX(PQ_Juli!$B$2:$AF$1048,MATCH($C83,PQ_Juli!$A$2:$A$1048,0),MATCH(Y$3&amp;"",PQ_Juli!$B$1:$AF$1&amp;"",0)),0)</f>
        <v>0</v>
      </c>
      <c r="Z83" s="11"/>
      <c r="AA83" s="10" cm="1">
        <f t="array" ref="AA83">IFERROR(INDEX(PQ_Juli!$B$2:$AF$1048,MATCH($C83,PQ_Juli!$A$2:$A$1048,0),MATCH(AA$3&amp;"",PQ_Juli!$B$1:$AF$1&amp;"",0)),0)</f>
        <v>3</v>
      </c>
      <c r="AB83" s="10" cm="1">
        <f t="array" ref="AB83">IFERROR(INDEX(PQ_Juli!$B$2:$AF$1048,MATCH($C83,PQ_Juli!$A$2:$A$1048,0),MATCH(AB$3&amp;"",PQ_Juli!$B$1:$AF$1&amp;"",0)),0)</f>
        <v>0</v>
      </c>
      <c r="AC83" s="10" cm="1">
        <f t="array" ref="AC83">IFERROR(INDEX(PQ_Juli!$B$2:$AF$1048,MATCH($C83,PQ_Juli!$A$2:$A$1048,0),MATCH(AC$3&amp;"",PQ_Juli!$B$1:$AF$1&amp;"",0)),0)</f>
        <v>0</v>
      </c>
      <c r="AD83" s="10" cm="1">
        <f t="array" ref="AD83">IFERROR(INDEX(PQ_Juli!$B$2:$AF$1048,MATCH($C83,PQ_Juli!$A$2:$A$1048,0),MATCH(AD$3&amp;"",PQ_Juli!$B$1:$AF$1&amp;"",0)),0)</f>
        <v>0</v>
      </c>
      <c r="AE83" s="10" cm="1">
        <f t="array" ref="AE83">IFERROR(INDEX(PQ_Juli!$B$2:$AF$1048,MATCH($C83,PQ_Juli!$A$2:$A$1048,0),MATCH(AE$3&amp;"",PQ_Juli!$B$1:$AF$1&amp;"",0)),0)</f>
        <v>0</v>
      </c>
      <c r="AF83" s="10" cm="1">
        <f t="array" ref="AF83">IFERROR(INDEX(PQ_Juli!$B$2:$AF$1048,MATCH($C83,PQ_Juli!$A$2:$A$1048,0),MATCH(AF$3&amp;"",PQ_Juli!$B$1:$AF$1&amp;"",0)),0)</f>
        <v>0</v>
      </c>
      <c r="AG83" s="11"/>
      <c r="AH83" s="10" cm="1">
        <f t="array" ref="AH83">IFERROR(INDEX(PQ_Juli!$B$2:$AF$1048,MATCH($C83,PQ_Juli!$A$2:$A$1048,0),MATCH(AH$3&amp;"",PQ_Juli!$B$1:$AF$1&amp;"",0)),0)</f>
        <v>0</v>
      </c>
      <c r="AI83" s="10">
        <v>5</v>
      </c>
      <c r="AJ83" s="10" cm="1">
        <f t="array" ref="AJ83">IFERROR(INDEX(PQ_Juli!$B$2:$AF$1048,MATCH($C83,PQ_Juli!$A$2:$A$1048,0),MATCH(AJ$3&amp;"",PQ_Juli!$B$1:$AF$1&amp;"",0)),0)</f>
        <v>1</v>
      </c>
      <c r="AK83" s="10" cm="1">
        <f t="array" ref="AK83">IFERROR(INDEX(PQ_Juli!$B$2:$AF$1048,MATCH($C83,PQ_Juli!$A$2:$A$1048,0),MATCH(AK$3&amp;"",PQ_Juli!$B$1:$AF$1&amp;"",0)),0)</f>
        <v>0</v>
      </c>
      <c r="AL83" s="10" cm="1">
        <f t="array" ref="AL83">IFERROR(INDEX(PQ_Juli!$B$2:$AF$1048,MATCH($C83,PQ_Juli!$A$2:$A$1048,0),MATCH(AL$3&amp;"",PQ_Juli!$B$1:$AF$1&amp;"",0)),0)</f>
        <v>1</v>
      </c>
      <c r="AM83" s="13">
        <v>4</v>
      </c>
      <c r="AN83" s="14">
        <f t="shared" si="12"/>
        <v>34</v>
      </c>
      <c r="AO83" s="18" t="e">
        <f t="shared" si="10"/>
        <v>#REF!</v>
      </c>
      <c r="AP83" s="23">
        <v>25</v>
      </c>
      <c r="AQ83" s="23" t="s">
        <v>21</v>
      </c>
      <c r="AR83" s="92">
        <v>46219</v>
      </c>
      <c r="AS83" s="29">
        <v>1</v>
      </c>
      <c r="AT83" s="92"/>
      <c r="AU83" s="29"/>
      <c r="AV83" s="92">
        <v>46223</v>
      </c>
      <c r="AW83" s="92"/>
      <c r="AX83" s="29">
        <f t="shared" si="13"/>
        <v>60</v>
      </c>
      <c r="AY83" s="29">
        <f t="shared" si="14"/>
        <v>0</v>
      </c>
      <c r="AZ83" s="18">
        <f t="shared" si="15"/>
        <v>60</v>
      </c>
      <c r="BA83" s="18" t="e">
        <f t="shared" si="11"/>
        <v>#REF!</v>
      </c>
      <c r="BB83" s="21"/>
      <c r="BC83" s="30"/>
      <c r="BD83" s="30"/>
      <c r="BE83" s="30"/>
      <c r="BF83" s="30"/>
      <c r="BN83" s="41">
        <v>26</v>
      </c>
    </row>
    <row r="84" spans="1:66" ht="22.5" customHeight="1">
      <c r="A84" s="260" t="e">
        <f t="shared" si="16"/>
        <v>#REF!</v>
      </c>
      <c r="B84" s="261"/>
      <c r="C84" s="77" t="s">
        <v>62</v>
      </c>
      <c r="D84" s="75">
        <v>25</v>
      </c>
      <c r="E84" s="75">
        <v>2</v>
      </c>
      <c r="F84" s="75">
        <v>1</v>
      </c>
      <c r="G84" s="41" t="e">
        <f>#REF!</f>
        <v>#REF!</v>
      </c>
      <c r="H84" s="10" cm="1">
        <f t="array" ref="H84">IFERROR(INDEX(PQ_Juli!$B$2:$AF$1048,MATCH($C84,PQ_Juli!$A$2:$A$1048,0),MATCH(H$3&amp;"",PQ_Juli!$B$1:$AF$1&amp;"",0)),0)</f>
        <v>0</v>
      </c>
      <c r="I84" s="10" cm="1">
        <f t="array" ref="I84">IFERROR(INDEX(PQ_Juli!$B$2:$AF$1048,MATCH($C84,PQ_Juli!$A$2:$A$1048,0),MATCH(I$3&amp;"",PQ_Juli!$B$1:$AF$1&amp;"",0)),0)</f>
        <v>0</v>
      </c>
      <c r="J84" s="10" cm="1">
        <f t="array" ref="J84">IFERROR(INDEX(PQ_Juli!$B$2:$AF$1048,MATCH($C84,PQ_Juli!$A$2:$A$1048,0),MATCH(J$3&amp;"",PQ_Juli!$B$1:$AF$1&amp;"",0)),0)</f>
        <v>0</v>
      </c>
      <c r="K84" s="10" cm="1">
        <f t="array" ref="K84">IFERROR(INDEX(PQ_Juli!$B$2:$AF$1048,MATCH($C84,PQ_Juli!$A$2:$A$1048,0),MATCH(K$3&amp;"",PQ_Juli!$B$1:$AF$1&amp;"",0)),0)</f>
        <v>0</v>
      </c>
      <c r="L84" s="11"/>
      <c r="M84" s="10" cm="1">
        <f t="array" ref="M84">IFERROR(INDEX(PQ_Juli!$B$2:$AF$1048,MATCH($C84,PQ_Juli!$A$2:$A$1048,0),MATCH(M$3&amp;"",PQ_Juli!$B$1:$AF$1&amp;"",0)),0)</f>
        <v>0</v>
      </c>
      <c r="N84" s="10" cm="1">
        <f t="array" ref="N84">IFERROR(INDEX(PQ_Juli!$B$2:$AF$1048,MATCH($C84,PQ_Juli!$A$2:$A$1048,0),MATCH(N$3&amp;"",PQ_Juli!$B$1:$AF$1&amp;"",0)),0)</f>
        <v>0</v>
      </c>
      <c r="O84" s="10" cm="1">
        <f t="array" ref="O84">IFERROR(INDEX(PQ_Juli!$B$2:$AF$1048,MATCH($C84,PQ_Juli!$A$2:$A$1048,0),MATCH(O$3&amp;"",PQ_Juli!$B$1:$AF$1&amp;"",0)),0)</f>
        <v>0</v>
      </c>
      <c r="P84" s="10" cm="1">
        <f t="array" ref="P84">IFERROR(INDEX(PQ_Juli!$B$2:$AF$1048,MATCH($C84,PQ_Juli!$A$2:$A$1048,0),MATCH(P$3&amp;"",PQ_Juli!$B$1:$AF$1&amp;"",0)),0)</f>
        <v>0</v>
      </c>
      <c r="Q84" s="10" cm="1">
        <f t="array" ref="Q84">IFERROR(INDEX(PQ_Juli!$B$2:$AF$1048,MATCH($C84,PQ_Juli!$A$2:$A$1048,0),MATCH(Q$3&amp;"",PQ_Juli!$B$1:$AF$1&amp;"",0)),0)</f>
        <v>0</v>
      </c>
      <c r="R84" s="10" cm="1">
        <f t="array" ref="R84">IFERROR(INDEX(PQ_Juli!$B$2:$AF$1048,MATCH($C84,PQ_Juli!$A$2:$A$1048,0),MATCH(R$3&amp;"",PQ_Juli!$B$1:$AF$1&amp;"",0)),0)</f>
        <v>1</v>
      </c>
      <c r="S84" s="11"/>
      <c r="T84" s="10" cm="1">
        <f t="array" ref="T84">IFERROR(INDEX(PQ_Juli!$B$2:$AF$1048,MATCH($C84,PQ_Juli!$A$2:$A$1048,0),MATCH(T$3&amp;"",PQ_Juli!$B$1:$AF$1&amp;"",0)),0)</f>
        <v>0</v>
      </c>
      <c r="U84" s="10" cm="1">
        <f t="array" ref="U84">IFERROR(INDEX(PQ_Juli!$B$2:$AF$1048,MATCH($C84,PQ_Juli!$A$2:$A$1048,0),MATCH(U$3&amp;"",PQ_Juli!$B$1:$AF$1&amp;"",0)),0)</f>
        <v>0</v>
      </c>
      <c r="V84" s="10" cm="1">
        <f t="array" ref="V84">IFERROR(INDEX(PQ_Juli!$B$2:$AF$1048,MATCH($C84,PQ_Juli!$A$2:$A$1048,0),MATCH(V$3&amp;"",PQ_Juli!$B$1:$AF$1&amp;"",0)),0)</f>
        <v>1</v>
      </c>
      <c r="W84" s="10" cm="1">
        <f t="array" ref="W84">IFERROR(INDEX(PQ_Juli!$B$2:$AF$1048,MATCH($C84,PQ_Juli!$A$2:$A$1048,0),MATCH(W$3&amp;"",PQ_Juli!$B$1:$AF$1&amp;"",0)),0)</f>
        <v>0</v>
      </c>
      <c r="X84" s="10" cm="1">
        <f t="array" ref="X84">IFERROR(INDEX(PQ_Juli!$B$2:$AF$1048,MATCH($C84,PQ_Juli!$A$2:$A$1048,0),MATCH(X$3&amp;"",PQ_Juli!$B$1:$AF$1&amp;"",0)),0)</f>
        <v>0</v>
      </c>
      <c r="Y84" s="10" cm="1">
        <f t="array" ref="Y84">IFERROR(INDEX(PQ_Juli!$B$2:$AF$1048,MATCH($C84,PQ_Juli!$A$2:$A$1048,0),MATCH(Y$3&amp;"",PQ_Juli!$B$1:$AF$1&amp;"",0)),0)</f>
        <v>0</v>
      </c>
      <c r="Z84" s="11"/>
      <c r="AA84" s="10" cm="1">
        <f t="array" ref="AA84">IFERROR(INDEX(PQ_Juli!$B$2:$AF$1048,MATCH($C84,PQ_Juli!$A$2:$A$1048,0),MATCH(AA$3&amp;"",PQ_Juli!$B$1:$AF$1&amp;"",0)),0)</f>
        <v>1</v>
      </c>
      <c r="AB84" s="10" cm="1">
        <f t="array" ref="AB84">IFERROR(INDEX(PQ_Juli!$B$2:$AF$1048,MATCH($C84,PQ_Juli!$A$2:$A$1048,0),MATCH(AB$3&amp;"",PQ_Juli!$B$1:$AF$1&amp;"",0)),0)</f>
        <v>1</v>
      </c>
      <c r="AC84" s="10" cm="1">
        <f t="array" ref="AC84">IFERROR(INDEX(PQ_Juli!$B$2:$AF$1048,MATCH($C84,PQ_Juli!$A$2:$A$1048,0),MATCH(AC$3&amp;"",PQ_Juli!$B$1:$AF$1&amp;"",0)),0)</f>
        <v>0</v>
      </c>
      <c r="AD84" s="10" cm="1">
        <f t="array" ref="AD84">IFERROR(INDEX(PQ_Juli!$B$2:$AF$1048,MATCH($C84,PQ_Juli!$A$2:$A$1048,0),MATCH(AD$3&amp;"",PQ_Juli!$B$1:$AF$1&amp;"",0)),0)</f>
        <v>0</v>
      </c>
      <c r="AE84" s="10" cm="1">
        <f t="array" ref="AE84">IFERROR(INDEX(PQ_Juli!$B$2:$AF$1048,MATCH($C84,PQ_Juli!$A$2:$A$1048,0),MATCH(AE$3&amp;"",PQ_Juli!$B$1:$AF$1&amp;"",0)),0)</f>
        <v>1</v>
      </c>
      <c r="AF84" s="10" cm="1">
        <f t="array" ref="AF84">IFERROR(INDEX(PQ_Juli!$B$2:$AF$1048,MATCH($C84,PQ_Juli!$A$2:$A$1048,0),MATCH(AF$3&amp;"",PQ_Juli!$B$1:$AF$1&amp;"",0)),0)</f>
        <v>0</v>
      </c>
      <c r="AG84" s="11"/>
      <c r="AH84" s="10" cm="1">
        <f t="array" ref="AH84">IFERROR(INDEX(PQ_Juli!$B$2:$AF$1048,MATCH($C84,PQ_Juli!$A$2:$A$1048,0),MATCH(AH$3&amp;"",PQ_Juli!$B$1:$AF$1&amp;"",0)),0)</f>
        <v>1</v>
      </c>
      <c r="AI84" s="10" cm="1">
        <f t="array" ref="AI84">IFERROR(INDEX(PQ_Juli!$B$2:$AF$1048,MATCH($C84,PQ_Juli!$A$2:$A$1048,0),MATCH(AI$3&amp;"",PQ_Juli!$B$1:$AF$1&amp;"",0)),0)</f>
        <v>0</v>
      </c>
      <c r="AJ84" s="10" cm="1">
        <f t="array" ref="AJ84">IFERROR(INDEX(PQ_Juli!$B$2:$AF$1048,MATCH($C84,PQ_Juli!$A$2:$A$1048,0),MATCH(AJ$3&amp;"",PQ_Juli!$B$1:$AF$1&amp;"",0)),0)</f>
        <v>0</v>
      </c>
      <c r="AK84" s="10" cm="1">
        <f t="array" ref="AK84">IFERROR(INDEX(PQ_Juli!$B$2:$AF$1048,MATCH($C84,PQ_Juli!$A$2:$A$1048,0),MATCH(AK$3&amp;"",PQ_Juli!$B$1:$AF$1&amp;"",0)),0)</f>
        <v>0</v>
      </c>
      <c r="AL84" s="10" cm="1">
        <f t="array" ref="AL84">IFERROR(INDEX(PQ_Juli!$B$2:$AF$1048,MATCH($C84,PQ_Juli!$A$2:$A$1048,0),MATCH(AL$3&amp;"",PQ_Juli!$B$1:$AF$1&amp;"",0)),0)</f>
        <v>0</v>
      </c>
      <c r="AM84" s="13"/>
      <c r="AN84" s="14">
        <f t="shared" si="12"/>
        <v>6</v>
      </c>
      <c r="AO84" s="18" t="e">
        <f t="shared" si="10"/>
        <v>#REF!</v>
      </c>
      <c r="AP84" s="23">
        <v>10</v>
      </c>
      <c r="AQ84" s="23" t="s">
        <v>21</v>
      </c>
      <c r="AR84" s="92"/>
      <c r="AS84" s="29"/>
      <c r="AT84" s="92"/>
      <c r="AU84" s="29"/>
      <c r="AV84" s="92"/>
      <c r="AW84" s="92"/>
      <c r="AX84" s="29">
        <f t="shared" si="13"/>
        <v>0</v>
      </c>
      <c r="AY84" s="29">
        <f t="shared" si="14"/>
        <v>0</v>
      </c>
      <c r="AZ84" s="18">
        <f t="shared" si="15"/>
        <v>0</v>
      </c>
      <c r="BA84" s="18" t="e">
        <f t="shared" si="11"/>
        <v>#REF!</v>
      </c>
      <c r="BB84" s="21"/>
      <c r="BC84" s="30"/>
      <c r="BD84" s="30"/>
      <c r="BE84" s="30"/>
      <c r="BF84" s="30"/>
      <c r="BN84" s="41">
        <v>40</v>
      </c>
    </row>
    <row r="85" spans="1:66" ht="22.5" customHeight="1">
      <c r="A85" s="262" t="e">
        <f t="shared" si="16"/>
        <v>#REF!</v>
      </c>
      <c r="B85" s="263"/>
      <c r="C85" s="77" t="s">
        <v>83</v>
      </c>
      <c r="D85" s="75">
        <v>25</v>
      </c>
      <c r="E85" s="75">
        <v>5</v>
      </c>
      <c r="F85" s="75"/>
      <c r="G85" s="41" t="e">
        <f>#REF!</f>
        <v>#REF!</v>
      </c>
      <c r="H85" s="10" cm="1">
        <f t="array" ref="H85">IFERROR(INDEX(PQ_Juli!$B$2:$AF$1048,MATCH($C85,PQ_Juli!$A$2:$A$1048,0),MATCH(H$3&amp;"",PQ_Juli!$B$1:$AF$1&amp;"",0)),0)</f>
        <v>0</v>
      </c>
      <c r="I85" s="10" cm="1">
        <f t="array" ref="I85">IFERROR(INDEX(PQ_Juli!$B$2:$AF$1048,MATCH($C85,PQ_Juli!$A$2:$A$1048,0),MATCH(I$3&amp;"",PQ_Juli!$B$1:$AF$1&amp;"",0)),0)</f>
        <v>0</v>
      </c>
      <c r="J85" s="10" cm="1">
        <f t="array" ref="J85">IFERROR(INDEX(PQ_Juli!$B$2:$AF$1048,MATCH($C85,PQ_Juli!$A$2:$A$1048,0),MATCH(J$3&amp;"",PQ_Juli!$B$1:$AF$1&amp;"",0)),0)</f>
        <v>0</v>
      </c>
      <c r="K85" s="10" cm="1">
        <f t="array" ref="K85">IFERROR(INDEX(PQ_Juli!$B$2:$AF$1048,MATCH($C85,PQ_Juli!$A$2:$A$1048,0),MATCH(K$3&amp;"",PQ_Juli!$B$1:$AF$1&amp;"",0)),0)</f>
        <v>0</v>
      </c>
      <c r="L85" s="11"/>
      <c r="M85" s="10" cm="1">
        <f t="array" ref="M85">IFERROR(INDEX(PQ_Juli!$B$2:$AF$1048,MATCH($C85,PQ_Juli!$A$2:$A$1048,0),MATCH(M$3&amp;"",PQ_Juli!$B$1:$AF$1&amp;"",0)),0)</f>
        <v>0</v>
      </c>
      <c r="N85" s="10" cm="1">
        <f t="array" ref="N85">IFERROR(INDEX(PQ_Juli!$B$2:$AF$1048,MATCH($C85,PQ_Juli!$A$2:$A$1048,0),MATCH(N$3&amp;"",PQ_Juli!$B$1:$AF$1&amp;"",0)),0)</f>
        <v>0</v>
      </c>
      <c r="O85" s="10" cm="1">
        <f t="array" ref="O85">IFERROR(INDEX(PQ_Juli!$B$2:$AF$1048,MATCH($C85,PQ_Juli!$A$2:$A$1048,0),MATCH(O$3&amp;"",PQ_Juli!$B$1:$AF$1&amp;"",0)),0)</f>
        <v>0</v>
      </c>
      <c r="P85" s="10" cm="1">
        <f t="array" ref="P85">IFERROR(INDEX(PQ_Juli!$B$2:$AF$1048,MATCH($C85,PQ_Juli!$A$2:$A$1048,0),MATCH(P$3&amp;"",PQ_Juli!$B$1:$AF$1&amp;"",0)),0)</f>
        <v>0</v>
      </c>
      <c r="Q85" s="10" cm="1">
        <f t="array" ref="Q85">IFERROR(INDEX(PQ_Juli!$B$2:$AF$1048,MATCH($C85,PQ_Juli!$A$2:$A$1048,0),MATCH(Q$3&amp;"",PQ_Juli!$B$1:$AF$1&amp;"",0)),0)</f>
        <v>0</v>
      </c>
      <c r="R85" s="10" cm="1">
        <f t="array" ref="R85">IFERROR(INDEX(PQ_Juli!$B$2:$AF$1048,MATCH($C85,PQ_Juli!$A$2:$A$1048,0),MATCH(R$3&amp;"",PQ_Juli!$B$1:$AF$1&amp;"",0)),0)</f>
        <v>1</v>
      </c>
      <c r="S85" s="11"/>
      <c r="T85" s="10" cm="1">
        <f t="array" ref="T85">IFERROR(INDEX(PQ_Juli!$B$2:$AF$1048,MATCH($C85,PQ_Juli!$A$2:$A$1048,0),MATCH(T$3&amp;"",PQ_Juli!$B$1:$AF$1&amp;"",0)),0)</f>
        <v>0</v>
      </c>
      <c r="U85" s="10" cm="1">
        <f t="array" ref="U85">IFERROR(INDEX(PQ_Juli!$B$2:$AF$1048,MATCH($C85,PQ_Juli!$A$2:$A$1048,0),MATCH(U$3&amp;"",PQ_Juli!$B$1:$AF$1&amp;"",0)),0)</f>
        <v>0</v>
      </c>
      <c r="V85" s="10" cm="1">
        <f t="array" ref="V85">IFERROR(INDEX(PQ_Juli!$B$2:$AF$1048,MATCH($C85,PQ_Juli!$A$2:$A$1048,0),MATCH(V$3&amp;"",PQ_Juli!$B$1:$AF$1&amp;"",0)),0)</f>
        <v>1</v>
      </c>
      <c r="W85" s="10" cm="1">
        <f t="array" ref="W85">IFERROR(INDEX(PQ_Juli!$B$2:$AF$1048,MATCH($C85,PQ_Juli!$A$2:$A$1048,0),MATCH(W$3&amp;"",PQ_Juli!$B$1:$AF$1&amp;"",0)),0)</f>
        <v>0</v>
      </c>
      <c r="X85" s="10" cm="1">
        <f t="array" ref="X85">IFERROR(INDEX(PQ_Juli!$B$2:$AF$1048,MATCH($C85,PQ_Juli!$A$2:$A$1048,0),MATCH(X$3&amp;"",PQ_Juli!$B$1:$AF$1&amp;"",0)),0)</f>
        <v>1</v>
      </c>
      <c r="Y85" s="10" cm="1">
        <f t="array" ref="Y85">IFERROR(INDEX(PQ_Juli!$B$2:$AF$1048,MATCH($C85,PQ_Juli!$A$2:$A$1048,0),MATCH(Y$3&amp;"",PQ_Juli!$B$1:$AF$1&amp;"",0)),0)</f>
        <v>1</v>
      </c>
      <c r="Z85" s="11"/>
      <c r="AA85" s="10" cm="1">
        <f t="array" ref="AA85">IFERROR(INDEX(PQ_Juli!$B$2:$AF$1048,MATCH($C85,PQ_Juli!$A$2:$A$1048,0),MATCH(AA$3&amp;"",PQ_Juli!$B$1:$AF$1&amp;"",0)),0)</f>
        <v>0</v>
      </c>
      <c r="AB85" s="10" cm="1">
        <f t="array" ref="AB85">IFERROR(INDEX(PQ_Juli!$B$2:$AF$1048,MATCH($C85,PQ_Juli!$A$2:$A$1048,0),MATCH(AB$3&amp;"",PQ_Juli!$B$1:$AF$1&amp;"",0)),0)</f>
        <v>0</v>
      </c>
      <c r="AC85" s="10" cm="1">
        <f t="array" ref="AC85">IFERROR(INDEX(PQ_Juli!$B$2:$AF$1048,MATCH($C85,PQ_Juli!$A$2:$A$1048,0),MATCH(AC$3&amp;"",PQ_Juli!$B$1:$AF$1&amp;"",0)),0)</f>
        <v>1</v>
      </c>
      <c r="AD85" s="10" cm="1">
        <f t="array" ref="AD85">IFERROR(INDEX(PQ_Juli!$B$2:$AF$1048,MATCH($C85,PQ_Juli!$A$2:$A$1048,0),MATCH(AD$3&amp;"",PQ_Juli!$B$1:$AF$1&amp;"",0)),0)</f>
        <v>0</v>
      </c>
      <c r="AE85" s="10" cm="1">
        <f t="array" ref="AE85">IFERROR(INDEX(PQ_Juli!$B$2:$AF$1048,MATCH($C85,PQ_Juli!$A$2:$A$1048,0),MATCH(AE$3&amp;"",PQ_Juli!$B$1:$AF$1&amp;"",0)),0)</f>
        <v>0</v>
      </c>
      <c r="AF85" s="10" cm="1">
        <f t="array" ref="AF85">IFERROR(INDEX(PQ_Juli!$B$2:$AF$1048,MATCH($C85,PQ_Juli!$A$2:$A$1048,0),MATCH(AF$3&amp;"",PQ_Juli!$B$1:$AF$1&amp;"",0)),0)</f>
        <v>0</v>
      </c>
      <c r="AG85" s="11"/>
      <c r="AH85" s="10" cm="1">
        <f t="array" ref="AH85">IFERROR(INDEX(PQ_Juli!$B$2:$AF$1048,MATCH($C85,PQ_Juli!$A$2:$A$1048,0),MATCH(AH$3&amp;"",PQ_Juli!$B$1:$AF$1&amp;"",0)),0)</f>
        <v>0</v>
      </c>
      <c r="AI85" s="10" cm="1">
        <f t="array" ref="AI85">IFERROR(INDEX(PQ_Juli!$B$2:$AF$1048,MATCH($C85,PQ_Juli!$A$2:$A$1048,0),MATCH(AI$3&amp;"",PQ_Juli!$B$1:$AF$1&amp;"",0)),0)</f>
        <v>0</v>
      </c>
      <c r="AJ85" s="10" cm="1">
        <f t="array" ref="AJ85">IFERROR(INDEX(PQ_Juli!$B$2:$AF$1048,MATCH($C85,PQ_Juli!$A$2:$A$1048,0),MATCH(AJ$3&amp;"",PQ_Juli!$B$1:$AF$1&amp;"",0)),0)</f>
        <v>0</v>
      </c>
      <c r="AK85" s="10" cm="1">
        <f t="array" ref="AK85">IFERROR(INDEX(PQ_Juli!$B$2:$AF$1048,MATCH($C85,PQ_Juli!$A$2:$A$1048,0),MATCH(AK$3&amp;"",PQ_Juli!$B$1:$AF$1&amp;"",0)),0)</f>
        <v>0</v>
      </c>
      <c r="AL85" s="10" cm="1">
        <f t="array" ref="AL85">IFERROR(INDEX(PQ_Juli!$B$2:$AF$1048,MATCH($C85,PQ_Juli!$A$2:$A$1048,0),MATCH(AL$3&amp;"",PQ_Juli!$B$1:$AF$1&amp;"",0)),0)</f>
        <v>0</v>
      </c>
      <c r="AM85" s="13"/>
      <c r="AN85" s="14">
        <f t="shared" si="12"/>
        <v>5</v>
      </c>
      <c r="AO85" s="18" t="e">
        <f t="shared" si="10"/>
        <v>#REF!</v>
      </c>
      <c r="AP85" s="23">
        <v>10</v>
      </c>
      <c r="AQ85" s="23" t="s">
        <v>21</v>
      </c>
      <c r="AR85" s="92"/>
      <c r="AS85" s="29"/>
      <c r="AT85" s="92"/>
      <c r="AU85" s="29"/>
      <c r="AV85" s="92"/>
      <c r="AW85" s="92"/>
      <c r="AX85" s="29">
        <f t="shared" si="13"/>
        <v>0</v>
      </c>
      <c r="AY85" s="29">
        <f t="shared" si="14"/>
        <v>0</v>
      </c>
      <c r="AZ85" s="18">
        <f t="shared" si="15"/>
        <v>0</v>
      </c>
      <c r="BA85" s="18" t="e">
        <f t="shared" si="11"/>
        <v>#REF!</v>
      </c>
      <c r="BB85" s="21"/>
      <c r="BC85" s="30"/>
      <c r="BD85" s="30"/>
      <c r="BE85" s="30"/>
      <c r="BF85" s="30"/>
      <c r="BN85" s="41">
        <v>9</v>
      </c>
    </row>
    <row r="86" spans="1:66" ht="22.5" customHeight="1">
      <c r="A86" s="262" t="e">
        <f t="shared" si="16"/>
        <v>#REF!</v>
      </c>
      <c r="B86" s="263"/>
      <c r="C86" s="77" t="s">
        <v>63</v>
      </c>
      <c r="D86" s="75">
        <v>25</v>
      </c>
      <c r="E86" s="75"/>
      <c r="F86" s="75"/>
      <c r="G86" s="41" t="e">
        <f>#REF!</f>
        <v>#REF!</v>
      </c>
      <c r="H86" s="10" cm="1">
        <f t="array" ref="H86">IFERROR(INDEX(PQ_Juli!$B$2:$AF$1048,MATCH($C86,PQ_Juli!$A$2:$A$1048,0),MATCH(H$3&amp;"",PQ_Juli!$B$1:$AF$1&amp;"",0)),0)</f>
        <v>0</v>
      </c>
      <c r="I86" s="10" cm="1">
        <f t="array" ref="I86">IFERROR(INDEX(PQ_Juli!$B$2:$AF$1048,MATCH($C86,PQ_Juli!$A$2:$A$1048,0),MATCH(I$3&amp;"",PQ_Juli!$B$1:$AF$1&amp;"",0)),0)</f>
        <v>0</v>
      </c>
      <c r="J86" s="10" cm="1">
        <f t="array" ref="J86">IFERROR(INDEX(PQ_Juli!$B$2:$AF$1048,MATCH($C86,PQ_Juli!$A$2:$A$1048,0),MATCH(J$3&amp;"",PQ_Juli!$B$1:$AF$1&amp;"",0)),0)</f>
        <v>0</v>
      </c>
      <c r="K86" s="10" cm="1">
        <f t="array" ref="K86">IFERROR(INDEX(PQ_Juli!$B$2:$AF$1048,MATCH($C86,PQ_Juli!$A$2:$A$1048,0),MATCH(K$3&amp;"",PQ_Juli!$B$1:$AF$1&amp;"",0)),0)</f>
        <v>0</v>
      </c>
      <c r="L86" s="11"/>
      <c r="M86" s="10" cm="1">
        <f t="array" ref="M86">IFERROR(INDEX(PQ_Juli!$B$2:$AF$1048,MATCH($C86,PQ_Juli!$A$2:$A$1048,0),MATCH(M$3&amp;"",PQ_Juli!$B$1:$AF$1&amp;"",0)),0)</f>
        <v>0</v>
      </c>
      <c r="N86" s="10" cm="1">
        <f t="array" ref="N86">IFERROR(INDEX(PQ_Juli!$B$2:$AF$1048,MATCH($C86,PQ_Juli!$A$2:$A$1048,0),MATCH(N$3&amp;"",PQ_Juli!$B$1:$AF$1&amp;"",0)),0)</f>
        <v>0</v>
      </c>
      <c r="O86" s="10" cm="1">
        <f t="array" ref="O86">IFERROR(INDEX(PQ_Juli!$B$2:$AF$1048,MATCH($C86,PQ_Juli!$A$2:$A$1048,0),MATCH(O$3&amp;"",PQ_Juli!$B$1:$AF$1&amp;"",0)),0)</f>
        <v>0</v>
      </c>
      <c r="P86" s="10" cm="1">
        <f t="array" ref="P86">IFERROR(INDEX(PQ_Juli!$B$2:$AF$1048,MATCH($C86,PQ_Juli!$A$2:$A$1048,0),MATCH(P$3&amp;"",PQ_Juli!$B$1:$AF$1&amp;"",0)),0)</f>
        <v>0</v>
      </c>
      <c r="Q86" s="10" cm="1">
        <f t="array" ref="Q86">IFERROR(INDEX(PQ_Juli!$B$2:$AF$1048,MATCH($C86,PQ_Juli!$A$2:$A$1048,0),MATCH(Q$3&amp;"",PQ_Juli!$B$1:$AF$1&amp;"",0)),0)</f>
        <v>0</v>
      </c>
      <c r="R86" s="10" cm="1">
        <f t="array" ref="R86">IFERROR(INDEX(PQ_Juli!$B$2:$AF$1048,MATCH($C86,PQ_Juli!$A$2:$A$1048,0),MATCH(R$3&amp;"",PQ_Juli!$B$1:$AF$1&amp;"",0)),0)</f>
        <v>0</v>
      </c>
      <c r="S86" s="11"/>
      <c r="T86" s="10" cm="1">
        <f t="array" ref="T86">IFERROR(INDEX(PQ_Juli!$B$2:$AF$1048,MATCH($C86,PQ_Juli!$A$2:$A$1048,0),MATCH(T$3&amp;"",PQ_Juli!$B$1:$AF$1&amp;"",0)),0)</f>
        <v>0</v>
      </c>
      <c r="U86" s="10" cm="1">
        <f t="array" ref="U86">IFERROR(INDEX(PQ_Juli!$B$2:$AF$1048,MATCH($C86,PQ_Juli!$A$2:$A$1048,0),MATCH(U$3&amp;"",PQ_Juli!$B$1:$AF$1&amp;"",0)),0)</f>
        <v>0</v>
      </c>
      <c r="V86" s="10" cm="1">
        <f t="array" ref="V86">IFERROR(INDEX(PQ_Juli!$B$2:$AF$1048,MATCH($C86,PQ_Juli!$A$2:$A$1048,0),MATCH(V$3&amp;"",PQ_Juli!$B$1:$AF$1&amp;"",0)),0)</f>
        <v>0</v>
      </c>
      <c r="W86" s="10" cm="1">
        <f t="array" ref="W86">IFERROR(INDEX(PQ_Juli!$B$2:$AF$1048,MATCH($C86,PQ_Juli!$A$2:$A$1048,0),MATCH(W$3&amp;"",PQ_Juli!$B$1:$AF$1&amp;"",0)),0)</f>
        <v>0</v>
      </c>
      <c r="X86" s="10" cm="1">
        <f t="array" ref="X86">IFERROR(INDEX(PQ_Juli!$B$2:$AF$1048,MATCH($C86,PQ_Juli!$A$2:$A$1048,0),MATCH(X$3&amp;"",PQ_Juli!$B$1:$AF$1&amp;"",0)),0)</f>
        <v>0</v>
      </c>
      <c r="Y86" s="10" cm="1">
        <f t="array" ref="Y86">IFERROR(INDEX(PQ_Juli!$B$2:$AF$1048,MATCH($C86,PQ_Juli!$A$2:$A$1048,0),MATCH(Y$3&amp;"",PQ_Juli!$B$1:$AF$1&amp;"",0)),0)</f>
        <v>0</v>
      </c>
      <c r="Z86" s="11"/>
      <c r="AA86" s="10" cm="1">
        <f t="array" ref="AA86">IFERROR(INDEX(PQ_Juli!$B$2:$AF$1048,MATCH($C86,PQ_Juli!$A$2:$A$1048,0),MATCH(AA$3&amp;"",PQ_Juli!$B$1:$AF$1&amp;"",0)),0)</f>
        <v>0</v>
      </c>
      <c r="AB86" s="10" cm="1">
        <f t="array" ref="AB86">IFERROR(INDEX(PQ_Juli!$B$2:$AF$1048,MATCH($C86,PQ_Juli!$A$2:$A$1048,0),MATCH(AB$3&amp;"",PQ_Juli!$B$1:$AF$1&amp;"",0)),0)</f>
        <v>0</v>
      </c>
      <c r="AC86" s="10" cm="1">
        <f t="array" ref="AC86">IFERROR(INDEX(PQ_Juli!$B$2:$AF$1048,MATCH($C86,PQ_Juli!$A$2:$A$1048,0),MATCH(AC$3&amp;"",PQ_Juli!$B$1:$AF$1&amp;"",0)),0)</f>
        <v>0</v>
      </c>
      <c r="AD86" s="10" cm="1">
        <f t="array" ref="AD86">IFERROR(INDEX(PQ_Juli!$B$2:$AF$1048,MATCH($C86,PQ_Juli!$A$2:$A$1048,0),MATCH(AD$3&amp;"",PQ_Juli!$B$1:$AF$1&amp;"",0)),0)</f>
        <v>0</v>
      </c>
      <c r="AE86" s="10" cm="1">
        <f t="array" ref="AE86">IFERROR(INDEX(PQ_Juli!$B$2:$AF$1048,MATCH($C86,PQ_Juli!$A$2:$A$1048,0),MATCH(AE$3&amp;"",PQ_Juli!$B$1:$AF$1&amp;"",0)),0)</f>
        <v>0</v>
      </c>
      <c r="AF86" s="10" cm="1">
        <f t="array" ref="AF86">IFERROR(INDEX(PQ_Juli!$B$2:$AF$1048,MATCH($C86,PQ_Juli!$A$2:$A$1048,0),MATCH(AF$3&amp;"",PQ_Juli!$B$1:$AF$1&amp;"",0)),0)</f>
        <v>1</v>
      </c>
      <c r="AG86" s="11"/>
      <c r="AH86" s="10" cm="1">
        <f t="array" ref="AH86">IFERROR(INDEX(PQ_Juli!$B$2:$AF$1048,MATCH($C86,PQ_Juli!$A$2:$A$1048,0),MATCH(AH$3&amp;"",PQ_Juli!$B$1:$AF$1&amp;"",0)),0)</f>
        <v>0</v>
      </c>
      <c r="AI86" s="10" cm="1">
        <f t="array" ref="AI86">IFERROR(INDEX(PQ_Juli!$B$2:$AF$1048,MATCH($C86,PQ_Juli!$A$2:$A$1048,0),MATCH(AI$3&amp;"",PQ_Juli!$B$1:$AF$1&amp;"",0)),0)</f>
        <v>0</v>
      </c>
      <c r="AJ86" s="10" cm="1">
        <f t="array" ref="AJ86">IFERROR(INDEX(PQ_Juli!$B$2:$AF$1048,MATCH($C86,PQ_Juli!$A$2:$A$1048,0),MATCH(AJ$3&amp;"",PQ_Juli!$B$1:$AF$1&amp;"",0)),0)</f>
        <v>0</v>
      </c>
      <c r="AK86" s="10" cm="1">
        <f t="array" ref="AK86">IFERROR(INDEX(PQ_Juli!$B$2:$AF$1048,MATCH($C86,PQ_Juli!$A$2:$A$1048,0),MATCH(AK$3&amp;"",PQ_Juli!$B$1:$AF$1&amp;"",0)),0)</f>
        <v>0</v>
      </c>
      <c r="AL86" s="10" cm="1">
        <f t="array" ref="AL86">IFERROR(INDEX(PQ_Juli!$B$2:$AF$1048,MATCH($C86,PQ_Juli!$A$2:$A$1048,0),MATCH(AL$3&amp;"",PQ_Juli!$B$1:$AF$1&amp;"",0)),0)</f>
        <v>0</v>
      </c>
      <c r="AM86" s="13"/>
      <c r="AN86" s="14">
        <f t="shared" si="12"/>
        <v>1</v>
      </c>
      <c r="AO86" s="18" t="e">
        <f t="shared" si="10"/>
        <v>#REF!</v>
      </c>
      <c r="AP86" s="23">
        <v>10</v>
      </c>
      <c r="AQ86" s="23" t="s">
        <v>21</v>
      </c>
      <c r="AR86" s="92"/>
      <c r="AS86" s="29"/>
      <c r="AT86" s="92"/>
      <c r="AU86" s="29"/>
      <c r="AV86" s="92"/>
      <c r="AW86" s="92"/>
      <c r="AX86" s="29">
        <f t="shared" si="13"/>
        <v>0</v>
      </c>
      <c r="AY86" s="29">
        <f t="shared" si="14"/>
        <v>0</v>
      </c>
      <c r="AZ86" s="18">
        <f t="shared" si="15"/>
        <v>0</v>
      </c>
      <c r="BA86" s="18" t="e">
        <f t="shared" si="11"/>
        <v>#REF!</v>
      </c>
      <c r="BB86" s="21"/>
      <c r="BC86" s="30"/>
      <c r="BD86" s="30"/>
      <c r="BE86" s="30"/>
      <c r="BF86" s="30"/>
      <c r="BN86" s="41">
        <v>22</v>
      </c>
    </row>
    <row r="87" spans="1:66" ht="22.5" customHeight="1">
      <c r="A87" s="260" t="e">
        <f t="shared" si="16"/>
        <v>#REF!</v>
      </c>
      <c r="B87" s="261"/>
      <c r="C87" s="77" t="s">
        <v>64</v>
      </c>
      <c r="D87" s="75">
        <v>25</v>
      </c>
      <c r="E87" s="75"/>
      <c r="F87" s="75"/>
      <c r="G87" s="41" t="e">
        <f>#REF!</f>
        <v>#REF!</v>
      </c>
      <c r="H87" s="10" cm="1">
        <f t="array" ref="H87">IFERROR(INDEX(PQ_Juli!$B$2:$AF$1048,MATCH($C87,PQ_Juli!$A$2:$A$1048,0),MATCH(H$3&amp;"",PQ_Juli!$B$1:$AF$1&amp;"",0)),0)</f>
        <v>0</v>
      </c>
      <c r="I87" s="10" cm="1">
        <f t="array" ref="I87">IFERROR(INDEX(PQ_Juli!$B$2:$AF$1048,MATCH($C87,PQ_Juli!$A$2:$A$1048,0),MATCH(I$3&amp;"",PQ_Juli!$B$1:$AF$1&amp;"",0)),0)</f>
        <v>0</v>
      </c>
      <c r="J87" s="10" cm="1">
        <f t="array" ref="J87">IFERROR(INDEX(PQ_Juli!$B$2:$AF$1048,MATCH($C87,PQ_Juli!$A$2:$A$1048,0),MATCH(J$3&amp;"",PQ_Juli!$B$1:$AF$1&amp;"",0)),0)</f>
        <v>0</v>
      </c>
      <c r="K87" s="10" cm="1">
        <f t="array" ref="K87">IFERROR(INDEX(PQ_Juli!$B$2:$AF$1048,MATCH($C87,PQ_Juli!$A$2:$A$1048,0),MATCH(K$3&amp;"",PQ_Juli!$B$1:$AF$1&amp;"",0)),0)</f>
        <v>0</v>
      </c>
      <c r="L87" s="11"/>
      <c r="M87" s="10" cm="1">
        <f t="array" ref="M87">IFERROR(INDEX(PQ_Juli!$B$2:$AF$1048,MATCH($C87,PQ_Juli!$A$2:$A$1048,0),MATCH(M$3&amp;"",PQ_Juli!$B$1:$AF$1&amp;"",0)),0)</f>
        <v>0</v>
      </c>
      <c r="N87" s="10" cm="1">
        <f t="array" ref="N87">IFERROR(INDEX(PQ_Juli!$B$2:$AF$1048,MATCH($C87,PQ_Juli!$A$2:$A$1048,0),MATCH(N$3&amp;"",PQ_Juli!$B$1:$AF$1&amp;"",0)),0)</f>
        <v>0</v>
      </c>
      <c r="O87" s="10" cm="1">
        <f t="array" ref="O87">IFERROR(INDEX(PQ_Juli!$B$2:$AF$1048,MATCH($C87,PQ_Juli!$A$2:$A$1048,0),MATCH(O$3&amp;"",PQ_Juli!$B$1:$AF$1&amp;"",0)),0)</f>
        <v>0</v>
      </c>
      <c r="P87" s="10" cm="1">
        <f t="array" ref="P87">IFERROR(INDEX(PQ_Juli!$B$2:$AF$1048,MATCH($C87,PQ_Juli!$A$2:$A$1048,0),MATCH(P$3&amp;"",PQ_Juli!$B$1:$AF$1&amp;"",0)),0)</f>
        <v>0</v>
      </c>
      <c r="Q87" s="10" cm="1">
        <f t="array" ref="Q87">IFERROR(INDEX(PQ_Juli!$B$2:$AF$1048,MATCH($C87,PQ_Juli!$A$2:$A$1048,0),MATCH(Q$3&amp;"",PQ_Juli!$B$1:$AF$1&amp;"",0)),0)</f>
        <v>0</v>
      </c>
      <c r="R87" s="10" cm="1">
        <f t="array" ref="R87">IFERROR(INDEX(PQ_Juli!$B$2:$AF$1048,MATCH($C87,PQ_Juli!$A$2:$A$1048,0),MATCH(R$3&amp;"",PQ_Juli!$B$1:$AF$1&amp;"",0)),0)</f>
        <v>0</v>
      </c>
      <c r="S87" s="11"/>
      <c r="T87" s="10" cm="1">
        <f t="array" ref="T87">IFERROR(INDEX(PQ_Juli!$B$2:$AF$1048,MATCH($C87,PQ_Juli!$A$2:$A$1048,0),MATCH(T$3&amp;"",PQ_Juli!$B$1:$AF$1&amp;"",0)),0)</f>
        <v>0</v>
      </c>
      <c r="U87" s="10" cm="1">
        <f t="array" ref="U87">IFERROR(INDEX(PQ_Juli!$B$2:$AF$1048,MATCH($C87,PQ_Juli!$A$2:$A$1048,0),MATCH(U$3&amp;"",PQ_Juli!$B$1:$AF$1&amp;"",0)),0)</f>
        <v>0</v>
      </c>
      <c r="V87" s="10" cm="1">
        <f t="array" ref="V87">IFERROR(INDEX(PQ_Juli!$B$2:$AF$1048,MATCH($C87,PQ_Juli!$A$2:$A$1048,0),MATCH(V$3&amp;"",PQ_Juli!$B$1:$AF$1&amp;"",0)),0)</f>
        <v>0</v>
      </c>
      <c r="W87" s="10" cm="1">
        <f t="array" ref="W87">IFERROR(INDEX(PQ_Juli!$B$2:$AF$1048,MATCH($C87,PQ_Juli!$A$2:$A$1048,0),MATCH(W$3&amp;"",PQ_Juli!$B$1:$AF$1&amp;"",0)),0)</f>
        <v>0</v>
      </c>
      <c r="X87" s="10" cm="1">
        <f t="array" ref="X87">IFERROR(INDEX(PQ_Juli!$B$2:$AF$1048,MATCH($C87,PQ_Juli!$A$2:$A$1048,0),MATCH(X$3&amp;"",PQ_Juli!$B$1:$AF$1&amp;"",0)),0)</f>
        <v>0</v>
      </c>
      <c r="Y87" s="10" cm="1">
        <f t="array" ref="Y87">IFERROR(INDEX(PQ_Juli!$B$2:$AF$1048,MATCH($C87,PQ_Juli!$A$2:$A$1048,0),MATCH(Y$3&amp;"",PQ_Juli!$B$1:$AF$1&amp;"",0)),0)</f>
        <v>0</v>
      </c>
      <c r="Z87" s="11"/>
      <c r="AA87" s="10" cm="1">
        <f t="array" ref="AA87">IFERROR(INDEX(PQ_Juli!$B$2:$AF$1048,MATCH($C87,PQ_Juli!$A$2:$A$1048,0),MATCH(AA$3&amp;"",PQ_Juli!$B$1:$AF$1&amp;"",0)),0)</f>
        <v>0</v>
      </c>
      <c r="AB87" s="10" cm="1">
        <f t="array" ref="AB87">IFERROR(INDEX(PQ_Juli!$B$2:$AF$1048,MATCH($C87,PQ_Juli!$A$2:$A$1048,0),MATCH(AB$3&amp;"",PQ_Juli!$B$1:$AF$1&amp;"",0)),0)</f>
        <v>0</v>
      </c>
      <c r="AC87" s="10" cm="1">
        <f t="array" ref="AC87">IFERROR(INDEX(PQ_Juli!$B$2:$AF$1048,MATCH($C87,PQ_Juli!$A$2:$A$1048,0),MATCH(AC$3&amp;"",PQ_Juli!$B$1:$AF$1&amp;"",0)),0)</f>
        <v>0</v>
      </c>
      <c r="AD87" s="10" cm="1">
        <f t="array" ref="AD87">IFERROR(INDEX(PQ_Juli!$B$2:$AF$1048,MATCH($C87,PQ_Juli!$A$2:$A$1048,0),MATCH(AD$3&amp;"",PQ_Juli!$B$1:$AF$1&amp;"",0)),0)</f>
        <v>0</v>
      </c>
      <c r="AE87" s="10" cm="1">
        <f t="array" ref="AE87">IFERROR(INDEX(PQ_Juli!$B$2:$AF$1048,MATCH($C87,PQ_Juli!$A$2:$A$1048,0),MATCH(AE$3&amp;"",PQ_Juli!$B$1:$AF$1&amp;"",0)),0)</f>
        <v>0</v>
      </c>
      <c r="AF87" s="10" cm="1">
        <f t="array" ref="AF87">IFERROR(INDEX(PQ_Juli!$B$2:$AF$1048,MATCH($C87,PQ_Juli!$A$2:$A$1048,0),MATCH(AF$3&amp;"",PQ_Juli!$B$1:$AF$1&amp;"",0)),0)</f>
        <v>0</v>
      </c>
      <c r="AG87" s="11"/>
      <c r="AH87" s="10" cm="1">
        <f t="array" ref="AH87">IFERROR(INDEX(PQ_Juli!$B$2:$AF$1048,MATCH($C87,PQ_Juli!$A$2:$A$1048,0),MATCH(AH$3&amp;"",PQ_Juli!$B$1:$AF$1&amp;"",0)),0)</f>
        <v>0</v>
      </c>
      <c r="AI87" s="10" cm="1">
        <f t="array" ref="AI87">IFERROR(INDEX(PQ_Juli!$B$2:$AF$1048,MATCH($C87,PQ_Juli!$A$2:$A$1048,0),MATCH(AI$3&amp;"",PQ_Juli!$B$1:$AF$1&amp;"",0)),0)</f>
        <v>0</v>
      </c>
      <c r="AJ87" s="10" cm="1">
        <f t="array" ref="AJ87">IFERROR(INDEX(PQ_Juli!$B$2:$AF$1048,MATCH($C87,PQ_Juli!$A$2:$A$1048,0),MATCH(AJ$3&amp;"",PQ_Juli!$B$1:$AF$1&amp;"",0)),0)</f>
        <v>0</v>
      </c>
      <c r="AK87" s="10" cm="1">
        <f t="array" ref="AK87">IFERROR(INDEX(PQ_Juli!$B$2:$AF$1048,MATCH($C87,PQ_Juli!$A$2:$A$1048,0),MATCH(AK$3&amp;"",PQ_Juli!$B$1:$AF$1&amp;"",0)),0)</f>
        <v>0</v>
      </c>
      <c r="AL87" s="10" cm="1">
        <f t="array" ref="AL87">IFERROR(INDEX(PQ_Juli!$B$2:$AF$1048,MATCH($C87,PQ_Juli!$A$2:$A$1048,0),MATCH(AL$3&amp;"",PQ_Juli!$B$1:$AF$1&amp;"",0)),0)</f>
        <v>0</v>
      </c>
      <c r="AM87" s="13"/>
      <c r="AN87" s="14">
        <f t="shared" si="12"/>
        <v>0</v>
      </c>
      <c r="AO87" s="18" t="e">
        <f t="shared" si="10"/>
        <v>#REF!</v>
      </c>
      <c r="AP87" s="23">
        <v>10</v>
      </c>
      <c r="AQ87" s="23" t="s">
        <v>21</v>
      </c>
      <c r="AR87" s="92"/>
      <c r="AS87" s="29"/>
      <c r="AT87" s="92"/>
      <c r="AU87" s="29"/>
      <c r="AV87" s="92"/>
      <c r="AW87" s="92"/>
      <c r="AX87" s="29">
        <f t="shared" si="13"/>
        <v>0</v>
      </c>
      <c r="AY87" s="29">
        <f t="shared" si="14"/>
        <v>0</v>
      </c>
      <c r="AZ87" s="18">
        <f t="shared" si="15"/>
        <v>0</v>
      </c>
      <c r="BA87" s="18" t="e">
        <f t="shared" si="11"/>
        <v>#REF!</v>
      </c>
      <c r="BB87" s="21"/>
      <c r="BC87" s="30"/>
      <c r="BD87" s="30"/>
      <c r="BE87" s="30"/>
      <c r="BF87" s="30"/>
      <c r="BN87" s="41">
        <v>20</v>
      </c>
    </row>
    <row r="88" spans="1:66" ht="22.5" customHeight="1">
      <c r="A88" s="262" t="e">
        <f t="shared" si="16"/>
        <v>#REF!</v>
      </c>
      <c r="B88" s="263"/>
      <c r="C88" s="99" t="s">
        <v>80</v>
      </c>
      <c r="D88" s="75">
        <v>25</v>
      </c>
      <c r="E88" s="75"/>
      <c r="F88" s="75"/>
      <c r="G88" s="41" t="e">
        <f>#REF!</f>
        <v>#REF!</v>
      </c>
      <c r="H88" s="10" cm="1">
        <f t="array" ref="H88">IFERROR(INDEX(PQ_Juli!$B$2:$AF$1048,MATCH($C88,PQ_Juli!$A$2:$A$1048,0),MATCH(H$3&amp;"",PQ_Juli!$B$1:$AF$1&amp;"",0)),0)</f>
        <v>1</v>
      </c>
      <c r="I88" s="10" cm="1">
        <f t="array" ref="I88">IFERROR(INDEX(PQ_Juli!$B$2:$AF$1048,MATCH($C88,PQ_Juli!$A$2:$A$1048,0),MATCH(I$3&amp;"",PQ_Juli!$B$1:$AF$1&amp;"",0)),0)</f>
        <v>1</v>
      </c>
      <c r="J88" s="10" cm="1">
        <f t="array" ref="J88">IFERROR(INDEX(PQ_Juli!$B$2:$AF$1048,MATCH($C88,PQ_Juli!$A$2:$A$1048,0),MATCH(J$3&amp;"",PQ_Juli!$B$1:$AF$1&amp;"",0)),0)</f>
        <v>0</v>
      </c>
      <c r="K88" s="10" cm="1">
        <f t="array" ref="K88">IFERROR(INDEX(PQ_Juli!$B$2:$AF$1048,MATCH($C88,PQ_Juli!$A$2:$A$1048,0),MATCH(K$3&amp;"",PQ_Juli!$B$1:$AF$1&amp;"",0)),0)</f>
        <v>0</v>
      </c>
      <c r="L88" s="11"/>
      <c r="M88" s="10" cm="1">
        <f t="array" ref="M88">IFERROR(INDEX(PQ_Juli!$B$2:$AF$1048,MATCH($C88,PQ_Juli!$A$2:$A$1048,0),MATCH(M$3&amp;"",PQ_Juli!$B$1:$AF$1&amp;"",0)),0)</f>
        <v>0</v>
      </c>
      <c r="N88" s="10" cm="1">
        <f t="array" ref="N88">IFERROR(INDEX(PQ_Juli!$B$2:$AF$1048,MATCH($C88,PQ_Juli!$A$2:$A$1048,0),MATCH(N$3&amp;"",PQ_Juli!$B$1:$AF$1&amp;"",0)),0)</f>
        <v>1</v>
      </c>
      <c r="O88" s="10" cm="1">
        <f t="array" ref="O88">IFERROR(INDEX(PQ_Juli!$B$2:$AF$1048,MATCH($C88,PQ_Juli!$A$2:$A$1048,0),MATCH(O$3&amp;"",PQ_Juli!$B$1:$AF$1&amp;"",0)),0)</f>
        <v>0</v>
      </c>
      <c r="P88" s="10" cm="1">
        <f t="array" ref="P88">IFERROR(INDEX(PQ_Juli!$B$2:$AF$1048,MATCH($C88,PQ_Juli!$A$2:$A$1048,0),MATCH(P$3&amp;"",PQ_Juli!$B$1:$AF$1&amp;"",0)),0)</f>
        <v>1</v>
      </c>
      <c r="Q88" s="10" cm="1">
        <f t="array" ref="Q88">IFERROR(INDEX(PQ_Juli!$B$2:$AF$1048,MATCH($C88,PQ_Juli!$A$2:$A$1048,0),MATCH(Q$3&amp;"",PQ_Juli!$B$1:$AF$1&amp;"",0)),0)</f>
        <v>2</v>
      </c>
      <c r="R88" s="10" cm="1">
        <f t="array" ref="R88">IFERROR(INDEX(PQ_Juli!$B$2:$AF$1048,MATCH($C88,PQ_Juli!$A$2:$A$1048,0),MATCH(R$3&amp;"",PQ_Juli!$B$1:$AF$1&amp;"",0)),0)</f>
        <v>6</v>
      </c>
      <c r="S88" s="11"/>
      <c r="T88" s="10" cm="1">
        <f t="array" ref="T88">IFERROR(INDEX(PQ_Juli!$B$2:$AF$1048,MATCH($C88,PQ_Juli!$A$2:$A$1048,0),MATCH(T$3&amp;"",PQ_Juli!$B$1:$AF$1&amp;"",0)),0)</f>
        <v>3</v>
      </c>
      <c r="U88" s="10" cm="1">
        <f t="array" ref="U88">IFERROR(INDEX(PQ_Juli!$B$2:$AF$1048,MATCH($C88,PQ_Juli!$A$2:$A$1048,0),MATCH(U$3&amp;"",PQ_Juli!$B$1:$AF$1&amp;"",0)),0)</f>
        <v>2</v>
      </c>
      <c r="V88" s="10" cm="1">
        <f t="array" ref="V88">IFERROR(INDEX(PQ_Juli!$B$2:$AF$1048,MATCH($C88,PQ_Juli!$A$2:$A$1048,0),MATCH(V$3&amp;"",PQ_Juli!$B$1:$AF$1&amp;"",0)),0)</f>
        <v>2</v>
      </c>
      <c r="W88" s="10" cm="1">
        <f t="array" ref="W88">IFERROR(INDEX(PQ_Juli!$B$2:$AF$1048,MATCH($C88,PQ_Juli!$A$2:$A$1048,0),MATCH(W$3&amp;"",PQ_Juli!$B$1:$AF$1&amp;"",0)),0)</f>
        <v>2</v>
      </c>
      <c r="X88" s="10" cm="1">
        <f t="array" ref="X88">IFERROR(INDEX(PQ_Juli!$B$2:$AF$1048,MATCH($C88,PQ_Juli!$A$2:$A$1048,0),MATCH(X$3&amp;"",PQ_Juli!$B$1:$AF$1&amp;"",0)),0)</f>
        <v>3</v>
      </c>
      <c r="Y88" s="10" cm="1">
        <f t="array" ref="Y88">IFERROR(INDEX(PQ_Juli!$B$2:$AF$1048,MATCH($C88,PQ_Juli!$A$2:$A$1048,0),MATCH(Y$3&amp;"",PQ_Juli!$B$1:$AF$1&amp;"",0)),0)</f>
        <v>0</v>
      </c>
      <c r="Z88" s="11"/>
      <c r="AA88" s="10" cm="1">
        <f t="array" ref="AA88">IFERROR(INDEX(PQ_Juli!$B$2:$AF$1048,MATCH($C88,PQ_Juli!$A$2:$A$1048,0),MATCH(AA$3&amp;"",PQ_Juli!$B$1:$AF$1&amp;"",0)),0)</f>
        <v>1</v>
      </c>
      <c r="AB88" s="10" cm="1">
        <f t="array" ref="AB88">IFERROR(INDEX(PQ_Juli!$B$2:$AF$1048,MATCH($C88,PQ_Juli!$A$2:$A$1048,0),MATCH(AB$3&amp;"",PQ_Juli!$B$1:$AF$1&amp;"",0)),0)</f>
        <v>1</v>
      </c>
      <c r="AC88" s="10" cm="1">
        <f t="array" ref="AC88">IFERROR(INDEX(PQ_Juli!$B$2:$AF$1048,MATCH($C88,PQ_Juli!$A$2:$A$1048,0),MATCH(AC$3&amp;"",PQ_Juli!$B$1:$AF$1&amp;"",0)),0)</f>
        <v>3</v>
      </c>
      <c r="AD88" s="10" cm="1">
        <f t="array" ref="AD88">IFERROR(INDEX(PQ_Juli!$B$2:$AF$1048,MATCH($C88,PQ_Juli!$A$2:$A$1048,0),MATCH(AD$3&amp;"",PQ_Juli!$B$1:$AF$1&amp;"",0)),0)</f>
        <v>0</v>
      </c>
      <c r="AE88" s="10" cm="1">
        <f t="array" ref="AE88">IFERROR(INDEX(PQ_Juli!$B$2:$AF$1048,MATCH($C88,PQ_Juli!$A$2:$A$1048,0),MATCH(AE$3&amp;"",PQ_Juli!$B$1:$AF$1&amp;"",0)),0)</f>
        <v>3</v>
      </c>
      <c r="AF88" s="10" cm="1">
        <f t="array" ref="AF88">IFERROR(INDEX(PQ_Juli!$B$2:$AF$1048,MATCH($C88,PQ_Juli!$A$2:$A$1048,0),MATCH(AF$3&amp;"",PQ_Juli!$B$1:$AF$1&amp;"",0)),0)</f>
        <v>4</v>
      </c>
      <c r="AG88" s="11"/>
      <c r="AH88" s="10" cm="1">
        <f t="array" ref="AH88">IFERROR(INDEX(PQ_Juli!$B$2:$AF$1048,MATCH($C88,PQ_Juli!$A$2:$A$1048,0),MATCH(AH$3&amp;"",PQ_Juli!$B$1:$AF$1&amp;"",0)),0)</f>
        <v>1</v>
      </c>
      <c r="AI88" s="10" cm="1">
        <f t="array" ref="AI88">IFERROR(INDEX(PQ_Juli!$B$2:$AF$1048,MATCH($C88,PQ_Juli!$A$2:$A$1048,0),MATCH(AI$3&amp;"",PQ_Juli!$B$1:$AF$1&amp;"",0)),0)</f>
        <v>3</v>
      </c>
      <c r="AJ88" s="10" cm="1">
        <f t="array" ref="AJ88">IFERROR(INDEX(PQ_Juli!$B$2:$AF$1048,MATCH($C88,PQ_Juli!$A$2:$A$1048,0),MATCH(AJ$3&amp;"",PQ_Juli!$B$1:$AF$1&amp;"",0)),0)</f>
        <v>2</v>
      </c>
      <c r="AK88" s="10" cm="1">
        <f t="array" ref="AK88">IFERROR(INDEX(PQ_Juli!$B$2:$AF$1048,MATCH($C88,PQ_Juli!$A$2:$A$1048,0),MATCH(AK$3&amp;"",PQ_Juli!$B$1:$AF$1&amp;"",0)),0)</f>
        <v>1</v>
      </c>
      <c r="AL88" s="10" cm="1">
        <f t="array" ref="AL88">IFERROR(INDEX(PQ_Juli!$B$2:$AF$1048,MATCH($C88,PQ_Juli!$A$2:$A$1048,0),MATCH(AL$3&amp;"",PQ_Juli!$B$1:$AF$1&amp;"",0)),0)</f>
        <v>1</v>
      </c>
      <c r="AM88" s="13"/>
      <c r="AN88" s="14">
        <f t="shared" si="12"/>
        <v>44</v>
      </c>
      <c r="AO88" s="18" t="e">
        <f t="shared" si="10"/>
        <v>#REF!</v>
      </c>
      <c r="AP88" s="23">
        <v>10</v>
      </c>
      <c r="AQ88" s="23" t="s">
        <v>21</v>
      </c>
      <c r="AR88" s="92">
        <v>46210</v>
      </c>
      <c r="AS88" s="29">
        <v>2</v>
      </c>
      <c r="AT88" s="92"/>
      <c r="AU88" s="29"/>
      <c r="AV88" s="92">
        <v>46216</v>
      </c>
      <c r="AW88" s="92"/>
      <c r="AX88" s="29">
        <f t="shared" si="13"/>
        <v>50</v>
      </c>
      <c r="AY88" s="29">
        <f t="shared" si="14"/>
        <v>0</v>
      </c>
      <c r="AZ88" s="18">
        <f t="shared" si="15"/>
        <v>50</v>
      </c>
      <c r="BA88" s="18" t="e">
        <f t="shared" si="11"/>
        <v>#REF!</v>
      </c>
      <c r="BB88" s="21"/>
      <c r="BC88" s="30"/>
      <c r="BD88" s="30"/>
      <c r="BE88" s="30"/>
      <c r="BF88" s="30"/>
      <c r="BN88" s="41">
        <v>39</v>
      </c>
    </row>
    <row r="89" spans="1:66" ht="22.5" customHeight="1">
      <c r="A89" s="260" t="e">
        <f t="shared" si="16"/>
        <v>#REF!</v>
      </c>
      <c r="B89" s="261"/>
      <c r="C89" s="99" t="s">
        <v>65</v>
      </c>
      <c r="D89" s="75">
        <v>25</v>
      </c>
      <c r="E89" s="75"/>
      <c r="F89" s="75"/>
      <c r="G89" s="41" t="e">
        <f>#REF!</f>
        <v>#REF!</v>
      </c>
      <c r="H89" s="10" cm="1">
        <f t="array" ref="H89">IFERROR(INDEX(PQ_Juli!$B$2:$AF$1048,MATCH($C89,PQ_Juli!$A$2:$A$1048,0),MATCH(H$3&amp;"",PQ_Juli!$B$1:$AF$1&amp;"",0)),0)</f>
        <v>0</v>
      </c>
      <c r="I89" s="10" cm="1">
        <f t="array" ref="I89">IFERROR(INDEX(PQ_Juli!$B$2:$AF$1048,MATCH($C89,PQ_Juli!$A$2:$A$1048,0),MATCH(I$3&amp;"",PQ_Juli!$B$1:$AF$1&amp;"",0)),0)</f>
        <v>0</v>
      </c>
      <c r="J89" s="10" cm="1">
        <f t="array" ref="J89">IFERROR(INDEX(PQ_Juli!$B$2:$AF$1048,MATCH($C89,PQ_Juli!$A$2:$A$1048,0),MATCH(J$3&amp;"",PQ_Juli!$B$1:$AF$1&amp;"",0)),0)</f>
        <v>0</v>
      </c>
      <c r="K89" s="10" cm="1">
        <f t="array" ref="K89">IFERROR(INDEX(PQ_Juli!$B$2:$AF$1048,MATCH($C89,PQ_Juli!$A$2:$A$1048,0),MATCH(K$3&amp;"",PQ_Juli!$B$1:$AF$1&amp;"",0)),0)</f>
        <v>0</v>
      </c>
      <c r="L89" s="11"/>
      <c r="M89" s="10" cm="1">
        <f t="array" ref="M89">IFERROR(INDEX(PQ_Juli!$B$2:$AF$1048,MATCH($C89,PQ_Juli!$A$2:$A$1048,0),MATCH(M$3&amp;"",PQ_Juli!$B$1:$AF$1&amp;"",0)),0)</f>
        <v>0</v>
      </c>
      <c r="N89" s="10" cm="1">
        <f t="array" ref="N89">IFERROR(INDEX(PQ_Juli!$B$2:$AF$1048,MATCH($C89,PQ_Juli!$A$2:$A$1048,0),MATCH(N$3&amp;"",PQ_Juli!$B$1:$AF$1&amp;"",0)),0)</f>
        <v>0</v>
      </c>
      <c r="O89" s="10" cm="1">
        <f t="array" ref="O89">IFERROR(INDEX(PQ_Juli!$B$2:$AF$1048,MATCH($C89,PQ_Juli!$A$2:$A$1048,0),MATCH(O$3&amp;"",PQ_Juli!$B$1:$AF$1&amp;"",0)),0)</f>
        <v>0</v>
      </c>
      <c r="P89" s="10" cm="1">
        <f t="array" ref="P89">IFERROR(INDEX(PQ_Juli!$B$2:$AF$1048,MATCH($C89,PQ_Juli!$A$2:$A$1048,0),MATCH(P$3&amp;"",PQ_Juli!$B$1:$AF$1&amp;"",0)),0)</f>
        <v>0</v>
      </c>
      <c r="Q89" s="10" cm="1">
        <f t="array" ref="Q89">IFERROR(INDEX(PQ_Juli!$B$2:$AF$1048,MATCH($C89,PQ_Juli!$A$2:$A$1048,0),MATCH(Q$3&amp;"",PQ_Juli!$B$1:$AF$1&amp;"",0)),0)</f>
        <v>0</v>
      </c>
      <c r="R89" s="10" cm="1">
        <f t="array" ref="R89">IFERROR(INDEX(PQ_Juli!$B$2:$AF$1048,MATCH($C89,PQ_Juli!$A$2:$A$1048,0),MATCH(R$3&amp;"",PQ_Juli!$B$1:$AF$1&amp;"",0)),0)</f>
        <v>0</v>
      </c>
      <c r="S89" s="11"/>
      <c r="T89" s="10" cm="1">
        <f t="array" ref="T89">IFERROR(INDEX(PQ_Juli!$B$2:$AF$1048,MATCH($C89,PQ_Juli!$A$2:$A$1048,0),MATCH(T$3&amp;"",PQ_Juli!$B$1:$AF$1&amp;"",0)),0)</f>
        <v>0</v>
      </c>
      <c r="U89" s="10" cm="1">
        <f t="array" ref="U89">IFERROR(INDEX(PQ_Juli!$B$2:$AF$1048,MATCH($C89,PQ_Juli!$A$2:$A$1048,0),MATCH(U$3&amp;"",PQ_Juli!$B$1:$AF$1&amp;"",0)),0)</f>
        <v>0</v>
      </c>
      <c r="V89" s="10" cm="1">
        <f t="array" ref="V89">IFERROR(INDEX(PQ_Juli!$B$2:$AF$1048,MATCH($C89,PQ_Juli!$A$2:$A$1048,0),MATCH(V$3&amp;"",PQ_Juli!$B$1:$AF$1&amp;"",0)),0)</f>
        <v>0</v>
      </c>
      <c r="W89" s="10" cm="1">
        <f t="array" ref="W89">IFERROR(INDEX(PQ_Juli!$B$2:$AF$1048,MATCH($C89,PQ_Juli!$A$2:$A$1048,0),MATCH(W$3&amp;"",PQ_Juli!$B$1:$AF$1&amp;"",0)),0)</f>
        <v>0</v>
      </c>
      <c r="X89" s="10" cm="1">
        <f t="array" ref="X89">IFERROR(INDEX(PQ_Juli!$B$2:$AF$1048,MATCH($C89,PQ_Juli!$A$2:$A$1048,0),MATCH(X$3&amp;"",PQ_Juli!$B$1:$AF$1&amp;"",0)),0)</f>
        <v>0</v>
      </c>
      <c r="Y89" s="10" cm="1">
        <f t="array" ref="Y89">IFERROR(INDEX(PQ_Juli!$B$2:$AF$1048,MATCH($C89,PQ_Juli!$A$2:$A$1048,0),MATCH(Y$3&amp;"",PQ_Juli!$B$1:$AF$1&amp;"",0)),0)</f>
        <v>0</v>
      </c>
      <c r="Z89" s="11"/>
      <c r="AA89" s="10" cm="1">
        <f t="array" ref="AA89">IFERROR(INDEX(PQ_Juli!$B$2:$AF$1048,MATCH($C89,PQ_Juli!$A$2:$A$1048,0),MATCH(AA$3&amp;"",PQ_Juli!$B$1:$AF$1&amp;"",0)),0)</f>
        <v>0</v>
      </c>
      <c r="AB89" s="10">
        <v>1</v>
      </c>
      <c r="AC89" s="10" cm="1">
        <f t="array" ref="AC89">IFERROR(INDEX(PQ_Juli!$B$2:$AF$1048,MATCH($C89,PQ_Juli!$A$2:$A$1048,0),MATCH(AC$3&amp;"",PQ_Juli!$B$1:$AF$1&amp;"",0)),0)</f>
        <v>0</v>
      </c>
      <c r="AD89" s="10" cm="1">
        <f t="array" ref="AD89">IFERROR(INDEX(PQ_Juli!$B$2:$AF$1048,MATCH($C89,PQ_Juli!$A$2:$A$1048,0),MATCH(AD$3&amp;"",PQ_Juli!$B$1:$AF$1&amp;"",0)),0)</f>
        <v>0</v>
      </c>
      <c r="AE89" s="10" cm="1">
        <f t="array" ref="AE89">IFERROR(INDEX(PQ_Juli!$B$2:$AF$1048,MATCH($C89,PQ_Juli!$A$2:$A$1048,0),MATCH(AE$3&amp;"",PQ_Juli!$B$1:$AF$1&amp;"",0)),0)</f>
        <v>0</v>
      </c>
      <c r="AF89" s="10" cm="1">
        <f t="array" ref="AF89">IFERROR(INDEX(PQ_Juli!$B$2:$AF$1048,MATCH($C89,PQ_Juli!$A$2:$A$1048,0),MATCH(AF$3&amp;"",PQ_Juli!$B$1:$AF$1&amp;"",0)),0)</f>
        <v>0</v>
      </c>
      <c r="AG89" s="11"/>
      <c r="AH89" s="10" cm="1">
        <f t="array" ref="AH89">IFERROR(INDEX(PQ_Juli!$B$2:$AF$1048,MATCH($C89,PQ_Juli!$A$2:$A$1048,0),MATCH(AH$3&amp;"",PQ_Juli!$B$1:$AF$1&amp;"",0)),0)</f>
        <v>0</v>
      </c>
      <c r="AI89" s="10" cm="1">
        <f t="array" ref="AI89">IFERROR(INDEX(PQ_Juli!$B$2:$AF$1048,MATCH($C89,PQ_Juli!$A$2:$A$1048,0),MATCH(AI$3&amp;"",PQ_Juli!$B$1:$AF$1&amp;"",0)),0)</f>
        <v>0</v>
      </c>
      <c r="AJ89" s="10" cm="1">
        <f t="array" ref="AJ89">IFERROR(INDEX(PQ_Juli!$B$2:$AF$1048,MATCH($C89,PQ_Juli!$A$2:$A$1048,0),MATCH(AJ$3&amp;"",PQ_Juli!$B$1:$AF$1&amp;"",0)),0)</f>
        <v>0</v>
      </c>
      <c r="AK89" s="10" cm="1">
        <f t="array" ref="AK89">IFERROR(INDEX(PQ_Juli!$B$2:$AF$1048,MATCH($C89,PQ_Juli!$A$2:$A$1048,0),MATCH(AK$3&amp;"",PQ_Juli!$B$1:$AF$1&amp;"",0)),0)</f>
        <v>0</v>
      </c>
      <c r="AL89" s="10" cm="1">
        <f t="array" ref="AL89">IFERROR(INDEX(PQ_Juli!$B$2:$AF$1048,MATCH($C89,PQ_Juli!$A$2:$A$1048,0),MATCH(AL$3&amp;"",PQ_Juli!$B$1:$AF$1&amp;"",0)),0)</f>
        <v>0</v>
      </c>
      <c r="AM89" s="13"/>
      <c r="AN89" s="14">
        <f t="shared" si="12"/>
        <v>1</v>
      </c>
      <c r="AO89" s="18" t="e">
        <f t="shared" si="10"/>
        <v>#REF!</v>
      </c>
      <c r="AP89" s="23">
        <v>10</v>
      </c>
      <c r="AQ89" s="23" t="s">
        <v>21</v>
      </c>
      <c r="AR89" s="92"/>
      <c r="AS89" s="29"/>
      <c r="AT89" s="92"/>
      <c r="AU89" s="29"/>
      <c r="AV89" s="92"/>
      <c r="AW89" s="92"/>
      <c r="AX89" s="29">
        <f t="shared" si="13"/>
        <v>0</v>
      </c>
      <c r="AY89" s="29">
        <f t="shared" si="14"/>
        <v>0</v>
      </c>
      <c r="AZ89" s="18">
        <f t="shared" si="15"/>
        <v>0</v>
      </c>
      <c r="BA89" s="18" t="e">
        <f t="shared" si="11"/>
        <v>#REF!</v>
      </c>
      <c r="BB89" s="21"/>
      <c r="BC89" s="30"/>
      <c r="BD89" s="30"/>
      <c r="BE89" s="30"/>
      <c r="BF89" s="30"/>
      <c r="BN89" s="41">
        <v>31</v>
      </c>
    </row>
    <row r="90" spans="1:66" ht="22.5" customHeight="1">
      <c r="A90" s="262" t="e">
        <f t="shared" si="16"/>
        <v>#REF!</v>
      </c>
      <c r="B90" s="263"/>
      <c r="C90" s="99" t="s">
        <v>66</v>
      </c>
      <c r="D90" s="75">
        <v>25</v>
      </c>
      <c r="E90" s="75"/>
      <c r="F90" s="75"/>
      <c r="G90" s="41" t="e">
        <f>#REF!</f>
        <v>#REF!</v>
      </c>
      <c r="H90" s="10" cm="1">
        <f t="array" ref="H90">IFERROR(INDEX(PQ_Juli!$B$2:$AF$1048,MATCH($C90,PQ_Juli!$A$2:$A$1048,0),MATCH(H$3&amp;"",PQ_Juli!$B$1:$AF$1&amp;"",0)),0)</f>
        <v>0</v>
      </c>
      <c r="I90" s="10" cm="1">
        <f t="array" ref="I90">IFERROR(INDEX(PQ_Juli!$B$2:$AF$1048,MATCH($C90,PQ_Juli!$A$2:$A$1048,0),MATCH(I$3&amp;"",PQ_Juli!$B$1:$AF$1&amp;"",0)),0)</f>
        <v>0</v>
      </c>
      <c r="J90" s="10" cm="1">
        <f t="array" ref="J90">IFERROR(INDEX(PQ_Juli!$B$2:$AF$1048,MATCH($C90,PQ_Juli!$A$2:$A$1048,0),MATCH(J$3&amp;"",PQ_Juli!$B$1:$AF$1&amp;"",0)),0)</f>
        <v>2</v>
      </c>
      <c r="K90" s="10" cm="1">
        <f t="array" ref="K90">IFERROR(INDEX(PQ_Juli!$B$2:$AF$1048,MATCH($C90,PQ_Juli!$A$2:$A$1048,0),MATCH(K$3&amp;"",PQ_Juli!$B$1:$AF$1&amp;"",0)),0)</f>
        <v>0</v>
      </c>
      <c r="L90" s="11"/>
      <c r="M90" s="10" cm="1">
        <f t="array" ref="M90">IFERROR(INDEX(PQ_Juli!$B$2:$AF$1048,MATCH($C90,PQ_Juli!$A$2:$A$1048,0),MATCH(M$3&amp;"",PQ_Juli!$B$1:$AF$1&amp;"",0)),0)</f>
        <v>0</v>
      </c>
      <c r="N90" s="10" cm="1">
        <f t="array" ref="N90">IFERROR(INDEX(PQ_Juli!$B$2:$AF$1048,MATCH($C90,PQ_Juli!$A$2:$A$1048,0),MATCH(N$3&amp;"",PQ_Juli!$B$1:$AF$1&amp;"",0)),0)</f>
        <v>1</v>
      </c>
      <c r="O90" s="10" cm="1">
        <f t="array" ref="O90">IFERROR(INDEX(PQ_Juli!$B$2:$AF$1048,MATCH($C90,PQ_Juli!$A$2:$A$1048,0),MATCH(O$3&amp;"",PQ_Juli!$B$1:$AF$1&amp;"",0)),0)</f>
        <v>0</v>
      </c>
      <c r="P90" s="10" cm="1">
        <f t="array" ref="P90">IFERROR(INDEX(PQ_Juli!$B$2:$AF$1048,MATCH($C90,PQ_Juli!$A$2:$A$1048,0),MATCH(P$3&amp;"",PQ_Juli!$B$1:$AF$1&amp;"",0)),0)</f>
        <v>1</v>
      </c>
      <c r="Q90" s="10" cm="1">
        <f t="array" ref="Q90">IFERROR(INDEX(PQ_Juli!$B$2:$AF$1048,MATCH($C90,PQ_Juli!$A$2:$A$1048,0),MATCH(Q$3&amp;"",PQ_Juli!$B$1:$AF$1&amp;"",0)),0)</f>
        <v>1</v>
      </c>
      <c r="R90" s="10" cm="1">
        <f t="array" ref="R90">IFERROR(INDEX(PQ_Juli!$B$2:$AF$1048,MATCH($C90,PQ_Juli!$A$2:$A$1048,0),MATCH(R$3&amp;"",PQ_Juli!$B$1:$AF$1&amp;"",0)),0)</f>
        <v>2</v>
      </c>
      <c r="S90" s="11"/>
      <c r="T90" s="10" cm="1">
        <f t="array" ref="T90">IFERROR(INDEX(PQ_Juli!$B$2:$AF$1048,MATCH($C90,PQ_Juli!$A$2:$A$1048,0),MATCH(T$3&amp;"",PQ_Juli!$B$1:$AF$1&amp;"",0)),0)</f>
        <v>1</v>
      </c>
      <c r="U90" s="10" cm="1">
        <f t="array" ref="U90">IFERROR(INDEX(PQ_Juli!$B$2:$AF$1048,MATCH($C90,PQ_Juli!$A$2:$A$1048,0),MATCH(U$3&amp;"",PQ_Juli!$B$1:$AF$1&amp;"",0)),0)</f>
        <v>1</v>
      </c>
      <c r="V90" s="10" cm="1">
        <f t="array" ref="V90">IFERROR(INDEX(PQ_Juli!$B$2:$AF$1048,MATCH($C90,PQ_Juli!$A$2:$A$1048,0),MATCH(V$3&amp;"",PQ_Juli!$B$1:$AF$1&amp;"",0)),0)</f>
        <v>0</v>
      </c>
      <c r="W90" s="10" cm="1">
        <f t="array" ref="W90">IFERROR(INDEX(PQ_Juli!$B$2:$AF$1048,MATCH($C90,PQ_Juli!$A$2:$A$1048,0),MATCH(W$3&amp;"",PQ_Juli!$B$1:$AF$1&amp;"",0)),0)</f>
        <v>0</v>
      </c>
      <c r="X90" s="10" cm="1">
        <f t="array" ref="X90">IFERROR(INDEX(PQ_Juli!$B$2:$AF$1048,MATCH($C90,PQ_Juli!$A$2:$A$1048,0),MATCH(X$3&amp;"",PQ_Juli!$B$1:$AF$1&amp;"",0)),0)</f>
        <v>1</v>
      </c>
      <c r="Y90" s="10" cm="1">
        <f t="array" ref="Y90">IFERROR(INDEX(PQ_Juli!$B$2:$AF$1048,MATCH($C90,PQ_Juli!$A$2:$A$1048,0),MATCH(Y$3&amp;"",PQ_Juli!$B$1:$AF$1&amp;"",0)),0)</f>
        <v>0</v>
      </c>
      <c r="Z90" s="11"/>
      <c r="AA90" s="10" cm="1">
        <f t="array" ref="AA90">IFERROR(INDEX(PQ_Juli!$B$2:$AF$1048,MATCH($C90,PQ_Juli!$A$2:$A$1048,0),MATCH(AA$3&amp;"",PQ_Juli!$B$1:$AF$1&amp;"",0)),0)</f>
        <v>0</v>
      </c>
      <c r="AB90" s="10" cm="1">
        <f t="array" ref="AB90">IFERROR(INDEX(PQ_Juli!$B$2:$AF$1048,MATCH($C90,PQ_Juli!$A$2:$A$1048,0),MATCH(AB$3&amp;"",PQ_Juli!$B$1:$AF$1&amp;"",0)),0)</f>
        <v>1</v>
      </c>
      <c r="AC90" s="10" cm="1">
        <f t="array" ref="AC90">IFERROR(INDEX(PQ_Juli!$B$2:$AF$1048,MATCH($C90,PQ_Juli!$A$2:$A$1048,0),MATCH(AC$3&amp;"",PQ_Juli!$B$1:$AF$1&amp;"",0)),0)</f>
        <v>0</v>
      </c>
      <c r="AD90" s="10" cm="1">
        <f t="array" ref="AD90">IFERROR(INDEX(PQ_Juli!$B$2:$AF$1048,MATCH($C90,PQ_Juli!$A$2:$A$1048,0),MATCH(AD$3&amp;"",PQ_Juli!$B$1:$AF$1&amp;"",0)),0)</f>
        <v>0</v>
      </c>
      <c r="AE90" s="10" cm="1">
        <f t="array" ref="AE90">IFERROR(INDEX(PQ_Juli!$B$2:$AF$1048,MATCH($C90,PQ_Juli!$A$2:$A$1048,0),MATCH(AE$3&amp;"",PQ_Juli!$B$1:$AF$1&amp;"",0)),0)</f>
        <v>1</v>
      </c>
      <c r="AF90" s="10" cm="1">
        <f t="array" ref="AF90">IFERROR(INDEX(PQ_Juli!$B$2:$AF$1048,MATCH($C90,PQ_Juli!$A$2:$A$1048,0),MATCH(AF$3&amp;"",PQ_Juli!$B$1:$AF$1&amp;"",0)),0)</f>
        <v>2</v>
      </c>
      <c r="AG90" s="11"/>
      <c r="AH90" s="10" cm="1">
        <f t="array" ref="AH90">IFERROR(INDEX(PQ_Juli!$B$2:$AF$1048,MATCH($C90,PQ_Juli!$A$2:$A$1048,0),MATCH(AH$3&amp;"",PQ_Juli!$B$1:$AF$1&amp;"",0)),0)</f>
        <v>2</v>
      </c>
      <c r="AI90" s="10" cm="1">
        <f t="array" ref="AI90">IFERROR(INDEX(PQ_Juli!$B$2:$AF$1048,MATCH($C90,PQ_Juli!$A$2:$A$1048,0),MATCH(AI$3&amp;"",PQ_Juli!$B$1:$AF$1&amp;"",0)),0)</f>
        <v>0</v>
      </c>
      <c r="AJ90" s="10" cm="1">
        <f t="array" ref="AJ90">IFERROR(INDEX(PQ_Juli!$B$2:$AF$1048,MATCH($C90,PQ_Juli!$A$2:$A$1048,0),MATCH(AJ$3&amp;"",PQ_Juli!$B$1:$AF$1&amp;"",0)),0)</f>
        <v>0</v>
      </c>
      <c r="AK90" s="10" cm="1">
        <f t="array" ref="AK90">IFERROR(INDEX(PQ_Juli!$B$2:$AF$1048,MATCH($C90,PQ_Juli!$A$2:$A$1048,0),MATCH(AK$3&amp;"",PQ_Juli!$B$1:$AF$1&amp;"",0)),0)</f>
        <v>0</v>
      </c>
      <c r="AL90" s="10" cm="1">
        <f t="array" ref="AL90">IFERROR(INDEX(PQ_Juli!$B$2:$AF$1048,MATCH($C90,PQ_Juli!$A$2:$A$1048,0),MATCH(AL$3&amp;"",PQ_Juli!$B$1:$AF$1&amp;"",0)),0)</f>
        <v>1</v>
      </c>
      <c r="AM90" s="13"/>
      <c r="AN90" s="14">
        <f t="shared" si="12"/>
        <v>17</v>
      </c>
      <c r="AO90" s="18" t="e">
        <f t="shared" si="10"/>
        <v>#REF!</v>
      </c>
      <c r="AP90" s="23">
        <v>10</v>
      </c>
      <c r="AQ90" s="23" t="s">
        <v>21</v>
      </c>
      <c r="AR90" s="92"/>
      <c r="AS90" s="29"/>
      <c r="AT90" s="92"/>
      <c r="AU90" s="29"/>
      <c r="AV90" s="92"/>
      <c r="AW90" s="92"/>
      <c r="AX90" s="29">
        <f t="shared" si="13"/>
        <v>0</v>
      </c>
      <c r="AY90" s="29">
        <f t="shared" si="14"/>
        <v>0</v>
      </c>
      <c r="AZ90" s="18">
        <f t="shared" si="15"/>
        <v>0</v>
      </c>
      <c r="BA90" s="18" t="e">
        <f t="shared" si="11"/>
        <v>#REF!</v>
      </c>
      <c r="BB90" s="21"/>
      <c r="BC90" s="30"/>
      <c r="BD90" s="30"/>
      <c r="BE90" s="30"/>
      <c r="BF90" s="30"/>
      <c r="BN90" s="41">
        <v>23</v>
      </c>
    </row>
    <row r="91" spans="1:66" ht="22.5" customHeight="1">
      <c r="A91" s="260" t="e">
        <f t="shared" si="16"/>
        <v>#REF!</v>
      </c>
      <c r="B91" s="261"/>
      <c r="C91" s="99" t="s">
        <v>84</v>
      </c>
      <c r="D91" s="75">
        <v>25</v>
      </c>
      <c r="E91" s="75"/>
      <c r="F91" s="75"/>
      <c r="G91" s="41" t="e">
        <f>#REF!</f>
        <v>#REF!</v>
      </c>
      <c r="H91" s="10" cm="1">
        <f t="array" ref="H91">IFERROR(INDEX(PQ_Juli!$B$2:$AF$1048,MATCH($C91,PQ_Juli!$A$2:$A$1048,0),MATCH(H$3&amp;"",PQ_Juli!$B$1:$AF$1&amp;"",0)),0)</f>
        <v>0</v>
      </c>
      <c r="I91" s="10" cm="1">
        <f t="array" ref="I91">IFERROR(INDEX(PQ_Juli!$B$2:$AF$1048,MATCH($C91,PQ_Juli!$A$2:$A$1048,0),MATCH(I$3&amp;"",PQ_Juli!$B$1:$AF$1&amp;"",0)),0)</f>
        <v>0</v>
      </c>
      <c r="J91" s="10" cm="1">
        <f t="array" ref="J91">IFERROR(INDEX(PQ_Juli!$B$2:$AF$1048,MATCH($C91,PQ_Juli!$A$2:$A$1048,0),MATCH(J$3&amp;"",PQ_Juli!$B$1:$AF$1&amp;"",0)),0)</f>
        <v>0</v>
      </c>
      <c r="K91" s="10" cm="1">
        <f t="array" ref="K91">IFERROR(INDEX(PQ_Juli!$B$2:$AF$1048,MATCH($C91,PQ_Juli!$A$2:$A$1048,0),MATCH(K$3&amp;"",PQ_Juli!$B$1:$AF$1&amp;"",0)),0)</f>
        <v>0</v>
      </c>
      <c r="L91" s="11"/>
      <c r="M91" s="10" cm="1">
        <f t="array" ref="M91">IFERROR(INDEX(PQ_Juli!$B$2:$AF$1048,MATCH($C91,PQ_Juli!$A$2:$A$1048,0),MATCH(M$3&amp;"",PQ_Juli!$B$1:$AF$1&amp;"",0)),0)</f>
        <v>1</v>
      </c>
      <c r="N91" s="10" cm="1">
        <f t="array" ref="N91">IFERROR(INDEX(PQ_Juli!$B$2:$AF$1048,MATCH($C91,PQ_Juli!$A$2:$A$1048,0),MATCH(N$3&amp;"",PQ_Juli!$B$1:$AF$1&amp;"",0)),0)</f>
        <v>1</v>
      </c>
      <c r="O91" s="10" cm="1">
        <f t="array" ref="O91">IFERROR(INDEX(PQ_Juli!$B$2:$AF$1048,MATCH($C91,PQ_Juli!$A$2:$A$1048,0),MATCH(O$3&amp;"",PQ_Juli!$B$1:$AF$1&amp;"",0)),0)</f>
        <v>0</v>
      </c>
      <c r="P91" s="10" cm="1">
        <f t="array" ref="P91">IFERROR(INDEX(PQ_Juli!$B$2:$AF$1048,MATCH($C91,PQ_Juli!$A$2:$A$1048,0),MATCH(P$3&amp;"",PQ_Juli!$B$1:$AF$1&amp;"",0)),0)</f>
        <v>0</v>
      </c>
      <c r="Q91" s="10" cm="1">
        <f t="array" ref="Q91">IFERROR(INDEX(PQ_Juli!$B$2:$AF$1048,MATCH($C91,PQ_Juli!$A$2:$A$1048,0),MATCH(Q$3&amp;"",PQ_Juli!$B$1:$AF$1&amp;"",0)),0)</f>
        <v>0</v>
      </c>
      <c r="R91" s="10" cm="1">
        <f t="array" ref="R91">IFERROR(INDEX(PQ_Juli!$B$2:$AF$1048,MATCH($C91,PQ_Juli!$A$2:$A$1048,0),MATCH(R$3&amp;"",PQ_Juli!$B$1:$AF$1&amp;"",0)),0)</f>
        <v>0</v>
      </c>
      <c r="S91" s="11"/>
      <c r="T91" s="10" cm="1">
        <f t="array" ref="T91">IFERROR(INDEX(PQ_Juli!$B$2:$AF$1048,MATCH($C91,PQ_Juli!$A$2:$A$1048,0),MATCH(T$3&amp;"",PQ_Juli!$B$1:$AF$1&amp;"",0)),0)</f>
        <v>1</v>
      </c>
      <c r="U91" s="10" cm="1">
        <f t="array" ref="U91">IFERROR(INDEX(PQ_Juli!$B$2:$AF$1048,MATCH($C91,PQ_Juli!$A$2:$A$1048,0),MATCH(U$3&amp;"",PQ_Juli!$B$1:$AF$1&amp;"",0)),0)</f>
        <v>0</v>
      </c>
      <c r="V91" s="10" cm="1">
        <f t="array" ref="V91">IFERROR(INDEX(PQ_Juli!$B$2:$AF$1048,MATCH($C91,PQ_Juli!$A$2:$A$1048,0),MATCH(V$3&amp;"",PQ_Juli!$B$1:$AF$1&amp;"",0)),0)</f>
        <v>0</v>
      </c>
      <c r="W91" s="10" cm="1">
        <f t="array" ref="W91">IFERROR(INDEX(PQ_Juli!$B$2:$AF$1048,MATCH($C91,PQ_Juli!$A$2:$A$1048,0),MATCH(W$3&amp;"",PQ_Juli!$B$1:$AF$1&amp;"",0)),0)</f>
        <v>0</v>
      </c>
      <c r="X91" s="10" cm="1">
        <f t="array" ref="X91">IFERROR(INDEX(PQ_Juli!$B$2:$AF$1048,MATCH($C91,PQ_Juli!$A$2:$A$1048,0),MATCH(X$3&amp;"",PQ_Juli!$B$1:$AF$1&amp;"",0)),0)</f>
        <v>0</v>
      </c>
      <c r="Y91" s="10" cm="1">
        <f t="array" ref="Y91">IFERROR(INDEX(PQ_Juli!$B$2:$AF$1048,MATCH($C91,PQ_Juli!$A$2:$A$1048,0),MATCH(Y$3&amp;"",PQ_Juli!$B$1:$AF$1&amp;"",0)),0)</f>
        <v>0</v>
      </c>
      <c r="Z91" s="11"/>
      <c r="AA91" s="10" cm="1">
        <f t="array" ref="AA91">IFERROR(INDEX(PQ_Juli!$B$2:$AF$1048,MATCH($C91,PQ_Juli!$A$2:$A$1048,0),MATCH(AA$3&amp;"",PQ_Juli!$B$1:$AF$1&amp;"",0)),0)</f>
        <v>0</v>
      </c>
      <c r="AB91" s="10" cm="1">
        <f t="array" ref="AB91">IFERROR(INDEX(PQ_Juli!$B$2:$AF$1048,MATCH($C91,PQ_Juli!$A$2:$A$1048,0),MATCH(AB$3&amp;"",PQ_Juli!$B$1:$AF$1&amp;"",0)),0)</f>
        <v>1</v>
      </c>
      <c r="AC91" s="10" cm="1">
        <f t="array" ref="AC91">IFERROR(INDEX(PQ_Juli!$B$2:$AF$1048,MATCH($C91,PQ_Juli!$A$2:$A$1048,0),MATCH(AC$3&amp;"",PQ_Juli!$B$1:$AF$1&amp;"",0)),0)</f>
        <v>0</v>
      </c>
      <c r="AD91" s="10" cm="1">
        <f t="array" ref="AD91">IFERROR(INDEX(PQ_Juli!$B$2:$AF$1048,MATCH($C91,PQ_Juli!$A$2:$A$1048,0),MATCH(AD$3&amp;"",PQ_Juli!$B$1:$AF$1&amp;"",0)),0)</f>
        <v>0</v>
      </c>
      <c r="AE91" s="10" cm="1">
        <f t="array" ref="AE91">IFERROR(INDEX(PQ_Juli!$B$2:$AF$1048,MATCH($C91,PQ_Juli!$A$2:$A$1048,0),MATCH(AE$3&amp;"",PQ_Juli!$B$1:$AF$1&amp;"",0)),0)</f>
        <v>0</v>
      </c>
      <c r="AF91" s="10" cm="1">
        <f t="array" ref="AF91">IFERROR(INDEX(PQ_Juli!$B$2:$AF$1048,MATCH($C91,PQ_Juli!$A$2:$A$1048,0),MATCH(AF$3&amp;"",PQ_Juli!$B$1:$AF$1&amp;"",0)),0)</f>
        <v>0</v>
      </c>
      <c r="AG91" s="11"/>
      <c r="AH91" s="10" cm="1">
        <f t="array" ref="AH91">IFERROR(INDEX(PQ_Juli!$B$2:$AF$1048,MATCH($C91,PQ_Juli!$A$2:$A$1048,0),MATCH(AH$3&amp;"",PQ_Juli!$B$1:$AF$1&amp;"",0)),0)</f>
        <v>1</v>
      </c>
      <c r="AI91" s="10" cm="1">
        <f t="array" ref="AI91">IFERROR(INDEX(PQ_Juli!$B$2:$AF$1048,MATCH($C91,PQ_Juli!$A$2:$A$1048,0),MATCH(AI$3&amp;"",PQ_Juli!$B$1:$AF$1&amp;"",0)),0)</f>
        <v>0</v>
      </c>
      <c r="AJ91" s="10" cm="1">
        <f t="array" ref="AJ91">IFERROR(INDEX(PQ_Juli!$B$2:$AF$1048,MATCH($C91,PQ_Juli!$A$2:$A$1048,0),MATCH(AJ$3&amp;"",PQ_Juli!$B$1:$AF$1&amp;"",0)),0)</f>
        <v>0</v>
      </c>
      <c r="AK91" s="10" cm="1">
        <f t="array" ref="AK91">IFERROR(INDEX(PQ_Juli!$B$2:$AF$1048,MATCH($C91,PQ_Juli!$A$2:$A$1048,0),MATCH(AK$3&amp;"",PQ_Juli!$B$1:$AF$1&amp;"",0)),0)</f>
        <v>0</v>
      </c>
      <c r="AL91" s="10" cm="1">
        <f t="array" ref="AL91">IFERROR(INDEX(PQ_Juli!$B$2:$AF$1048,MATCH($C91,PQ_Juli!$A$2:$A$1048,0),MATCH(AL$3&amp;"",PQ_Juli!$B$1:$AF$1&amp;"",0)),0)</f>
        <v>0</v>
      </c>
      <c r="AM91" s="13"/>
      <c r="AN91" s="14">
        <f t="shared" si="12"/>
        <v>5</v>
      </c>
      <c r="AO91" s="18" t="e">
        <f t="shared" si="10"/>
        <v>#REF!</v>
      </c>
      <c r="AP91" s="23">
        <v>10</v>
      </c>
      <c r="AQ91" s="23" t="s">
        <v>21</v>
      </c>
      <c r="AR91" s="92"/>
      <c r="AS91" s="29"/>
      <c r="AT91" s="92"/>
      <c r="AU91" s="29"/>
      <c r="AV91" s="92"/>
      <c r="AW91" s="92"/>
      <c r="AX91" s="29">
        <f t="shared" si="13"/>
        <v>0</v>
      </c>
      <c r="AY91" s="29">
        <f t="shared" si="14"/>
        <v>0</v>
      </c>
      <c r="AZ91" s="18">
        <f t="shared" si="15"/>
        <v>0</v>
      </c>
      <c r="BA91" s="18" t="e">
        <f t="shared" si="11"/>
        <v>#REF!</v>
      </c>
      <c r="BB91" s="21"/>
      <c r="BC91" s="30"/>
      <c r="BD91" s="30"/>
      <c r="BE91" s="30"/>
      <c r="BF91" s="30"/>
      <c r="BN91" s="41">
        <v>23</v>
      </c>
    </row>
    <row r="92" spans="1:66" ht="22.5" customHeight="1">
      <c r="A92" s="262">
        <f t="shared" si="16"/>
        <v>41</v>
      </c>
      <c r="B92" s="263"/>
      <c r="C92" s="99" t="s">
        <v>67</v>
      </c>
      <c r="D92" s="75">
        <v>50</v>
      </c>
      <c r="E92" s="75">
        <v>67</v>
      </c>
      <c r="F92" s="75">
        <v>64</v>
      </c>
      <c r="G92" s="41">
        <v>92</v>
      </c>
      <c r="H92" s="10" cm="1">
        <f t="array" ref="H92">IFERROR(INDEX(PQ_Juli!$B$2:$AF$1048,MATCH($C92,PQ_Juli!$A$2:$A$1048,0),MATCH(H$3&amp;"",PQ_Juli!$B$1:$AF$1&amp;"",0)),0)</f>
        <v>1</v>
      </c>
      <c r="I92" s="10" cm="1">
        <f t="array" ref="I92">IFERROR(INDEX(PQ_Juli!$B$2:$AF$1048,MATCH($C92,PQ_Juli!$A$2:$A$1048,0),MATCH(I$3&amp;"",PQ_Juli!$B$1:$AF$1&amp;"",0)),0)</f>
        <v>1</v>
      </c>
      <c r="J92" s="10" cm="1">
        <f t="array" ref="J92">IFERROR(INDEX(PQ_Juli!$B$2:$AF$1048,MATCH($C92,PQ_Juli!$A$2:$A$1048,0),MATCH(J$3&amp;"",PQ_Juli!$B$1:$AF$1&amp;"",0)),0)</f>
        <v>1</v>
      </c>
      <c r="K92" s="10" cm="1">
        <f t="array" ref="K92">IFERROR(INDEX(PQ_Juli!$B$2:$AF$1048,MATCH($C92,PQ_Juli!$A$2:$A$1048,0),MATCH(K$3&amp;"",PQ_Juli!$B$1:$AF$1&amp;"",0)),0)</f>
        <v>0</v>
      </c>
      <c r="L92" s="11"/>
      <c r="M92" s="10" cm="1">
        <f t="array" ref="M92">IFERROR(INDEX(PQ_Juli!$B$2:$AF$1048,MATCH($C92,PQ_Juli!$A$2:$A$1048,0),MATCH(M$3&amp;"",PQ_Juli!$B$1:$AF$1&amp;"",0)),0)</f>
        <v>1</v>
      </c>
      <c r="N92" s="10" cm="1">
        <f t="array" ref="N92">IFERROR(INDEX(PQ_Juli!$B$2:$AF$1048,MATCH($C92,PQ_Juli!$A$2:$A$1048,0),MATCH(N$3&amp;"",PQ_Juli!$B$1:$AF$1&amp;"",0)),0)</f>
        <v>1</v>
      </c>
      <c r="O92" s="10" cm="1">
        <f t="array" ref="O92">IFERROR(INDEX(PQ_Juli!$B$2:$AF$1048,MATCH($C92,PQ_Juli!$A$2:$A$1048,0),MATCH(O$3&amp;"",PQ_Juli!$B$1:$AF$1&amp;"",0)),0)</f>
        <v>3</v>
      </c>
      <c r="P92" s="10" cm="1">
        <f t="array" ref="P92">IFERROR(INDEX(PQ_Juli!$B$2:$AF$1048,MATCH($C92,PQ_Juli!$A$2:$A$1048,0),MATCH(P$3&amp;"",PQ_Juli!$B$1:$AF$1&amp;"",0)),0)</f>
        <v>2</v>
      </c>
      <c r="Q92" s="10" cm="1">
        <f t="array" ref="Q92">IFERROR(INDEX(PQ_Juli!$B$2:$AF$1048,MATCH($C92,PQ_Juli!$A$2:$A$1048,0),MATCH(Q$3&amp;"",PQ_Juli!$B$1:$AF$1&amp;"",0)),0)</f>
        <v>3</v>
      </c>
      <c r="R92" s="10" cm="1">
        <f t="array" ref="R92">IFERROR(INDEX(PQ_Juli!$B$2:$AF$1048,MATCH($C92,PQ_Juli!$A$2:$A$1048,0),MATCH(R$3&amp;"",PQ_Juli!$B$1:$AF$1&amp;"",0)),0)</f>
        <v>0</v>
      </c>
      <c r="S92" s="11"/>
      <c r="T92" s="10" cm="1">
        <f t="array" ref="T92">IFERROR(INDEX(PQ_Juli!$B$2:$AF$1048,MATCH($C92,PQ_Juli!$A$2:$A$1048,0),MATCH(T$3&amp;"",PQ_Juli!$B$1:$AF$1&amp;"",0)),0)</f>
        <v>2</v>
      </c>
      <c r="U92" s="10" cm="1">
        <f t="array" ref="U92">IFERROR(INDEX(PQ_Juli!$B$2:$AF$1048,MATCH($C92,PQ_Juli!$A$2:$A$1048,0),MATCH(U$3&amp;"",PQ_Juli!$B$1:$AF$1&amp;"",0)),0)</f>
        <v>3</v>
      </c>
      <c r="V92" s="10" cm="1">
        <f t="array" ref="V92">IFERROR(INDEX(PQ_Juli!$B$2:$AF$1048,MATCH($C92,PQ_Juli!$A$2:$A$1048,0),MATCH(V$3&amp;"",PQ_Juli!$B$1:$AF$1&amp;"",0)),0)</f>
        <v>0</v>
      </c>
      <c r="W92" s="10" cm="1">
        <f t="array" ref="W92">IFERROR(INDEX(PQ_Juli!$B$2:$AF$1048,MATCH($C92,PQ_Juli!$A$2:$A$1048,0),MATCH(W$3&amp;"",PQ_Juli!$B$1:$AF$1&amp;"",0)),0)</f>
        <v>0</v>
      </c>
      <c r="X92" s="10" cm="1">
        <f t="array" ref="X92">IFERROR(INDEX(PQ_Juli!$B$2:$AF$1048,MATCH($C92,PQ_Juli!$A$2:$A$1048,0),MATCH(X$3&amp;"",PQ_Juli!$B$1:$AF$1&amp;"",0)),0)</f>
        <v>4</v>
      </c>
      <c r="Y92" s="10" cm="1">
        <f t="array" ref="Y92">IFERROR(INDEX(PQ_Juli!$B$2:$AF$1048,MATCH($C92,PQ_Juli!$A$2:$A$1048,0),MATCH(Y$3&amp;"",PQ_Juli!$B$1:$AF$1&amp;"",0)),0)</f>
        <v>0</v>
      </c>
      <c r="Z92" s="11"/>
      <c r="AA92" s="10" cm="1">
        <f t="array" ref="AA92">IFERROR(INDEX(PQ_Juli!$B$2:$AF$1048,MATCH($C92,PQ_Juli!$A$2:$A$1048,0),MATCH(AA$3&amp;"",PQ_Juli!$B$1:$AF$1&amp;"",0)),0)</f>
        <v>7</v>
      </c>
      <c r="AB92" s="10" cm="1">
        <f t="array" ref="AB92">IFERROR(INDEX(PQ_Juli!$B$2:$AF$1048,MATCH($C92,PQ_Juli!$A$2:$A$1048,0),MATCH(AB$3&amp;"",PQ_Juli!$B$1:$AF$1&amp;"",0)),0)</f>
        <v>2</v>
      </c>
      <c r="AC92" s="10" cm="1">
        <f t="array" ref="AC92">IFERROR(INDEX(PQ_Juli!$B$2:$AF$1048,MATCH($C92,PQ_Juli!$A$2:$A$1048,0),MATCH(AC$3&amp;"",PQ_Juli!$B$1:$AF$1&amp;"",0)),0)</f>
        <v>2</v>
      </c>
      <c r="AD92" s="10" cm="1">
        <f t="array" ref="AD92">IFERROR(INDEX(PQ_Juli!$B$2:$AF$1048,MATCH($C92,PQ_Juli!$A$2:$A$1048,0),MATCH(AD$3&amp;"",PQ_Juli!$B$1:$AF$1&amp;"",0)),0)</f>
        <v>3</v>
      </c>
      <c r="AE92" s="10" cm="1">
        <f t="array" ref="AE92">IFERROR(INDEX(PQ_Juli!$B$2:$AF$1048,MATCH($C92,PQ_Juli!$A$2:$A$1048,0),MATCH(AE$3&amp;"",PQ_Juli!$B$1:$AF$1&amp;"",0)),0)</f>
        <v>4</v>
      </c>
      <c r="AF92" s="10" cm="1">
        <f t="array" ref="AF92">IFERROR(INDEX(PQ_Juli!$B$2:$AF$1048,MATCH($C92,PQ_Juli!$A$2:$A$1048,0),MATCH(AF$3&amp;"",PQ_Juli!$B$1:$AF$1&amp;"",0)),0)</f>
        <v>0</v>
      </c>
      <c r="AG92" s="11"/>
      <c r="AH92" s="10" cm="1">
        <f t="array" ref="AH92">IFERROR(INDEX(PQ_Juli!$B$2:$AF$1048,MATCH($C92,PQ_Juli!$A$2:$A$1048,0),MATCH(AH$3&amp;"",PQ_Juli!$B$1:$AF$1&amp;"",0)),0)</f>
        <v>3</v>
      </c>
      <c r="AI92" s="10" cm="1">
        <f t="array" ref="AI92">IFERROR(INDEX(PQ_Juli!$B$2:$AF$1048,MATCH($C92,PQ_Juli!$A$2:$A$1048,0),MATCH(AI$3&amp;"",PQ_Juli!$B$1:$AF$1&amp;"",0)),0)</f>
        <v>5</v>
      </c>
      <c r="AJ92" s="10" cm="1">
        <f t="array" ref="AJ92">IFERROR(INDEX(PQ_Juli!$B$2:$AF$1048,MATCH($C92,PQ_Juli!$A$2:$A$1048,0),MATCH(AJ$3&amp;"",PQ_Juli!$B$1:$AF$1&amp;"",0)),0)</f>
        <v>2</v>
      </c>
      <c r="AK92" s="10" cm="1">
        <f t="array" ref="AK92">IFERROR(INDEX(PQ_Juli!$B$2:$AF$1048,MATCH($C92,PQ_Juli!$A$2:$A$1048,0),MATCH(AK$3&amp;"",PQ_Juli!$B$1:$AF$1&amp;"",0)),0)</f>
        <v>0</v>
      </c>
      <c r="AL92" s="10" cm="1">
        <f t="array" ref="AL92">IFERROR(INDEX(PQ_Juli!$B$2:$AF$1048,MATCH($C92,PQ_Juli!$A$2:$A$1048,0),MATCH(AL$3&amp;"",PQ_Juli!$B$1:$AF$1&amp;"",0)),0)</f>
        <v>1</v>
      </c>
      <c r="AM92" s="13"/>
      <c r="AN92" s="14">
        <f t="shared" si="12"/>
        <v>51</v>
      </c>
      <c r="AO92" s="18">
        <f t="shared" si="10"/>
        <v>41</v>
      </c>
      <c r="AP92" s="23">
        <v>50</v>
      </c>
      <c r="AQ92" s="23" t="s">
        <v>68</v>
      </c>
      <c r="AR92" s="92"/>
      <c r="AS92" s="29"/>
      <c r="AT92" s="92"/>
      <c r="AU92" s="29"/>
      <c r="AV92" s="92"/>
      <c r="AW92" s="92"/>
      <c r="AX92" s="29">
        <f t="shared" si="13"/>
        <v>0</v>
      </c>
      <c r="AY92" s="29">
        <f t="shared" si="14"/>
        <v>0</v>
      </c>
      <c r="AZ92" s="18">
        <f t="shared" si="15"/>
        <v>0</v>
      </c>
      <c r="BA92" s="18">
        <f t="shared" si="11"/>
        <v>41</v>
      </c>
      <c r="BB92" s="21"/>
      <c r="BC92" s="30"/>
      <c r="BD92" s="30"/>
      <c r="BE92" s="30"/>
      <c r="BF92" s="30"/>
      <c r="BN92" s="41">
        <v>75</v>
      </c>
    </row>
    <row r="93" spans="1:66" ht="22.5" customHeight="1">
      <c r="A93" s="260" t="e">
        <f t="shared" si="16"/>
        <v>#REF!</v>
      </c>
      <c r="B93" s="261"/>
      <c r="C93" s="99" t="s">
        <v>69</v>
      </c>
      <c r="D93" s="75">
        <v>192</v>
      </c>
      <c r="E93" s="75">
        <f t="shared" ref="E93:F93" si="17">E92*4</f>
        <v>268</v>
      </c>
      <c r="F93" s="75">
        <f t="shared" si="17"/>
        <v>256</v>
      </c>
      <c r="G93" s="41" t="e">
        <f>#REF!</f>
        <v>#REF!</v>
      </c>
      <c r="H93" s="10">
        <v>16</v>
      </c>
      <c r="I93" s="10">
        <f t="shared" ref="I93:J93" si="18">4*I92</f>
        <v>4</v>
      </c>
      <c r="J93" s="10">
        <f t="shared" si="18"/>
        <v>4</v>
      </c>
      <c r="K93" s="10">
        <v>12</v>
      </c>
      <c r="L93" s="11"/>
      <c r="M93" s="10">
        <f t="shared" ref="M93:N93" si="19">4*M92</f>
        <v>4</v>
      </c>
      <c r="N93" s="10">
        <f t="shared" si="19"/>
        <v>4</v>
      </c>
      <c r="O93" s="10">
        <v>24</v>
      </c>
      <c r="P93" s="10">
        <f t="shared" ref="P93" si="20">4*P92</f>
        <v>8</v>
      </c>
      <c r="Q93" s="10">
        <f t="shared" ref="Q93" si="21">4*Q92</f>
        <v>12</v>
      </c>
      <c r="R93" s="10">
        <v>12</v>
      </c>
      <c r="S93" s="11"/>
      <c r="T93" s="10">
        <f t="shared" ref="T93" si="22">4*T92</f>
        <v>8</v>
      </c>
      <c r="U93" s="10">
        <f t="shared" ref="U93:W93" si="23">4*U92</f>
        <v>12</v>
      </c>
      <c r="V93" s="10">
        <v>12</v>
      </c>
      <c r="W93" s="10">
        <f t="shared" si="23"/>
        <v>0</v>
      </c>
      <c r="X93" s="10">
        <f t="shared" ref="X93" si="24">4*X92</f>
        <v>16</v>
      </c>
      <c r="Y93" s="10">
        <v>12</v>
      </c>
      <c r="Z93" s="11"/>
      <c r="AA93" s="10">
        <f t="shared" ref="AA93:AD93" si="25">4*AA92</f>
        <v>28</v>
      </c>
      <c r="AB93" s="10">
        <f t="shared" si="25"/>
        <v>8</v>
      </c>
      <c r="AC93" s="10">
        <v>20</v>
      </c>
      <c r="AD93" s="10">
        <f t="shared" si="25"/>
        <v>12</v>
      </c>
      <c r="AE93" s="10">
        <f t="shared" ref="AE93" si="26">4*AE92</f>
        <v>16</v>
      </c>
      <c r="AF93" s="10">
        <v>12</v>
      </c>
      <c r="AG93" s="11"/>
      <c r="AH93" s="10">
        <f t="shared" ref="AH93:AL93" si="27">4*AH92</f>
        <v>12</v>
      </c>
      <c r="AI93" s="10">
        <f t="shared" ref="AI93:AK93" si="28">4*AI92</f>
        <v>20</v>
      </c>
      <c r="AJ93" s="10">
        <v>20</v>
      </c>
      <c r="AK93" s="10">
        <f t="shared" si="28"/>
        <v>0</v>
      </c>
      <c r="AL93" s="10">
        <f t="shared" si="27"/>
        <v>4</v>
      </c>
      <c r="AM93" s="13"/>
      <c r="AN93" s="14">
        <f t="shared" si="12"/>
        <v>312</v>
      </c>
      <c r="AO93" s="18" t="e">
        <f t="shared" si="10"/>
        <v>#REF!</v>
      </c>
      <c r="AP93" s="23">
        <v>192</v>
      </c>
      <c r="AQ93" s="23" t="s">
        <v>79</v>
      </c>
      <c r="AR93" s="92"/>
      <c r="AS93" s="29"/>
      <c r="AT93" s="92"/>
      <c r="AU93" s="29"/>
      <c r="AV93" s="92"/>
      <c r="AW93" s="92"/>
      <c r="AX93" s="29">
        <f t="shared" si="13"/>
        <v>0</v>
      </c>
      <c r="AY93" s="29">
        <f t="shared" si="14"/>
        <v>0</v>
      </c>
      <c r="AZ93" s="18">
        <f t="shared" si="15"/>
        <v>0</v>
      </c>
      <c r="BA93" s="18" t="e">
        <f t="shared" si="11"/>
        <v>#REF!</v>
      </c>
      <c r="BB93" s="21"/>
      <c r="BC93" s="30"/>
      <c r="BD93" s="30"/>
      <c r="BE93" s="30"/>
      <c r="BF93" s="30"/>
      <c r="BN93" s="41">
        <v>144</v>
      </c>
    </row>
    <row r="94" spans="1:66" ht="22.5" customHeight="1">
      <c r="A94" s="262" t="e">
        <f t="shared" si="16"/>
        <v>#REF!</v>
      </c>
      <c r="B94" s="263"/>
      <c r="C94" s="99" t="s">
        <v>70</v>
      </c>
      <c r="D94" s="75">
        <v>3</v>
      </c>
      <c r="E94" s="75" t="s">
        <v>29</v>
      </c>
      <c r="F94" s="75" t="s">
        <v>29</v>
      </c>
      <c r="G94" s="41" t="e">
        <f>#REF!</f>
        <v>#REF!</v>
      </c>
      <c r="H94" s="10">
        <v>0</v>
      </c>
      <c r="I94" s="10" cm="1">
        <f t="array" ref="I94">IFERROR(INDEX(PQ_Juli!$B$2:$AF$1048,MATCH($C94,PQ_Juli!$A$2:$A$1048,0),MATCH(I$3&amp;"",PQ_Juli!$B$1:$AF$1&amp;"",0)),0)</f>
        <v>0</v>
      </c>
      <c r="J94" s="10" cm="1">
        <f t="array" ref="J94">IFERROR(INDEX(PQ_Juli!$B$2:$AF$1048,MATCH($C94,PQ_Juli!$A$2:$A$1048,0),MATCH(J$3&amp;"",PQ_Juli!$B$1:$AF$1&amp;"",0)),0)</f>
        <v>0</v>
      </c>
      <c r="K94" s="10">
        <v>1</v>
      </c>
      <c r="L94" s="11"/>
      <c r="M94" s="10" cm="1">
        <f t="array" ref="M94">IFERROR(INDEX(PQ_Juli!$B$2:$AF$1048,MATCH($C94,PQ_Juli!$A$2:$A$1048,0),MATCH(M$3&amp;"",PQ_Juli!$B$1:$AF$1&amp;"",0)),0)</f>
        <v>0</v>
      </c>
      <c r="N94" s="10" cm="1">
        <f t="array" ref="N94">IFERROR(INDEX(PQ_Juli!$B$2:$AF$1048,MATCH($C94,PQ_Juli!$A$2:$A$1048,0),MATCH(N$3&amp;"",PQ_Juli!$B$1:$AF$1&amp;"",0)),0)</f>
        <v>0</v>
      </c>
      <c r="O94" s="10">
        <v>1</v>
      </c>
      <c r="P94" s="10" cm="1">
        <f t="array" ref="P94">IFERROR(INDEX(PQ_Juli!$B$2:$AF$1048,MATCH($C94,PQ_Juli!$A$2:$A$1048,0),MATCH(P$3&amp;"",PQ_Juli!$B$1:$AF$1&amp;"",0)),0)</f>
        <v>0</v>
      </c>
      <c r="Q94" s="10" cm="1">
        <f t="array" ref="Q94">IFERROR(INDEX(PQ_Juli!$B$2:$AF$1048,MATCH($C94,PQ_Juli!$A$2:$A$1048,0),MATCH(Q$3&amp;"",PQ_Juli!$B$1:$AF$1&amp;"",0)),0)</f>
        <v>0</v>
      </c>
      <c r="R94" s="10">
        <v>1</v>
      </c>
      <c r="S94" s="11"/>
      <c r="T94" s="10" cm="1">
        <f t="array" ref="T94">IFERROR(INDEX(PQ_Juli!$B$2:$AF$1048,MATCH($C94,PQ_Juli!$A$2:$A$1048,0),MATCH(T$3&amp;"",PQ_Juli!$B$1:$AF$1&amp;"",0)),0)</f>
        <v>0</v>
      </c>
      <c r="U94" s="10" cm="1">
        <f t="array" ref="U94">IFERROR(INDEX(PQ_Juli!$B$2:$AF$1048,MATCH($C94,PQ_Juli!$A$2:$A$1048,0),MATCH(U$3&amp;"",PQ_Juli!$B$1:$AF$1&amp;"",0)),0)</f>
        <v>0</v>
      </c>
      <c r="V94" s="10">
        <v>1</v>
      </c>
      <c r="W94" s="10" cm="1">
        <f t="array" ref="W94">IFERROR(INDEX(PQ_Juli!$B$2:$AF$1048,MATCH($C94,PQ_Juli!$A$2:$A$1048,0),MATCH(W$3&amp;"",PQ_Juli!$B$1:$AF$1&amp;"",0)),0)</f>
        <v>0</v>
      </c>
      <c r="X94" s="10" cm="1">
        <f t="array" ref="X94">IFERROR(INDEX(PQ_Juli!$B$2:$AF$1048,MATCH($C94,PQ_Juli!$A$2:$A$1048,0),MATCH(X$3&amp;"",PQ_Juli!$B$1:$AF$1&amp;"",0)),0)</f>
        <v>0</v>
      </c>
      <c r="Y94" s="10">
        <v>1</v>
      </c>
      <c r="Z94" s="11"/>
      <c r="AA94" s="10" cm="1">
        <f t="array" ref="AA94">IFERROR(INDEX(PQ_Juli!$B$2:$AF$1048,MATCH($C94,PQ_Juli!$A$2:$A$1048,0),MATCH(AA$3&amp;"",PQ_Juli!$B$1:$AF$1&amp;"",0)),0)</f>
        <v>0</v>
      </c>
      <c r="AB94" s="10" cm="1">
        <f t="array" ref="AB94">IFERROR(INDEX(PQ_Juli!$B$2:$AF$1048,MATCH($C94,PQ_Juli!$A$2:$A$1048,0),MATCH(AB$3&amp;"",PQ_Juli!$B$1:$AF$1&amp;"",0)),0)</f>
        <v>0</v>
      </c>
      <c r="AC94" s="10">
        <v>1</v>
      </c>
      <c r="AD94" s="10" cm="1">
        <f t="array" ref="AD94">IFERROR(INDEX(PQ_Juli!$B$2:$AF$1048,MATCH($C94,PQ_Juli!$A$2:$A$1048,0),MATCH(AD$3&amp;"",PQ_Juli!$B$1:$AF$1&amp;"",0)),0)</f>
        <v>0</v>
      </c>
      <c r="AE94" s="10" cm="1">
        <f t="array" ref="AE94">IFERROR(INDEX(PQ_Juli!$B$2:$AF$1048,MATCH($C94,PQ_Juli!$A$2:$A$1048,0),MATCH(AE$3&amp;"",PQ_Juli!$B$1:$AF$1&amp;"",0)),0)</f>
        <v>0</v>
      </c>
      <c r="AF94" s="10">
        <v>1</v>
      </c>
      <c r="AG94" s="11"/>
      <c r="AH94" s="10" cm="1">
        <f t="array" ref="AH94">IFERROR(INDEX(PQ_Juli!$B$2:$AF$1048,MATCH($C94,PQ_Juli!$A$2:$A$1048,0),MATCH(AH$3&amp;"",PQ_Juli!$B$1:$AF$1&amp;"",0)),0)</f>
        <v>0</v>
      </c>
      <c r="AI94" s="10" cm="1">
        <f t="array" ref="AI94">IFERROR(INDEX(PQ_Juli!$B$2:$AF$1048,MATCH($C94,PQ_Juli!$A$2:$A$1048,0),MATCH(AI$3&amp;"",PQ_Juli!$B$1:$AF$1&amp;"",0)),0)</f>
        <v>0</v>
      </c>
      <c r="AJ94" s="10">
        <v>1</v>
      </c>
      <c r="AK94" s="10" cm="1">
        <f t="array" ref="AK94">IFERROR(INDEX(PQ_Juli!$B$2:$AF$1048,MATCH($C94,PQ_Juli!$A$2:$A$1048,0),MATCH(AK$3&amp;"",PQ_Juli!$B$1:$AF$1&amp;"",0)),0)</f>
        <v>0</v>
      </c>
      <c r="AL94" s="10" cm="1">
        <f t="array" ref="AL94">IFERROR(INDEX(PQ_Juli!$B$2:$AF$1048,MATCH($C94,PQ_Juli!$A$2:$A$1048,0),MATCH(AL$3&amp;"",PQ_Juli!$B$1:$AF$1&amp;"",0)),0)</f>
        <v>0</v>
      </c>
      <c r="AM94" s="13"/>
      <c r="AN94" s="14">
        <f t="shared" si="12"/>
        <v>8</v>
      </c>
      <c r="AO94" s="18" t="e">
        <f t="shared" si="10"/>
        <v>#REF!</v>
      </c>
      <c r="AP94" s="23">
        <v>10</v>
      </c>
      <c r="AQ94" s="24" t="s">
        <v>79</v>
      </c>
      <c r="AR94" s="92"/>
      <c r="AS94" s="29"/>
      <c r="AT94" s="92"/>
      <c r="AU94" s="29"/>
      <c r="AV94" s="92"/>
      <c r="AW94" s="92"/>
      <c r="AX94" s="29">
        <f t="shared" si="13"/>
        <v>0</v>
      </c>
      <c r="AY94" s="29">
        <f t="shared" si="14"/>
        <v>0</v>
      </c>
      <c r="AZ94" s="18">
        <f t="shared" si="15"/>
        <v>0</v>
      </c>
      <c r="BA94" s="18" t="e">
        <f t="shared" si="11"/>
        <v>#REF!</v>
      </c>
      <c r="BB94" s="21"/>
      <c r="BC94" s="30"/>
      <c r="BD94" s="30"/>
      <c r="BE94" s="30"/>
      <c r="BF94" s="30"/>
      <c r="BN94" s="41">
        <v>16</v>
      </c>
    </row>
    <row r="95" spans="1:66" ht="22.5" customHeight="1">
      <c r="A95" s="260" t="e">
        <f t="shared" si="16"/>
        <v>#REF!</v>
      </c>
      <c r="B95" s="261"/>
      <c r="C95" s="99" t="s">
        <v>71</v>
      </c>
      <c r="D95" s="75">
        <v>100</v>
      </c>
      <c r="E95" s="75" t="s">
        <v>29</v>
      </c>
      <c r="F95" s="75">
        <v>29</v>
      </c>
      <c r="G95" s="41" t="e">
        <f>#REF!</f>
        <v>#REF!</v>
      </c>
      <c r="H95" s="10" cm="1">
        <f t="array" ref="H95">IFERROR(INDEX(PQ_Juli!$B$2:$AF$1048,MATCH($C95,PQ_Juli!$A$2:$A$1048,0),MATCH(H$3&amp;"",PQ_Juli!$B$1:$AF$1&amp;"",0)),0)</f>
        <v>0</v>
      </c>
      <c r="I95" s="10" cm="1">
        <f t="array" ref="I95">IFERROR(INDEX(PQ_Juli!$B$2:$AF$1048,MATCH($C95,PQ_Juli!$A$2:$A$1048,0),MATCH(I$3&amp;"",PQ_Juli!$B$1:$AF$1&amp;"",0)),0)</f>
        <v>1</v>
      </c>
      <c r="J95" s="10" cm="1">
        <f t="array" ref="J95">IFERROR(INDEX(PQ_Juli!$B$2:$AF$1048,MATCH($C95,PQ_Juli!$A$2:$A$1048,0),MATCH(J$3&amp;"",PQ_Juli!$B$1:$AF$1&amp;"",0)),0)</f>
        <v>0</v>
      </c>
      <c r="K95" s="10" cm="1">
        <f t="array" ref="K95">IFERROR(INDEX(PQ_Juli!$B$2:$AF$1048,MATCH($C95,PQ_Juli!$A$2:$A$1048,0),MATCH(K$3&amp;"",PQ_Juli!$B$1:$AF$1&amp;"",0)),0)</f>
        <v>2</v>
      </c>
      <c r="L95" s="11"/>
      <c r="M95" s="10" cm="1">
        <f t="array" ref="M95">IFERROR(INDEX(PQ_Juli!$B$2:$AF$1048,MATCH($C95,PQ_Juli!$A$2:$A$1048,0),MATCH(M$3&amp;"",PQ_Juli!$B$1:$AF$1&amp;"",0)),0)</f>
        <v>0</v>
      </c>
      <c r="N95" s="10" cm="1">
        <f t="array" ref="N95">IFERROR(INDEX(PQ_Juli!$B$2:$AF$1048,MATCH($C95,PQ_Juli!$A$2:$A$1048,0),MATCH(N$3&amp;"",PQ_Juli!$B$1:$AF$1&amp;"",0)),0)</f>
        <v>0</v>
      </c>
      <c r="O95" s="10" cm="1">
        <f t="array" ref="O95">IFERROR(INDEX(PQ_Juli!$B$2:$AF$1048,MATCH($C95,PQ_Juli!$A$2:$A$1048,0),MATCH(O$3&amp;"",PQ_Juli!$B$1:$AF$1&amp;"",0)),0)</f>
        <v>1</v>
      </c>
      <c r="P95" s="10" cm="1">
        <f t="array" ref="P95">IFERROR(INDEX(PQ_Juli!$B$2:$AF$1048,MATCH($C95,PQ_Juli!$A$2:$A$1048,0),MATCH(P$3&amp;"",PQ_Juli!$B$1:$AF$1&amp;"",0)),0)</f>
        <v>1</v>
      </c>
      <c r="Q95" s="10" cm="1">
        <f t="array" ref="Q95">IFERROR(INDEX(PQ_Juli!$B$2:$AF$1048,MATCH($C95,PQ_Juli!$A$2:$A$1048,0),MATCH(Q$3&amp;"",PQ_Juli!$B$1:$AF$1&amp;"",0)),0)</f>
        <v>0</v>
      </c>
      <c r="R95" s="10" cm="1">
        <f t="array" ref="R95">IFERROR(INDEX(PQ_Juli!$B$2:$AF$1048,MATCH($C95,PQ_Juli!$A$2:$A$1048,0),MATCH(R$3&amp;"",PQ_Juli!$B$1:$AF$1&amp;"",0)),0)</f>
        <v>0</v>
      </c>
      <c r="S95" s="11"/>
      <c r="T95" s="10" cm="1">
        <f t="array" ref="T95">IFERROR(INDEX(PQ_Juli!$B$2:$AF$1048,MATCH($C95,PQ_Juli!$A$2:$A$1048,0),MATCH(T$3&amp;"",PQ_Juli!$B$1:$AF$1&amp;"",0)),0)</f>
        <v>0</v>
      </c>
      <c r="U95" s="10" cm="1">
        <f t="array" ref="U95">IFERROR(INDEX(PQ_Juli!$B$2:$AF$1048,MATCH($C95,PQ_Juli!$A$2:$A$1048,0),MATCH(U$3&amp;"",PQ_Juli!$B$1:$AF$1&amp;"",0)),0)</f>
        <v>0</v>
      </c>
      <c r="V95" s="10" cm="1">
        <f t="array" ref="V95">IFERROR(INDEX(PQ_Juli!$B$2:$AF$1048,MATCH($C95,PQ_Juli!$A$2:$A$1048,0),MATCH(V$3&amp;"",PQ_Juli!$B$1:$AF$1&amp;"",0)),0)</f>
        <v>2</v>
      </c>
      <c r="W95" s="10" cm="1">
        <f t="array" ref="W95">IFERROR(INDEX(PQ_Juli!$B$2:$AF$1048,MATCH($C95,PQ_Juli!$A$2:$A$1048,0),MATCH(W$3&amp;"",PQ_Juli!$B$1:$AF$1&amp;"",0)),0)</f>
        <v>1</v>
      </c>
      <c r="X95" s="10" cm="1">
        <f t="array" ref="X95">IFERROR(INDEX(PQ_Juli!$B$2:$AF$1048,MATCH($C95,PQ_Juli!$A$2:$A$1048,0),MATCH(X$3&amp;"",PQ_Juli!$B$1:$AF$1&amp;"",0)),0)</f>
        <v>0</v>
      </c>
      <c r="Y95" s="10" cm="1">
        <f t="array" ref="Y95">IFERROR(INDEX(PQ_Juli!$B$2:$AF$1048,MATCH($C95,PQ_Juli!$A$2:$A$1048,0),MATCH(Y$3&amp;"",PQ_Juli!$B$1:$AF$1&amp;"",0)),0)</f>
        <v>0</v>
      </c>
      <c r="Z95" s="11"/>
      <c r="AA95" s="10" cm="1">
        <f t="array" ref="AA95">IFERROR(INDEX(PQ_Juli!$B$2:$AF$1048,MATCH($C95,PQ_Juli!$A$2:$A$1048,0),MATCH(AA$3&amp;"",PQ_Juli!$B$1:$AF$1&amp;"",0)),0)</f>
        <v>0</v>
      </c>
      <c r="AB95" s="10" cm="1">
        <f t="array" ref="AB95">IFERROR(INDEX(PQ_Juli!$B$2:$AF$1048,MATCH($C95,PQ_Juli!$A$2:$A$1048,0),MATCH(AB$3&amp;"",PQ_Juli!$B$1:$AF$1&amp;"",0)),0)</f>
        <v>0</v>
      </c>
      <c r="AC95" s="10" cm="1">
        <f t="array" ref="AC95">IFERROR(INDEX(PQ_Juli!$B$2:$AF$1048,MATCH($C95,PQ_Juli!$A$2:$A$1048,0),MATCH(AC$3&amp;"",PQ_Juli!$B$1:$AF$1&amp;"",0)),0)</f>
        <v>0</v>
      </c>
      <c r="AD95" s="10" cm="1">
        <f t="array" ref="AD95">IFERROR(INDEX(PQ_Juli!$B$2:$AF$1048,MATCH($C95,PQ_Juli!$A$2:$A$1048,0),MATCH(AD$3&amp;"",PQ_Juli!$B$1:$AF$1&amp;"",0)),0)</f>
        <v>0</v>
      </c>
      <c r="AE95" s="10" cm="1">
        <f t="array" ref="AE95">IFERROR(INDEX(PQ_Juli!$B$2:$AF$1048,MATCH($C95,PQ_Juli!$A$2:$A$1048,0),MATCH(AE$3&amp;"",PQ_Juli!$B$1:$AF$1&amp;"",0)),0)</f>
        <v>0</v>
      </c>
      <c r="AF95" s="10" cm="1">
        <f t="array" ref="AF95">IFERROR(INDEX(PQ_Juli!$B$2:$AF$1048,MATCH($C95,PQ_Juli!$A$2:$A$1048,0),MATCH(AF$3&amp;"",PQ_Juli!$B$1:$AF$1&amp;"",0)),0)</f>
        <v>0</v>
      </c>
      <c r="AG95" s="11"/>
      <c r="AH95" s="10" cm="1">
        <f t="array" ref="AH95">IFERROR(INDEX(PQ_Juli!$B$2:$AF$1048,MATCH($C95,PQ_Juli!$A$2:$A$1048,0),MATCH(AH$3&amp;"",PQ_Juli!$B$1:$AF$1&amp;"",0)),0)</f>
        <v>0</v>
      </c>
      <c r="AI95" s="10" cm="1">
        <f t="array" ref="AI95">IFERROR(INDEX(PQ_Juli!$B$2:$AF$1048,MATCH($C95,PQ_Juli!$A$2:$A$1048,0),MATCH(AI$3&amp;"",PQ_Juli!$B$1:$AF$1&amp;"",0)),0)</f>
        <v>0</v>
      </c>
      <c r="AJ95" s="10" cm="1">
        <f t="array" ref="AJ95">IFERROR(INDEX(PQ_Juli!$B$2:$AF$1048,MATCH($C95,PQ_Juli!$A$2:$A$1048,0),MATCH(AJ$3&amp;"",PQ_Juli!$B$1:$AF$1&amp;"",0)),0)</f>
        <v>0</v>
      </c>
      <c r="AK95" s="10" cm="1">
        <f t="array" ref="AK95">IFERROR(INDEX(PQ_Juli!$B$2:$AF$1048,MATCH($C95,PQ_Juli!$A$2:$A$1048,0),MATCH(AK$3&amp;"",PQ_Juli!$B$1:$AF$1&amp;"",0)),0)</f>
        <v>3</v>
      </c>
      <c r="AL95" s="10" cm="1">
        <f t="array" ref="AL95">IFERROR(INDEX(PQ_Juli!$B$2:$AF$1048,MATCH($C95,PQ_Juli!$A$2:$A$1048,0),MATCH(AL$3&amp;"",PQ_Juli!$B$1:$AF$1&amp;"",0)),0)</f>
        <v>0</v>
      </c>
      <c r="AM95" s="13"/>
      <c r="AN95" s="14">
        <f t="shared" si="12"/>
        <v>11</v>
      </c>
      <c r="AO95" s="18" t="e">
        <f t="shared" si="10"/>
        <v>#REF!</v>
      </c>
      <c r="AP95" s="23">
        <v>20</v>
      </c>
      <c r="AQ95" s="23" t="s">
        <v>21</v>
      </c>
      <c r="AR95" s="103"/>
      <c r="AS95" s="63"/>
      <c r="AT95" s="103"/>
      <c r="AU95" s="63"/>
      <c r="AV95" s="103"/>
      <c r="AW95" s="103"/>
      <c r="AX95" s="63">
        <f t="shared" si="13"/>
        <v>0</v>
      </c>
      <c r="AY95" s="29">
        <f t="shared" si="14"/>
        <v>0</v>
      </c>
      <c r="AZ95" s="18">
        <f t="shared" si="15"/>
        <v>0</v>
      </c>
      <c r="BA95" s="18" t="e">
        <f t="shared" si="11"/>
        <v>#REF!</v>
      </c>
      <c r="BB95" s="21"/>
      <c r="BC95" s="30"/>
      <c r="BD95" s="30"/>
      <c r="BE95" s="30"/>
      <c r="BF95" s="30"/>
      <c r="BN95" s="41">
        <v>84</v>
      </c>
    </row>
    <row r="96" spans="1:66" ht="21" customHeight="1">
      <c r="A96" s="262">
        <f t="shared" si="16"/>
        <v>1649</v>
      </c>
      <c r="B96" s="263"/>
      <c r="C96" s="99" t="s">
        <v>72</v>
      </c>
      <c r="D96" s="75">
        <v>100</v>
      </c>
      <c r="E96" s="75">
        <v>213</v>
      </c>
      <c r="F96" s="75">
        <v>364</v>
      </c>
      <c r="G96" s="41">
        <v>735</v>
      </c>
      <c r="H96" s="10" cm="1">
        <f t="array" ref="H96">IFERROR(INDEX(PQ_Juli!$B$2:$AF$1048,MATCH($C96,PQ_Juli!$A$2:$A$1048,0),MATCH(H$3&amp;"",PQ_Juli!$B$1:$AF$1&amp;"",0)),0)</f>
        <v>7</v>
      </c>
      <c r="I96" s="10" cm="1">
        <f t="array" ref="I96">IFERROR(INDEX(PQ_Juli!$B$2:$AF$1048,MATCH($C96,PQ_Juli!$A$2:$A$1048,0),MATCH(I$3&amp;"",PQ_Juli!$B$1:$AF$1&amp;"",0)),0)</f>
        <v>0</v>
      </c>
      <c r="J96" s="10">
        <v>0</v>
      </c>
      <c r="K96" s="10">
        <v>0</v>
      </c>
      <c r="L96" s="11"/>
      <c r="M96" s="10" cm="1">
        <f t="array" ref="M96">IFERROR(INDEX(PQ_Juli!$B$2:$AF$1048,MATCH($C96,PQ_Juli!$A$2:$A$1048,0),MATCH(M$3&amp;"",PQ_Juli!$B$1:$AF$1&amp;"",0)),0)</f>
        <v>15</v>
      </c>
      <c r="N96" s="10" cm="1">
        <f t="array" ref="N96">IFERROR(INDEX(PQ_Juli!$B$2:$AF$1048,MATCH($C96,PQ_Juli!$A$2:$A$1048,0),MATCH(N$3&amp;"",PQ_Juli!$B$1:$AF$1&amp;"",0)),0)</f>
        <v>14</v>
      </c>
      <c r="O96" s="10" cm="1">
        <f t="array" ref="O96">IFERROR(INDEX(PQ_Juli!$B$2:$AF$1048,MATCH($C96,PQ_Juli!$A$2:$A$1048,0),MATCH(O$3&amp;"",PQ_Juli!$B$1:$AF$1&amp;"",0)),0)</f>
        <v>10</v>
      </c>
      <c r="P96" s="10" cm="1">
        <f t="array" ref="P96">IFERROR(INDEX(PQ_Juli!$B$2:$AF$1048,MATCH($C96,PQ_Juli!$A$2:$A$1048,0),MATCH(P$3&amp;"",PQ_Juli!$B$1:$AF$1&amp;"",0)),0)</f>
        <v>8</v>
      </c>
      <c r="Q96" s="10" cm="1">
        <f t="array" ref="Q96">IFERROR(INDEX(PQ_Juli!$B$2:$AF$1048,MATCH($C96,PQ_Juli!$A$2:$A$1048,0),MATCH(Q$3&amp;"",PQ_Juli!$B$1:$AF$1&amp;"",0)),0)</f>
        <v>15</v>
      </c>
      <c r="R96" s="10" cm="1">
        <f t="array" ref="R96">IFERROR(INDEX(PQ_Juli!$B$2:$AF$1048,MATCH($C96,PQ_Juli!$A$2:$A$1048,0),MATCH(R$3&amp;"",PQ_Juli!$B$1:$AF$1&amp;"",0)),0)</f>
        <v>9</v>
      </c>
      <c r="S96" s="11"/>
      <c r="T96" s="10" cm="1">
        <f t="array" ref="T96">IFERROR(INDEX(PQ_Juli!$B$2:$AF$1048,MATCH($C96,PQ_Juli!$A$2:$A$1048,0),MATCH(T$3&amp;"",PQ_Juli!$B$1:$AF$1&amp;"",0)),0)</f>
        <v>11</v>
      </c>
      <c r="U96" s="10" cm="1">
        <f t="array" ref="U96">IFERROR(INDEX(PQ_Juli!$B$2:$AF$1048,MATCH($C96,PQ_Juli!$A$2:$A$1048,0),MATCH(U$3&amp;"",PQ_Juli!$B$1:$AF$1&amp;"",0)),0)</f>
        <v>20</v>
      </c>
      <c r="V96" s="10" cm="1">
        <f t="array" ref="V96">IFERROR(INDEX(PQ_Juli!$B$2:$AF$1048,MATCH($C96,PQ_Juli!$A$2:$A$1048,0),MATCH(V$3&amp;"",PQ_Juli!$B$1:$AF$1&amp;"",0)),0)</f>
        <v>5</v>
      </c>
      <c r="W96" s="10" cm="1">
        <f t="array" ref="W96">IFERROR(INDEX(PQ_Juli!$B$2:$AF$1048,MATCH($C96,PQ_Juli!$A$2:$A$1048,0),MATCH(W$3&amp;"",PQ_Juli!$B$1:$AF$1&amp;"",0)),0)</f>
        <v>7</v>
      </c>
      <c r="X96" s="10" cm="1">
        <f t="array" ref="X96">IFERROR(INDEX(PQ_Juli!$B$2:$AF$1048,MATCH($C96,PQ_Juli!$A$2:$A$1048,0),MATCH(X$3&amp;"",PQ_Juli!$B$1:$AF$1&amp;"",0)),0)</f>
        <v>11</v>
      </c>
      <c r="Y96" s="10" cm="1">
        <f t="array" ref="Y96">IFERROR(INDEX(PQ_Juli!$B$2:$AF$1048,MATCH($C96,PQ_Juli!$A$2:$A$1048,0),MATCH(Y$3&amp;"",PQ_Juli!$B$1:$AF$1&amp;"",0)),0)</f>
        <v>1</v>
      </c>
      <c r="Z96" s="11"/>
      <c r="AA96" s="10" cm="1">
        <f t="array" ref="AA96">IFERROR(INDEX(PQ_Juli!$B$2:$AF$1048,MATCH($C96,PQ_Juli!$A$2:$A$1048,0),MATCH(AA$3&amp;"",PQ_Juli!$B$1:$AF$1&amp;"",0)),0)</f>
        <v>11</v>
      </c>
      <c r="AB96" s="10" cm="1">
        <f t="array" ref="AB96">IFERROR(INDEX(PQ_Juli!$B$2:$AF$1048,MATCH($C96,PQ_Juli!$A$2:$A$1048,0),MATCH(AB$3&amp;"",PQ_Juli!$B$1:$AF$1&amp;"",0)),0)</f>
        <v>25</v>
      </c>
      <c r="AC96" s="10" cm="1">
        <f t="array" ref="AC96">IFERROR(INDEX(PQ_Juli!$B$2:$AF$1048,MATCH($C96,PQ_Juli!$A$2:$A$1048,0),MATCH(AC$3&amp;"",PQ_Juli!$B$1:$AF$1&amp;"",0)),0)</f>
        <v>11</v>
      </c>
      <c r="AD96" s="10" cm="1">
        <f t="array" ref="AD96">IFERROR(INDEX(PQ_Juli!$B$2:$AF$1048,MATCH($C96,PQ_Juli!$A$2:$A$1048,0),MATCH(AD$3&amp;"",PQ_Juli!$B$1:$AF$1&amp;"",0)),0)</f>
        <v>7</v>
      </c>
      <c r="AE96" s="10" cm="1">
        <f t="array" ref="AE96">IFERROR(INDEX(PQ_Juli!$B$2:$AF$1048,MATCH($C96,PQ_Juli!$A$2:$A$1048,0),MATCH(AE$3&amp;"",PQ_Juli!$B$1:$AF$1&amp;"",0)),0)</f>
        <v>10</v>
      </c>
      <c r="AF96" s="10" cm="1">
        <f t="array" ref="AF96">IFERROR(INDEX(PQ_Juli!$B$2:$AF$1048,MATCH($C96,PQ_Juli!$A$2:$A$1048,0),MATCH(AF$3&amp;"",PQ_Juli!$B$1:$AF$1&amp;"",0)),0)</f>
        <v>3</v>
      </c>
      <c r="AG96" s="11"/>
      <c r="AH96" s="10" cm="1">
        <f t="array" ref="AH96">IFERROR(INDEX(PQ_Juli!$B$2:$AF$1048,MATCH($C96,PQ_Juli!$A$2:$A$1048,0),MATCH(AH$3&amp;"",PQ_Juli!$B$1:$AF$1&amp;"",0)),0)</f>
        <v>2</v>
      </c>
      <c r="AI96" s="10">
        <v>14</v>
      </c>
      <c r="AJ96" s="10" cm="1">
        <f t="array" ref="AJ96">IFERROR(INDEX(PQ_Juli!$B$2:$AF$1048,MATCH($C96,PQ_Juli!$A$2:$A$1048,0),MATCH(AJ$3&amp;"",PQ_Juli!$B$1:$AF$1&amp;"",0)),0)</f>
        <v>5</v>
      </c>
      <c r="AK96" s="10" cm="1">
        <f t="array" ref="AK96">IFERROR(INDEX(PQ_Juli!$B$2:$AF$1048,MATCH($C96,PQ_Juli!$A$2:$A$1048,0),MATCH(AK$3&amp;"",PQ_Juli!$B$1:$AF$1&amp;"",0)),0)</f>
        <v>17</v>
      </c>
      <c r="AL96" s="10" cm="1">
        <f t="array" ref="AL96">IFERROR(INDEX(PQ_Juli!$B$2:$AF$1048,MATCH($C96,PQ_Juli!$A$2:$A$1048,0),MATCH(AL$3&amp;"",PQ_Juli!$B$1:$AF$1&amp;"",0)),0)</f>
        <v>6</v>
      </c>
      <c r="AM96" s="13">
        <v>42</v>
      </c>
      <c r="AN96" s="14">
        <f t="shared" si="12"/>
        <v>286</v>
      </c>
      <c r="AO96" s="18">
        <f t="shared" si="10"/>
        <v>1649</v>
      </c>
      <c r="AP96" s="23">
        <v>300</v>
      </c>
      <c r="AQ96" s="51" t="s">
        <v>73</v>
      </c>
      <c r="AR96" s="92">
        <v>46219</v>
      </c>
      <c r="AS96" s="104">
        <v>4</v>
      </c>
      <c r="AT96" s="105">
        <v>46232</v>
      </c>
      <c r="AU96" s="104">
        <v>8</v>
      </c>
      <c r="AV96" s="105">
        <v>46245</v>
      </c>
      <c r="AW96" s="105">
        <v>46245</v>
      </c>
      <c r="AX96" s="104">
        <f t="shared" si="13"/>
        <v>400</v>
      </c>
      <c r="AY96" s="59">
        <f t="shared" si="14"/>
        <v>800</v>
      </c>
      <c r="AZ96" s="18">
        <f t="shared" si="15"/>
        <v>1200</v>
      </c>
      <c r="BA96" s="18">
        <f t="shared" si="11"/>
        <v>1649</v>
      </c>
      <c r="BB96" s="60"/>
      <c r="BC96" s="26"/>
      <c r="BD96" s="26"/>
      <c r="BE96" s="26"/>
      <c r="BF96" s="26"/>
      <c r="BN96" s="41">
        <v>400</v>
      </c>
    </row>
    <row r="97" spans="1:66" ht="22.5" customHeight="1">
      <c r="A97" s="260">
        <f t="shared" si="16"/>
        <v>221</v>
      </c>
      <c r="B97" s="261"/>
      <c r="C97" s="99" t="s">
        <v>78</v>
      </c>
      <c r="D97" s="75">
        <v>100</v>
      </c>
      <c r="E97" s="75">
        <v>39</v>
      </c>
      <c r="F97" s="75"/>
      <c r="G97" s="41">
        <v>244</v>
      </c>
      <c r="H97" s="10">
        <v>1</v>
      </c>
      <c r="I97" s="10" cm="1">
        <f t="array" ref="I97">IFERROR(INDEX(PQ_Juli!$B$2:$AF$1048,MATCH($C97,PQ_Juli!$A$2:$A$1048,0),MATCH(I$3&amp;"",PQ_Juli!$B$1:$AF$1&amp;"",0)),0)</f>
        <v>0</v>
      </c>
      <c r="J97" s="10" cm="1">
        <f t="array" ref="J97">IFERROR(INDEX(PQ_Juli!$B$2:$AF$1048,MATCH($C97,PQ_Juli!$A$2:$A$1048,0),MATCH(J$3&amp;"",PQ_Juli!$B$1:$AF$1&amp;"",0)),0)</f>
        <v>5</v>
      </c>
      <c r="K97" s="10" cm="1">
        <f t="array" ref="K97">IFERROR(INDEX(PQ_Juli!$B$2:$AF$1048,MATCH($C97,PQ_Juli!$A$2:$A$1048,0),MATCH(K$3&amp;"",PQ_Juli!$B$1:$AF$1&amp;"",0)),0)</f>
        <v>6</v>
      </c>
      <c r="L97" s="11"/>
      <c r="M97" s="10" cm="1">
        <f t="array" ref="M97">IFERROR(INDEX(PQ_Juli!$B$2:$AF$1048,MATCH($C97,PQ_Juli!$A$2:$A$1048,0),MATCH(M$3&amp;"",PQ_Juli!$B$1:$AF$1&amp;"",0)),0)</f>
        <v>14</v>
      </c>
      <c r="N97" s="10" cm="1">
        <f t="array" ref="N97">IFERROR(INDEX(PQ_Juli!$B$2:$AF$1048,MATCH($C97,PQ_Juli!$A$2:$A$1048,0),MATCH(N$3&amp;"",PQ_Juli!$B$1:$AF$1&amp;"",0)),0)</f>
        <v>10</v>
      </c>
      <c r="O97" s="10" cm="1">
        <f t="array" ref="O97">IFERROR(INDEX(PQ_Juli!$B$2:$AF$1048,MATCH($C97,PQ_Juli!$A$2:$A$1048,0),MATCH(O$3&amp;"",PQ_Juli!$B$1:$AF$1&amp;"",0)),0)</f>
        <v>5</v>
      </c>
      <c r="P97" s="10" cm="1">
        <f t="array" ref="P97">IFERROR(INDEX(PQ_Juli!$B$2:$AF$1048,MATCH($C97,PQ_Juli!$A$2:$A$1048,0),MATCH(P$3&amp;"",PQ_Juli!$B$1:$AF$1&amp;"",0)),0)</f>
        <v>1</v>
      </c>
      <c r="Q97" s="10" cm="1">
        <f t="array" ref="Q97">IFERROR(INDEX(PQ_Juli!$B$2:$AF$1048,MATCH($C97,PQ_Juli!$A$2:$A$1048,0),MATCH(Q$3&amp;"",PQ_Juli!$B$1:$AF$1&amp;"",0)),0)</f>
        <v>4</v>
      </c>
      <c r="R97" s="10" cm="1">
        <f t="array" ref="R97">IFERROR(INDEX(PQ_Juli!$B$2:$AF$1048,MATCH($C97,PQ_Juli!$A$2:$A$1048,0),MATCH(R$3&amp;"",PQ_Juli!$B$1:$AF$1&amp;"",0)),0)</f>
        <v>0</v>
      </c>
      <c r="S97" s="11"/>
      <c r="T97" s="10" cm="1">
        <f t="array" ref="T97">IFERROR(INDEX(PQ_Juli!$B$2:$AF$1048,MATCH($C97,PQ_Juli!$A$2:$A$1048,0),MATCH(T$3&amp;"",PQ_Juli!$B$1:$AF$1&amp;"",0)),0)</f>
        <v>5</v>
      </c>
      <c r="U97" s="10" cm="1">
        <f t="array" ref="U97">IFERROR(INDEX(PQ_Juli!$B$2:$AF$1048,MATCH($C97,PQ_Juli!$A$2:$A$1048,0),MATCH(U$3&amp;"",PQ_Juli!$B$1:$AF$1&amp;"",0)),0)</f>
        <v>1</v>
      </c>
      <c r="V97" s="10" cm="1">
        <f t="array" ref="V97">IFERROR(INDEX(PQ_Juli!$B$2:$AF$1048,MATCH($C97,PQ_Juli!$A$2:$A$1048,0),MATCH(V$3&amp;"",PQ_Juli!$B$1:$AF$1&amp;"",0)),0)</f>
        <v>0</v>
      </c>
      <c r="W97" s="10" cm="1">
        <f t="array" ref="W97">IFERROR(INDEX(PQ_Juli!$B$2:$AF$1048,MATCH($C97,PQ_Juli!$A$2:$A$1048,0),MATCH(W$3&amp;"",PQ_Juli!$B$1:$AF$1&amp;"",0)),0)</f>
        <v>4</v>
      </c>
      <c r="X97" s="10" cm="1">
        <f t="array" ref="X97">IFERROR(INDEX(PQ_Juli!$B$2:$AF$1048,MATCH($C97,PQ_Juli!$A$2:$A$1048,0),MATCH(X$3&amp;"",PQ_Juli!$B$1:$AF$1&amp;"",0)),0)</f>
        <v>1</v>
      </c>
      <c r="Y97" s="10" cm="1">
        <f t="array" ref="Y97">IFERROR(INDEX(PQ_Juli!$B$2:$AF$1048,MATCH($C97,PQ_Juli!$A$2:$A$1048,0),MATCH(Y$3&amp;"",PQ_Juli!$B$1:$AF$1&amp;"",0)),0)</f>
        <v>1</v>
      </c>
      <c r="Z97" s="11"/>
      <c r="AA97" s="10" cm="1">
        <f t="array" ref="AA97">IFERROR(INDEX(PQ_Juli!$B$2:$AF$1048,MATCH($C97,PQ_Juli!$A$2:$A$1048,0),MATCH(AA$3&amp;"",PQ_Juli!$B$1:$AF$1&amp;"",0)),0)</f>
        <v>4</v>
      </c>
      <c r="AB97" s="10" cm="1">
        <f t="array" ref="AB97">IFERROR(INDEX(PQ_Juli!$B$2:$AF$1048,MATCH($C97,PQ_Juli!$A$2:$A$1048,0),MATCH(AB$3&amp;"",PQ_Juli!$B$1:$AF$1&amp;"",0)),0)</f>
        <v>2</v>
      </c>
      <c r="AC97" s="10" cm="1">
        <f t="array" ref="AC97">IFERROR(INDEX(PQ_Juli!$B$2:$AF$1048,MATCH($C97,PQ_Juli!$A$2:$A$1048,0),MATCH(AC$3&amp;"",PQ_Juli!$B$1:$AF$1&amp;"",0)),0)</f>
        <v>1</v>
      </c>
      <c r="AD97" s="10" cm="1">
        <f t="array" ref="AD97">IFERROR(INDEX(PQ_Juli!$B$2:$AF$1048,MATCH($C97,PQ_Juli!$A$2:$A$1048,0),MATCH(AD$3&amp;"",PQ_Juli!$B$1:$AF$1&amp;"",0)),0)</f>
        <v>1</v>
      </c>
      <c r="AE97" s="10" cm="1">
        <f t="array" ref="AE97">IFERROR(INDEX(PQ_Juli!$B$2:$AF$1048,MATCH($C97,PQ_Juli!$A$2:$A$1048,0),MATCH(AE$3&amp;"",PQ_Juli!$B$1:$AF$1&amp;"",0)),0)</f>
        <v>1</v>
      </c>
      <c r="AF97" s="10" cm="1">
        <f t="array" ref="AF97">IFERROR(INDEX(PQ_Juli!$B$2:$AF$1048,MATCH($C97,PQ_Juli!$A$2:$A$1048,0),MATCH(AF$3&amp;"",PQ_Juli!$B$1:$AF$1&amp;"",0)),0)</f>
        <v>1</v>
      </c>
      <c r="AG97" s="11"/>
      <c r="AH97" s="10" cm="1">
        <f t="array" ref="AH97">IFERROR(INDEX(PQ_Juli!$B$2:$AF$1048,MATCH($C97,PQ_Juli!$A$2:$A$1048,0),MATCH(AH$3&amp;"",PQ_Juli!$B$1:$AF$1&amp;"",0)),0)</f>
        <v>1</v>
      </c>
      <c r="AI97" s="10">
        <v>8</v>
      </c>
      <c r="AJ97" s="10" cm="1">
        <f t="array" ref="AJ97">IFERROR(INDEX(PQ_Juli!$B$2:$AF$1048,MATCH($C97,PQ_Juli!$A$2:$A$1048,0),MATCH(AJ$3&amp;"",PQ_Juli!$B$1:$AF$1&amp;"",0)),0)</f>
        <v>4</v>
      </c>
      <c r="AK97" s="10" cm="1">
        <f t="array" ref="AK97">IFERROR(INDEX(PQ_Juli!$B$2:$AF$1048,MATCH($C97,PQ_Juli!$A$2:$A$1048,0),MATCH(AK$3&amp;"",PQ_Juli!$B$1:$AF$1&amp;"",0)),0)</f>
        <v>0</v>
      </c>
      <c r="AL97" s="10" cm="1">
        <f t="array" ref="AL97">IFERROR(INDEX(PQ_Juli!$B$2:$AF$1048,MATCH($C97,PQ_Juli!$A$2:$A$1048,0),MATCH(AL$3&amp;"",PQ_Juli!$B$1:$AF$1&amp;"",0)),0)</f>
        <v>0</v>
      </c>
      <c r="AM97" s="13">
        <v>42</v>
      </c>
      <c r="AN97" s="14">
        <f t="shared" si="12"/>
        <v>123</v>
      </c>
      <c r="AO97" s="18">
        <f t="shared" si="10"/>
        <v>221</v>
      </c>
      <c r="AP97" s="23">
        <v>100</v>
      </c>
      <c r="AQ97" s="51" t="s">
        <v>79</v>
      </c>
      <c r="AR97" s="105">
        <v>46216</v>
      </c>
      <c r="AS97" s="104">
        <v>1</v>
      </c>
      <c r="AT97" s="105"/>
      <c r="AU97" s="104"/>
      <c r="AV97" s="105">
        <v>46218</v>
      </c>
      <c r="AW97" s="105"/>
      <c r="AX97" s="104">
        <f t="shared" si="13"/>
        <v>100</v>
      </c>
      <c r="AY97" s="59">
        <f t="shared" si="14"/>
        <v>0</v>
      </c>
      <c r="AZ97" s="18">
        <f t="shared" si="15"/>
        <v>100</v>
      </c>
      <c r="BA97" s="18">
        <f t="shared" si="11"/>
        <v>221</v>
      </c>
      <c r="BB97" s="60"/>
      <c r="BC97" s="26"/>
      <c r="BD97" s="26"/>
      <c r="BE97" s="26"/>
      <c r="BF97" s="26"/>
      <c r="BN97" s="41">
        <v>150</v>
      </c>
    </row>
    <row r="98" spans="1:66" ht="21.75" customHeight="1">
      <c r="A98" s="262">
        <f t="shared" si="16"/>
        <v>9</v>
      </c>
      <c r="B98" s="263"/>
      <c r="C98" s="76" t="s">
        <v>74</v>
      </c>
      <c r="D98" s="75">
        <v>10</v>
      </c>
      <c r="E98" s="75" t="s">
        <v>29</v>
      </c>
      <c r="F98" s="75" t="s">
        <v>29</v>
      </c>
      <c r="G98" s="41">
        <v>12</v>
      </c>
      <c r="H98" s="10" cm="1">
        <f t="array" ref="H98">IFERROR(INDEX(PQ_Juli!$B$2:$AF$1048,MATCH($C98,PQ_Juli!$A$2:$A$1048,0),MATCH(H$3&amp;"",PQ_Juli!$B$1:$AF$1&amp;"",0)),0)</f>
        <v>0</v>
      </c>
      <c r="I98" s="10" cm="1">
        <f t="array" ref="I98">IFERROR(INDEX(PQ_Juli!$B$2:$AF$1048,MATCH($C98,PQ_Juli!$A$2:$A$1048,0),MATCH(I$3&amp;"",PQ_Juli!$B$1:$AF$1&amp;"",0)),0)</f>
        <v>0</v>
      </c>
      <c r="J98" s="10" cm="1">
        <f t="array" ref="J98">IFERROR(INDEX(PQ_Juli!$B$2:$AF$1048,MATCH($C98,PQ_Juli!$A$2:$A$1048,0),MATCH(J$3&amp;"",PQ_Juli!$B$1:$AF$1&amp;"",0)),0)</f>
        <v>0</v>
      </c>
      <c r="K98" s="10" cm="1">
        <f t="array" ref="K98">IFERROR(INDEX(PQ_Juli!$B$2:$AF$1048,MATCH($C98,PQ_Juli!$A$2:$A$1048,0),MATCH(K$3&amp;"",PQ_Juli!$B$1:$AF$1&amp;"",0)),0)</f>
        <v>0</v>
      </c>
      <c r="L98" s="11"/>
      <c r="M98" s="10" cm="1">
        <f t="array" ref="M98">IFERROR(INDEX(PQ_Juli!$B$2:$AF$1048,MATCH($C98,PQ_Juli!$A$2:$A$1048,0),MATCH(M$3&amp;"",PQ_Juli!$B$1:$AF$1&amp;"",0)),0)</f>
        <v>1</v>
      </c>
      <c r="N98" s="10" cm="1">
        <f t="array" ref="N98">IFERROR(INDEX(PQ_Juli!$B$2:$AF$1048,MATCH($C98,PQ_Juli!$A$2:$A$1048,0),MATCH(N$3&amp;"",PQ_Juli!$B$1:$AF$1&amp;"",0)),0)</f>
        <v>0</v>
      </c>
      <c r="O98" s="10" cm="1">
        <f t="array" ref="O98">IFERROR(INDEX(PQ_Juli!$B$2:$AF$1048,MATCH($C98,PQ_Juli!$A$2:$A$1048,0),MATCH(O$3&amp;"",PQ_Juli!$B$1:$AF$1&amp;"",0)),0)</f>
        <v>1</v>
      </c>
      <c r="P98" s="10" cm="1">
        <f t="array" ref="P98">IFERROR(INDEX(PQ_Juli!$B$2:$AF$1048,MATCH($C98,PQ_Juli!$A$2:$A$1048,0),MATCH(P$3&amp;"",PQ_Juli!$B$1:$AF$1&amp;"",0)),0)</f>
        <v>0</v>
      </c>
      <c r="Q98" s="10" cm="1">
        <f t="array" ref="Q98">IFERROR(INDEX(PQ_Juli!$B$2:$AF$1048,MATCH($C98,PQ_Juli!$A$2:$A$1048,0),MATCH(Q$3&amp;"",PQ_Juli!$B$1:$AF$1&amp;"",0)),0)</f>
        <v>0</v>
      </c>
      <c r="R98" s="10" cm="1">
        <f t="array" ref="R98">IFERROR(INDEX(PQ_Juli!$B$2:$AF$1048,MATCH($C98,PQ_Juli!$A$2:$A$1048,0),MATCH(R$3&amp;"",PQ_Juli!$B$1:$AF$1&amp;"",0)),0)</f>
        <v>2</v>
      </c>
      <c r="S98" s="11"/>
      <c r="T98" s="10" cm="1">
        <f t="array" ref="T98">IFERROR(INDEX(PQ_Juli!$B$2:$AF$1048,MATCH($C98,PQ_Juli!$A$2:$A$1048,0),MATCH(T$3&amp;"",PQ_Juli!$B$1:$AF$1&amp;"",0)),0)</f>
        <v>1</v>
      </c>
      <c r="U98" s="10" cm="1">
        <f t="array" ref="U98">IFERROR(INDEX(PQ_Juli!$B$2:$AF$1048,MATCH($C98,PQ_Juli!$A$2:$A$1048,0),MATCH(U$3&amp;"",PQ_Juli!$B$1:$AF$1&amp;"",0)),0)</f>
        <v>0</v>
      </c>
      <c r="V98" s="10" cm="1">
        <f t="array" ref="V98">IFERROR(INDEX(PQ_Juli!$B$2:$AF$1048,MATCH($C98,PQ_Juli!$A$2:$A$1048,0),MATCH(V$3&amp;"",PQ_Juli!$B$1:$AF$1&amp;"",0)),0)</f>
        <v>0</v>
      </c>
      <c r="W98" s="10" cm="1">
        <f t="array" ref="W98">IFERROR(INDEX(PQ_Juli!$B$2:$AF$1048,MATCH($C98,PQ_Juli!$A$2:$A$1048,0),MATCH(W$3&amp;"",PQ_Juli!$B$1:$AF$1&amp;"",0)),0)</f>
        <v>1</v>
      </c>
      <c r="X98" s="10" cm="1">
        <f t="array" ref="X98">IFERROR(INDEX(PQ_Juli!$B$2:$AF$1048,MATCH($C98,PQ_Juli!$A$2:$A$1048,0),MATCH(X$3&amp;"",PQ_Juli!$B$1:$AF$1&amp;"",0)),0)</f>
        <v>1</v>
      </c>
      <c r="Y98" s="10" cm="1">
        <f t="array" ref="Y98">IFERROR(INDEX(PQ_Juli!$B$2:$AF$1048,MATCH($C98,PQ_Juli!$A$2:$A$1048,0),MATCH(Y$3&amp;"",PQ_Juli!$B$1:$AF$1&amp;"",0)),0)</f>
        <v>0</v>
      </c>
      <c r="Z98" s="11"/>
      <c r="AA98" s="10" cm="1">
        <f t="array" ref="AA98">IFERROR(INDEX(PQ_Juli!$B$2:$AF$1048,MATCH($C98,PQ_Juli!$A$2:$A$1048,0),MATCH(AA$3&amp;"",PQ_Juli!$B$1:$AF$1&amp;"",0)),0)</f>
        <v>1</v>
      </c>
      <c r="AB98" s="10" cm="1">
        <f t="array" ref="AB98">IFERROR(INDEX(PQ_Juli!$B$2:$AF$1048,MATCH($C98,PQ_Juli!$A$2:$A$1048,0),MATCH(AB$3&amp;"",PQ_Juli!$B$1:$AF$1&amp;"",0)),0)</f>
        <v>1</v>
      </c>
      <c r="AC98" s="10" cm="1">
        <f t="array" ref="AC98">IFERROR(INDEX(PQ_Juli!$B$2:$AF$1048,MATCH($C98,PQ_Juli!$A$2:$A$1048,0),MATCH(AC$3&amp;"",PQ_Juli!$B$1:$AF$1&amp;"",0)),0)</f>
        <v>0</v>
      </c>
      <c r="AD98" s="10" cm="1">
        <f t="array" ref="AD98">IFERROR(INDEX(PQ_Juli!$B$2:$AF$1048,MATCH($C98,PQ_Juli!$A$2:$A$1048,0),MATCH(AD$3&amp;"",PQ_Juli!$B$1:$AF$1&amp;"",0)),0)</f>
        <v>0</v>
      </c>
      <c r="AE98" s="10" cm="1">
        <f t="array" ref="AE98">IFERROR(INDEX(PQ_Juli!$B$2:$AF$1048,MATCH($C98,PQ_Juli!$A$2:$A$1048,0),MATCH(AE$3&amp;"",PQ_Juli!$B$1:$AF$1&amp;"",0)),0)</f>
        <v>1</v>
      </c>
      <c r="AF98" s="10" cm="1">
        <f t="array" ref="AF98">IFERROR(INDEX(PQ_Juli!$B$2:$AF$1048,MATCH($C98,PQ_Juli!$A$2:$A$1048,0),MATCH(AF$3&amp;"",PQ_Juli!$B$1:$AF$1&amp;"",0)),0)</f>
        <v>1</v>
      </c>
      <c r="AG98" s="11"/>
      <c r="AH98" s="10" cm="1">
        <f t="array" ref="AH98">IFERROR(INDEX(PQ_Juli!$B$2:$AF$1048,MATCH($C98,PQ_Juli!$A$2:$A$1048,0),MATCH(AH$3&amp;"",PQ_Juli!$B$1:$AF$1&amp;"",0)),0)</f>
        <v>1</v>
      </c>
      <c r="AI98" s="10" cm="1">
        <f t="array" ref="AI98">IFERROR(INDEX(PQ_Juli!$B$2:$AF$1048,MATCH($C98,PQ_Juli!$A$2:$A$1048,0),MATCH(AI$3&amp;"",PQ_Juli!$B$1:$AF$1&amp;"",0)),0)</f>
        <v>0</v>
      </c>
      <c r="AJ98" s="10" cm="1">
        <f t="array" ref="AJ98">IFERROR(INDEX(PQ_Juli!$B$2:$AF$1048,MATCH($C98,PQ_Juli!$A$2:$A$1048,0),MATCH(AJ$3&amp;"",PQ_Juli!$B$1:$AF$1&amp;"",0)),0)</f>
        <v>0</v>
      </c>
      <c r="AK98" s="10" cm="1">
        <f t="array" ref="AK98">IFERROR(INDEX(PQ_Juli!$B$2:$AF$1048,MATCH($C98,PQ_Juli!$A$2:$A$1048,0),MATCH(AK$3&amp;"",PQ_Juli!$B$1:$AF$1&amp;"",0)),0)</f>
        <v>0</v>
      </c>
      <c r="AL98" s="10" cm="1">
        <f t="array" ref="AL98">IFERROR(INDEX(PQ_Juli!$B$2:$AF$1048,MATCH($C98,PQ_Juli!$A$2:$A$1048,0),MATCH(AL$3&amp;"",PQ_Juli!$B$1:$AF$1&amp;"",0)),0)</f>
        <v>1</v>
      </c>
      <c r="AM98" s="13"/>
      <c r="AN98" s="14">
        <f t="shared" si="12"/>
        <v>13</v>
      </c>
      <c r="AO98" s="18">
        <f t="shared" si="10"/>
        <v>9</v>
      </c>
      <c r="AP98" s="23">
        <v>10</v>
      </c>
      <c r="AQ98" s="51" t="s">
        <v>21</v>
      </c>
      <c r="AR98" s="105">
        <v>46210</v>
      </c>
      <c r="AS98" s="104">
        <v>1</v>
      </c>
      <c r="AT98" s="105"/>
      <c r="AU98" s="104"/>
      <c r="AV98" s="92">
        <v>46216</v>
      </c>
      <c r="AW98" s="105"/>
      <c r="AX98" s="104">
        <f t="shared" si="13"/>
        <v>10</v>
      </c>
      <c r="AY98" s="59">
        <f t="shared" si="14"/>
        <v>0</v>
      </c>
      <c r="AZ98" s="18">
        <f t="shared" si="15"/>
        <v>10</v>
      </c>
      <c r="BA98" s="18">
        <f t="shared" si="11"/>
        <v>9</v>
      </c>
      <c r="BB98" s="60"/>
      <c r="BC98" s="26"/>
      <c r="BD98" s="26"/>
      <c r="BE98" s="26"/>
      <c r="BF98" s="26"/>
      <c r="BN98" s="41">
        <v>19</v>
      </c>
    </row>
    <row r="99" spans="1:66" ht="24.75" customHeight="1">
      <c r="A99" s="260" t="e">
        <f t="shared" si="16"/>
        <v>#REF!</v>
      </c>
      <c r="B99" s="261"/>
      <c r="C99" s="76" t="s">
        <v>75</v>
      </c>
      <c r="D99" s="75">
        <v>10</v>
      </c>
      <c r="E99" s="75" t="s">
        <v>29</v>
      </c>
      <c r="F99" s="75" t="s">
        <v>29</v>
      </c>
      <c r="G99" s="41" t="e">
        <f>#REF!</f>
        <v>#REF!</v>
      </c>
      <c r="H99" s="10" cm="1">
        <f t="array" ref="H99">IFERROR(INDEX(PQ_Juli!$B$2:$AF$1048,MATCH($C99,PQ_Juli!$A$2:$A$1048,0),MATCH(H$3&amp;"",PQ_Juli!$B$1:$AF$1&amp;"",0)),0)</f>
        <v>1</v>
      </c>
      <c r="I99" s="10" cm="1">
        <f t="array" ref="I99">IFERROR(INDEX(PQ_Juli!$B$2:$AF$1048,MATCH($C99,PQ_Juli!$A$2:$A$1048,0),MATCH(I$3&amp;"",PQ_Juli!$B$1:$AF$1&amp;"",0)),0)</f>
        <v>1</v>
      </c>
      <c r="J99" s="10" cm="1">
        <f t="array" ref="J99">IFERROR(INDEX(PQ_Juli!$B$2:$AF$1048,MATCH($C99,PQ_Juli!$A$2:$A$1048,0),MATCH(J$3&amp;"",PQ_Juli!$B$1:$AF$1&amp;"",0)),0)</f>
        <v>0</v>
      </c>
      <c r="K99" s="10" cm="1">
        <f t="array" ref="K99">IFERROR(INDEX(PQ_Juli!$B$2:$AF$1048,MATCH($C99,PQ_Juli!$A$2:$A$1048,0),MATCH(K$3&amp;"",PQ_Juli!$B$1:$AF$1&amp;"",0)),0)</f>
        <v>0</v>
      </c>
      <c r="L99" s="11"/>
      <c r="M99" s="10" cm="1">
        <f t="array" ref="M99">IFERROR(INDEX(PQ_Juli!$B$2:$AF$1048,MATCH($C99,PQ_Juli!$A$2:$A$1048,0),MATCH(M$3&amp;"",PQ_Juli!$B$1:$AF$1&amp;"",0)),0)</f>
        <v>0</v>
      </c>
      <c r="N99" s="10" cm="1">
        <f t="array" ref="N99">IFERROR(INDEX(PQ_Juli!$B$2:$AF$1048,MATCH($C99,PQ_Juli!$A$2:$A$1048,0),MATCH(N$3&amp;"",PQ_Juli!$B$1:$AF$1&amp;"",0)),0)</f>
        <v>0</v>
      </c>
      <c r="O99" s="10" cm="1">
        <f t="array" ref="O99">IFERROR(INDEX(PQ_Juli!$B$2:$AF$1048,MATCH($C99,PQ_Juli!$A$2:$A$1048,0),MATCH(O$3&amp;"",PQ_Juli!$B$1:$AF$1&amp;"",0)),0)</f>
        <v>0</v>
      </c>
      <c r="P99" s="10" cm="1">
        <f t="array" ref="P99">IFERROR(INDEX(PQ_Juli!$B$2:$AF$1048,MATCH($C99,PQ_Juli!$A$2:$A$1048,0),MATCH(P$3&amp;"",PQ_Juli!$B$1:$AF$1&amp;"",0)),0)</f>
        <v>0</v>
      </c>
      <c r="Q99" s="10" cm="1">
        <f t="array" ref="Q99">IFERROR(INDEX(PQ_Juli!$B$2:$AF$1048,MATCH($C99,PQ_Juli!$A$2:$A$1048,0),MATCH(Q$3&amp;"",PQ_Juli!$B$1:$AF$1&amp;"",0)),0)</f>
        <v>0</v>
      </c>
      <c r="R99" s="10" cm="1">
        <f t="array" ref="R99">IFERROR(INDEX(PQ_Juli!$B$2:$AF$1048,MATCH($C99,PQ_Juli!$A$2:$A$1048,0),MATCH(R$3&amp;"",PQ_Juli!$B$1:$AF$1&amp;"",0)),0)</f>
        <v>0</v>
      </c>
      <c r="S99" s="11"/>
      <c r="T99" s="10" cm="1">
        <f t="array" ref="T99">IFERROR(INDEX(PQ_Juli!$B$2:$AF$1048,MATCH($C99,PQ_Juli!$A$2:$A$1048,0),MATCH(T$3&amp;"",PQ_Juli!$B$1:$AF$1&amp;"",0)),0)</f>
        <v>0</v>
      </c>
      <c r="U99" s="10" cm="1">
        <f t="array" ref="U99">IFERROR(INDEX(PQ_Juli!$B$2:$AF$1048,MATCH($C99,PQ_Juli!$A$2:$A$1048,0),MATCH(U$3&amp;"",PQ_Juli!$B$1:$AF$1&amp;"",0)),0)</f>
        <v>0</v>
      </c>
      <c r="V99" s="10" cm="1">
        <f t="array" ref="V99">IFERROR(INDEX(PQ_Juli!$B$2:$AF$1048,MATCH($C99,PQ_Juli!$A$2:$A$1048,0),MATCH(V$3&amp;"",PQ_Juli!$B$1:$AF$1&amp;"",0)),0)</f>
        <v>1</v>
      </c>
      <c r="W99" s="10" cm="1">
        <f t="array" ref="W99">IFERROR(INDEX(PQ_Juli!$B$2:$AF$1048,MATCH($C99,PQ_Juli!$A$2:$A$1048,0),MATCH(W$3&amp;"",PQ_Juli!$B$1:$AF$1&amp;"",0)),0)</f>
        <v>0</v>
      </c>
      <c r="X99" s="10" cm="1">
        <f t="array" ref="X99">IFERROR(INDEX(PQ_Juli!$B$2:$AF$1048,MATCH($C99,PQ_Juli!$A$2:$A$1048,0),MATCH(X$3&amp;"",PQ_Juli!$B$1:$AF$1&amp;"",0)),0)</f>
        <v>0</v>
      </c>
      <c r="Y99" s="10" cm="1">
        <f t="array" ref="Y99">IFERROR(INDEX(PQ_Juli!$B$2:$AF$1048,MATCH($C99,PQ_Juli!$A$2:$A$1048,0),MATCH(Y$3&amp;"",PQ_Juli!$B$1:$AF$1&amp;"",0)),0)</f>
        <v>0</v>
      </c>
      <c r="Z99" s="11"/>
      <c r="AA99" s="10" cm="1">
        <f t="array" ref="AA99">IFERROR(INDEX(PQ_Juli!$B$2:$AF$1048,MATCH($C99,PQ_Juli!$A$2:$A$1048,0),MATCH(AA$3&amp;"",PQ_Juli!$B$1:$AF$1&amp;"",0)),0)</f>
        <v>0</v>
      </c>
      <c r="AB99" s="10" cm="1">
        <f t="array" ref="AB99">IFERROR(INDEX(PQ_Juli!$B$2:$AF$1048,MATCH($C99,PQ_Juli!$A$2:$A$1048,0),MATCH(AB$3&amp;"",PQ_Juli!$B$1:$AF$1&amp;"",0)),0)</f>
        <v>0</v>
      </c>
      <c r="AC99" s="10" cm="1">
        <f t="array" ref="AC99">IFERROR(INDEX(PQ_Juli!$B$2:$AF$1048,MATCH($C99,PQ_Juli!$A$2:$A$1048,0),MATCH(AC$3&amp;"",PQ_Juli!$B$1:$AF$1&amp;"",0)),0)</f>
        <v>0</v>
      </c>
      <c r="AD99" s="10" cm="1">
        <f t="array" ref="AD99">IFERROR(INDEX(PQ_Juli!$B$2:$AF$1048,MATCH($C99,PQ_Juli!$A$2:$A$1048,0),MATCH(AD$3&amp;"",PQ_Juli!$B$1:$AF$1&amp;"",0)),0)</f>
        <v>0</v>
      </c>
      <c r="AE99" s="10" cm="1">
        <f t="array" ref="AE99">IFERROR(INDEX(PQ_Juli!$B$2:$AF$1048,MATCH($C99,PQ_Juli!$A$2:$A$1048,0),MATCH(AE$3&amp;"",PQ_Juli!$B$1:$AF$1&amp;"",0)),0)</f>
        <v>1</v>
      </c>
      <c r="AF99" s="10" cm="1">
        <f t="array" ref="AF99">IFERROR(INDEX(PQ_Juli!$B$2:$AF$1048,MATCH($C99,PQ_Juli!$A$2:$A$1048,0),MATCH(AF$3&amp;"",PQ_Juli!$B$1:$AF$1&amp;"",0)),0)</f>
        <v>0</v>
      </c>
      <c r="AG99" s="11"/>
      <c r="AH99" s="10" cm="1">
        <f t="array" ref="AH99">IFERROR(INDEX(PQ_Juli!$B$2:$AF$1048,MATCH($C99,PQ_Juli!$A$2:$A$1048,0),MATCH(AH$3&amp;"",PQ_Juli!$B$1:$AF$1&amp;"",0)),0)</f>
        <v>0</v>
      </c>
      <c r="AI99" s="10" cm="1">
        <f t="array" ref="AI99">IFERROR(INDEX(PQ_Juli!$B$2:$AF$1048,MATCH($C99,PQ_Juli!$A$2:$A$1048,0),MATCH(AI$3&amp;"",PQ_Juli!$B$1:$AF$1&amp;"",0)),0)</f>
        <v>0</v>
      </c>
      <c r="AJ99" s="10" cm="1">
        <f t="array" ref="AJ99">IFERROR(INDEX(PQ_Juli!$B$2:$AF$1048,MATCH($C99,PQ_Juli!$A$2:$A$1048,0),MATCH(AJ$3&amp;"",PQ_Juli!$B$1:$AF$1&amp;"",0)),0)</f>
        <v>0</v>
      </c>
      <c r="AK99" s="10" cm="1">
        <f t="array" ref="AK99">IFERROR(INDEX(PQ_Juli!$B$2:$AF$1048,MATCH($C99,PQ_Juli!$A$2:$A$1048,0),MATCH(AK$3&amp;"",PQ_Juli!$B$1:$AF$1&amp;"",0)),0)</f>
        <v>0</v>
      </c>
      <c r="AL99" s="10" cm="1">
        <f t="array" ref="AL99">IFERROR(INDEX(PQ_Juli!$B$2:$AF$1048,MATCH($C99,PQ_Juli!$A$2:$A$1048,0),MATCH(AL$3&amp;"",PQ_Juli!$B$1:$AF$1&amp;"",0)),0)</f>
        <v>0</v>
      </c>
      <c r="AM99" s="47"/>
      <c r="AN99" s="14">
        <f t="shared" si="12"/>
        <v>4</v>
      </c>
      <c r="AO99" s="52" t="e">
        <f t="shared" si="10"/>
        <v>#REF!</v>
      </c>
      <c r="AP99" s="53">
        <v>5</v>
      </c>
      <c r="AQ99" s="54" t="s">
        <v>21</v>
      </c>
      <c r="AR99" s="105"/>
      <c r="AS99" s="104"/>
      <c r="AT99" s="106"/>
      <c r="AU99" s="107"/>
      <c r="AV99" s="105"/>
      <c r="AW99" s="106"/>
      <c r="AX99" s="104">
        <f t="shared" si="13"/>
        <v>0</v>
      </c>
      <c r="AY99" s="59">
        <f t="shared" si="14"/>
        <v>0</v>
      </c>
      <c r="AZ99" s="18">
        <f t="shared" si="15"/>
        <v>0</v>
      </c>
      <c r="BA99" s="18" t="e">
        <f t="shared" si="11"/>
        <v>#REF!</v>
      </c>
      <c r="BB99" s="61"/>
      <c r="BC99" s="30"/>
      <c r="BD99" s="30"/>
      <c r="BE99" s="30"/>
      <c r="BF99" s="30"/>
      <c r="BN99" s="41">
        <v>3</v>
      </c>
    </row>
    <row r="100" spans="1:66" ht="22.5" customHeight="1">
      <c r="A100" s="269" t="e">
        <f t="shared" si="16"/>
        <v>#REF!</v>
      </c>
      <c r="B100" s="270"/>
      <c r="C100" s="100" t="s">
        <v>76</v>
      </c>
      <c r="D100" s="101">
        <v>10</v>
      </c>
      <c r="E100" s="101" t="s">
        <v>29</v>
      </c>
      <c r="F100" s="101" t="s">
        <v>29</v>
      </c>
      <c r="G100" s="102" t="e">
        <f>#REF!</f>
        <v>#REF!</v>
      </c>
      <c r="H100" s="42" cm="1">
        <f t="array" ref="H100">IFERROR(INDEX(PQ_Juli!$B$2:$AF$1048,MATCH($C100,PQ_Juli!$A$2:$A$1048,0),MATCH(H$3&amp;"",PQ_Juli!$B$1:$AF$1&amp;"",0)),0)</f>
        <v>0</v>
      </c>
      <c r="I100" s="42" cm="1">
        <f t="array" ref="I100">IFERROR(INDEX(PQ_Juli!$B$2:$AF$1048,MATCH($C100,PQ_Juli!$A$2:$A$1048,0),MATCH(I$3&amp;"",PQ_Juli!$B$1:$AF$1&amp;"",0)),0)</f>
        <v>0</v>
      </c>
      <c r="J100" s="42" cm="1">
        <f t="array" ref="J100">IFERROR(INDEX(PQ_Juli!$B$2:$AF$1048,MATCH($C100,PQ_Juli!$A$2:$A$1048,0),MATCH(J$3&amp;"",PQ_Juli!$B$1:$AF$1&amp;"",0)),0)</f>
        <v>0</v>
      </c>
      <c r="K100" s="42" cm="1">
        <f t="array" ref="K100">IFERROR(INDEX(PQ_Juli!$B$2:$AF$1048,MATCH($C100,PQ_Juli!$A$2:$A$1048,0),MATCH(K$3&amp;"",PQ_Juli!$B$1:$AF$1&amp;"",0)),0)</f>
        <v>0</v>
      </c>
      <c r="L100" s="46"/>
      <c r="M100" s="42" cm="1">
        <f t="array" ref="M100">IFERROR(INDEX(PQ_Juli!$B$2:$AF$1048,MATCH($C100,PQ_Juli!$A$2:$A$1048,0),MATCH(M$3&amp;"",PQ_Juli!$B$1:$AF$1&amp;"",0)),0)</f>
        <v>0</v>
      </c>
      <c r="N100" s="42" cm="1">
        <f t="array" ref="N100">IFERROR(INDEX(PQ_Juli!$B$2:$AF$1048,MATCH($C100,PQ_Juli!$A$2:$A$1048,0),MATCH(N$3&amp;"",PQ_Juli!$B$1:$AF$1&amp;"",0)),0)</f>
        <v>0</v>
      </c>
      <c r="O100" s="42" cm="1">
        <f t="array" ref="O100">IFERROR(INDEX(PQ_Juli!$B$2:$AF$1048,MATCH($C100,PQ_Juli!$A$2:$A$1048,0),MATCH(O$3&amp;"",PQ_Juli!$B$1:$AF$1&amp;"",0)),0)</f>
        <v>0</v>
      </c>
      <c r="P100" s="42" cm="1">
        <f t="array" ref="P100">IFERROR(INDEX(PQ_Juli!$B$2:$AF$1048,MATCH($C100,PQ_Juli!$A$2:$A$1048,0),MATCH(P$3&amp;"",PQ_Juli!$B$1:$AF$1&amp;"",0)),0)</f>
        <v>0</v>
      </c>
      <c r="Q100" s="10" cm="1">
        <f t="array" ref="Q100">IFERROR(INDEX(PQ_Juli!$B$2:$AF$1048,MATCH($C100,PQ_Juli!$A$2:$A$1048,0),MATCH(Q$3&amp;"",PQ_Juli!$B$1:$AF$1&amp;"",0)),0)</f>
        <v>0</v>
      </c>
      <c r="R100" s="10" cm="1">
        <f t="array" ref="R100">IFERROR(INDEX(PQ_Juli!$B$2:$AF$1048,MATCH($C100,PQ_Juli!$A$2:$A$1048,0),MATCH(R$3&amp;"",PQ_Juli!$B$1:$AF$1&amp;"",0)),0)</f>
        <v>0</v>
      </c>
      <c r="S100" s="46"/>
      <c r="T100" s="10" cm="1">
        <f t="array" ref="T100">IFERROR(INDEX(PQ_Juli!$B$2:$AF$1048,MATCH($C100,PQ_Juli!$A$2:$A$1048,0),MATCH(T$3&amp;"",PQ_Juli!$B$1:$AF$1&amp;"",0)),0)</f>
        <v>0</v>
      </c>
      <c r="U100" s="10" cm="1">
        <f t="array" ref="U100">IFERROR(INDEX(PQ_Juli!$B$2:$AF$1048,MATCH($C100,PQ_Juli!$A$2:$A$1048,0),MATCH(U$3&amp;"",PQ_Juli!$B$1:$AF$1&amp;"",0)),0)</f>
        <v>0</v>
      </c>
      <c r="V100" s="10" cm="1">
        <f t="array" ref="V100">IFERROR(INDEX(PQ_Juli!$B$2:$AF$1048,MATCH($C100,PQ_Juli!$A$2:$A$1048,0),MATCH(V$3&amp;"",PQ_Juli!$B$1:$AF$1&amp;"",0)),0)</f>
        <v>0</v>
      </c>
      <c r="W100" s="10" cm="1">
        <f t="array" ref="W100">IFERROR(INDEX(PQ_Juli!$B$2:$AF$1048,MATCH($C100,PQ_Juli!$A$2:$A$1048,0),MATCH(W$3&amp;"",PQ_Juli!$B$1:$AF$1&amp;"",0)),0)</f>
        <v>0</v>
      </c>
      <c r="X100" s="10" cm="1">
        <f t="array" ref="X100">IFERROR(INDEX(PQ_Juli!$B$2:$AF$1048,MATCH($C100,PQ_Juli!$A$2:$A$1048,0),MATCH(X$3&amp;"",PQ_Juli!$B$1:$AF$1&amp;"",0)),0)</f>
        <v>0</v>
      </c>
      <c r="Y100" s="10" cm="1">
        <f t="array" ref="Y100">IFERROR(INDEX(PQ_Juli!$B$2:$AF$1048,MATCH($C100,PQ_Juli!$A$2:$A$1048,0),MATCH(Y$3&amp;"",PQ_Juli!$B$1:$AF$1&amp;"",0)),0)</f>
        <v>0</v>
      </c>
      <c r="Z100" s="46"/>
      <c r="AA100" s="10" cm="1">
        <f t="array" ref="AA100">IFERROR(INDEX(PQ_Juli!$B$2:$AF$1048,MATCH($C100,PQ_Juli!$A$2:$A$1048,0),MATCH(AA$3&amp;"",PQ_Juli!$B$1:$AF$1&amp;"",0)),0)</f>
        <v>0</v>
      </c>
      <c r="AB100" s="10" cm="1">
        <f t="array" ref="AB100">IFERROR(INDEX(PQ_Juli!$B$2:$AF$1048,MATCH($C100,PQ_Juli!$A$2:$A$1048,0),MATCH(AB$3&amp;"",PQ_Juli!$B$1:$AF$1&amp;"",0)),0)</f>
        <v>0</v>
      </c>
      <c r="AC100" s="10" cm="1">
        <f t="array" ref="AC100">IFERROR(INDEX(PQ_Juli!$B$2:$AF$1048,MATCH($C100,PQ_Juli!$A$2:$A$1048,0),MATCH(AC$3&amp;"",PQ_Juli!$B$1:$AF$1&amp;"",0)),0)</f>
        <v>0</v>
      </c>
      <c r="AD100" s="10" cm="1">
        <f t="array" ref="AD100">IFERROR(INDEX(PQ_Juli!$B$2:$AF$1048,MATCH($C100,PQ_Juli!$A$2:$A$1048,0),MATCH(AD$3&amp;"",PQ_Juli!$B$1:$AF$1&amp;"",0)),0)</f>
        <v>0</v>
      </c>
      <c r="AE100" s="10" cm="1">
        <f t="array" ref="AE100">IFERROR(INDEX(PQ_Juli!$B$2:$AF$1048,MATCH($C100,PQ_Juli!$A$2:$A$1048,0),MATCH(AE$3&amp;"",PQ_Juli!$B$1:$AF$1&amp;"",0)),0)</f>
        <v>0</v>
      </c>
      <c r="AF100" s="10" cm="1">
        <f t="array" ref="AF100">IFERROR(INDEX(PQ_Juli!$B$2:$AF$1048,MATCH($C100,PQ_Juli!$A$2:$A$1048,0),MATCH(AF$3&amp;"",PQ_Juli!$B$1:$AF$1&amp;"",0)),0)</f>
        <v>0</v>
      </c>
      <c r="AG100" s="11"/>
      <c r="AH100" s="10" cm="1">
        <f t="array" ref="AH100">IFERROR(INDEX(PQ_Juli!$B$2:$AF$1048,MATCH($C100,PQ_Juli!$A$2:$A$1048,0),MATCH(AH$3&amp;"",PQ_Juli!$B$1:$AF$1&amp;"",0)),0)</f>
        <v>0</v>
      </c>
      <c r="AI100" s="10" cm="1">
        <f t="array" ref="AI100">IFERROR(INDEX(PQ_Juli!$B$2:$AF$1048,MATCH($C100,PQ_Juli!$A$2:$A$1048,0),MATCH(AI$3&amp;"",PQ_Juli!$B$1:$AF$1&amp;"",0)),0)</f>
        <v>0</v>
      </c>
      <c r="AJ100" s="10" cm="1">
        <f t="array" ref="AJ100">IFERROR(INDEX(PQ_Juli!$B$2:$AF$1048,MATCH($C100,PQ_Juli!$A$2:$A$1048,0),MATCH(AJ$3&amp;"",PQ_Juli!$B$1:$AF$1&amp;"",0)),0)</f>
        <v>0</v>
      </c>
      <c r="AK100" s="10" cm="1">
        <f t="array" ref="AK100">IFERROR(INDEX(PQ_Juli!$B$2:$AF$1048,MATCH($C100,PQ_Juli!$A$2:$A$1048,0),MATCH(AK$3&amp;"",PQ_Juli!$B$1:$AF$1&amp;"",0)),0)</f>
        <v>0</v>
      </c>
      <c r="AL100" s="10" cm="1">
        <f t="array" ref="AL100">IFERROR(INDEX(PQ_Juli!$B$2:$AF$1048,MATCH($C100,PQ_Juli!$A$2:$A$1048,0),MATCH(AL$3&amp;"",PQ_Juli!$B$1:$AF$1&amp;"",0)),0)</f>
        <v>0</v>
      </c>
      <c r="AM100" s="48"/>
      <c r="AN100" s="49">
        <f t="shared" si="12"/>
        <v>0</v>
      </c>
      <c r="AO100" s="55" t="e">
        <f t="shared" ref="AO100" si="29">(G100-AN100)+AZ100</f>
        <v>#REF!</v>
      </c>
      <c r="AP100" s="56">
        <v>5</v>
      </c>
      <c r="AQ100" s="57" t="s">
        <v>21</v>
      </c>
      <c r="AR100" s="108"/>
      <c r="AS100" s="109"/>
      <c r="AT100" s="110"/>
      <c r="AU100" s="111"/>
      <c r="AV100" s="112"/>
      <c r="AW100" s="110"/>
      <c r="AX100" s="118">
        <f t="shared" si="13"/>
        <v>0</v>
      </c>
      <c r="AY100" s="62">
        <f t="shared" si="14"/>
        <v>0</v>
      </c>
      <c r="AZ100" s="50">
        <f t="shared" si="15"/>
        <v>0</v>
      </c>
      <c r="BA100" s="50" t="e">
        <f t="shared" si="11"/>
        <v>#REF!</v>
      </c>
      <c r="BB100" s="64"/>
      <c r="BC100" s="30"/>
      <c r="BD100" s="30"/>
      <c r="BE100" s="30"/>
      <c r="BF100" s="30"/>
      <c r="BN100" s="41">
        <v>4</v>
      </c>
    </row>
    <row r="101" spans="1:66" s="69" customFormat="1" ht="21.75" customHeight="1">
      <c r="A101" s="248"/>
      <c r="B101" s="248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  <c r="AC101" s="248"/>
      <c r="AD101" s="248"/>
      <c r="AE101" s="248"/>
      <c r="AF101" s="248"/>
      <c r="AG101" s="248"/>
      <c r="AH101" s="248"/>
      <c r="AI101" s="248"/>
      <c r="AJ101" s="248"/>
      <c r="AK101" s="248"/>
      <c r="AL101" s="248"/>
      <c r="AM101" s="248"/>
      <c r="AN101" s="248"/>
      <c r="AO101" s="248"/>
      <c r="AP101" s="248"/>
      <c r="AQ101" s="248"/>
      <c r="AR101" s="248"/>
      <c r="AS101" s="248"/>
      <c r="AT101" s="248"/>
      <c r="AU101" s="248"/>
      <c r="AV101" s="248"/>
      <c r="AW101" s="248"/>
      <c r="AX101" s="248"/>
      <c r="AY101" s="248"/>
      <c r="AZ101" s="248"/>
      <c r="BA101" s="248"/>
      <c r="BB101" s="248"/>
      <c r="BC101" s="119"/>
      <c r="BD101" s="119"/>
      <c r="BE101" s="119"/>
      <c r="BF101" s="119"/>
      <c r="BG101" s="119"/>
      <c r="BH101" s="119"/>
      <c r="BI101" s="119"/>
      <c r="BJ101" s="119"/>
      <c r="BK101" s="119"/>
      <c r="BL101" s="119"/>
      <c r="BM101" s="119"/>
      <c r="BN101" s="119"/>
    </row>
    <row r="102" spans="1:66" s="4" customFormat="1" ht="15.75" customHeight="1">
      <c r="A102" s="43"/>
      <c r="B102" s="43"/>
      <c r="C102" s="43"/>
      <c r="D102" s="44"/>
      <c r="E102" s="44"/>
      <c r="F102" s="44"/>
      <c r="G102" s="44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35"/>
      <c r="AO102" s="58"/>
      <c r="AP102" s="113"/>
      <c r="AQ102" s="113"/>
      <c r="AR102" s="114"/>
      <c r="AS102" s="115"/>
      <c r="AT102" s="116"/>
      <c r="AU102" s="115"/>
      <c r="AV102" s="116"/>
      <c r="AW102" s="116"/>
      <c r="AX102" s="35"/>
      <c r="AY102" s="35"/>
      <c r="AZ102" s="35"/>
      <c r="BA102" s="35"/>
      <c r="BB102" s="65"/>
      <c r="BC102" s="65"/>
      <c r="BD102" s="65"/>
      <c r="BE102" s="65"/>
      <c r="BF102" s="65"/>
    </row>
    <row r="103" spans="1:66" s="4" customFormat="1" ht="15.75" customHeight="1">
      <c r="A103" s="43"/>
      <c r="B103" s="43"/>
      <c r="C103" s="43"/>
      <c r="D103" s="44"/>
      <c r="E103" s="44"/>
      <c r="F103" s="44"/>
      <c r="G103" s="44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35"/>
      <c r="AO103" s="58"/>
      <c r="AP103" s="113"/>
      <c r="AQ103" s="113"/>
      <c r="AR103" s="114"/>
      <c r="AS103" s="115"/>
      <c r="AT103" s="116"/>
      <c r="AU103" s="115"/>
      <c r="AV103" s="116"/>
      <c r="AW103" s="116"/>
      <c r="AX103" s="35"/>
      <c r="AY103" s="35"/>
      <c r="AZ103" s="35"/>
      <c r="BA103" s="35"/>
      <c r="BB103" s="65"/>
      <c r="BC103" s="65"/>
      <c r="BD103" s="65"/>
      <c r="BE103" s="65"/>
      <c r="BF103" s="65"/>
    </row>
    <row r="104" spans="1:66" s="4" customFormat="1" ht="15.75" customHeight="1">
      <c r="A104" s="43"/>
      <c r="B104" s="43"/>
      <c r="C104" s="43"/>
      <c r="D104" s="44"/>
      <c r="E104" s="44"/>
      <c r="F104" s="44"/>
      <c r="G104" s="44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35"/>
      <c r="AO104" s="58"/>
      <c r="AP104" s="113"/>
      <c r="AQ104" s="113"/>
      <c r="AR104" s="114"/>
      <c r="AS104" s="115"/>
      <c r="AT104" s="116"/>
      <c r="AU104" s="115"/>
      <c r="AV104" s="116"/>
      <c r="AW104" s="116"/>
      <c r="AX104" s="35"/>
      <c r="AY104" s="35"/>
      <c r="AZ104" s="35"/>
      <c r="BA104" s="35"/>
      <c r="BB104" s="65"/>
      <c r="BC104" s="65"/>
      <c r="BD104" s="65"/>
      <c r="BE104" s="65"/>
      <c r="BF104" s="65"/>
    </row>
    <row r="105" spans="1:66" s="4" customFormat="1" ht="15.75" customHeight="1">
      <c r="A105" s="43"/>
      <c r="B105" s="43"/>
      <c r="C105" s="43"/>
      <c r="D105" s="44"/>
      <c r="E105" s="44"/>
      <c r="F105" s="44"/>
      <c r="G105" s="44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35"/>
      <c r="AO105" s="58"/>
      <c r="AP105" s="113"/>
      <c r="AQ105" s="113"/>
      <c r="AR105" s="114"/>
      <c r="AS105" s="115"/>
      <c r="AT105" s="116"/>
      <c r="AU105" s="115"/>
      <c r="AV105" s="116"/>
      <c r="AW105" s="116"/>
      <c r="AX105" s="35"/>
      <c r="AY105" s="35"/>
      <c r="AZ105" s="35"/>
      <c r="BA105" s="35"/>
      <c r="BB105" s="65"/>
      <c r="BC105" s="65"/>
      <c r="BD105" s="65"/>
      <c r="BE105" s="65"/>
      <c r="BF105" s="65"/>
    </row>
    <row r="106" spans="1:66" s="4" customFormat="1" ht="15.75" customHeight="1">
      <c r="A106" s="43"/>
      <c r="B106" s="43"/>
      <c r="C106" s="43"/>
      <c r="D106" s="44"/>
      <c r="E106" s="44"/>
      <c r="F106" s="44"/>
      <c r="G106" s="44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35"/>
      <c r="AO106" s="58"/>
      <c r="AP106" s="113"/>
      <c r="AQ106" s="113"/>
      <c r="AR106" s="114"/>
      <c r="AS106" s="115"/>
      <c r="AT106" s="116"/>
      <c r="AU106" s="115"/>
      <c r="AV106" s="116"/>
      <c r="AW106" s="116"/>
      <c r="AX106" s="35"/>
      <c r="AY106" s="35"/>
      <c r="AZ106" s="35"/>
      <c r="BA106" s="35"/>
      <c r="BB106" s="65"/>
      <c r="BC106" s="65"/>
      <c r="BD106" s="65"/>
      <c r="BE106" s="65"/>
      <c r="BF106" s="65"/>
    </row>
    <row r="107" spans="1:66" s="4" customFormat="1" ht="15.75" customHeight="1">
      <c r="A107" s="43"/>
      <c r="B107" s="43"/>
      <c r="C107" s="43"/>
      <c r="D107" s="44"/>
      <c r="E107" s="44"/>
      <c r="F107" s="44"/>
      <c r="G107" s="44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35"/>
      <c r="AO107" s="58"/>
      <c r="AP107" s="113"/>
      <c r="AQ107" s="113"/>
      <c r="AR107" s="114"/>
      <c r="AS107" s="115"/>
      <c r="AT107" s="116"/>
      <c r="AU107" s="115"/>
      <c r="AV107" s="116"/>
      <c r="AW107" s="116"/>
      <c r="AX107" s="35"/>
      <c r="AY107" s="35"/>
      <c r="AZ107" s="35"/>
      <c r="BA107" s="35"/>
      <c r="BB107" s="65"/>
      <c r="BC107" s="65"/>
      <c r="BD107" s="65"/>
      <c r="BE107" s="65"/>
      <c r="BF107" s="65"/>
    </row>
    <row r="108" spans="1:66" s="4" customFormat="1" ht="15.75" customHeight="1">
      <c r="A108" s="43"/>
      <c r="B108" s="43"/>
      <c r="C108" s="43"/>
      <c r="D108" s="44"/>
      <c r="E108" s="44"/>
      <c r="F108" s="44"/>
      <c r="G108" s="44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35"/>
      <c r="AO108" s="58"/>
      <c r="AP108" s="113"/>
      <c r="AQ108" s="113"/>
      <c r="AR108" s="114"/>
      <c r="AS108" s="115"/>
      <c r="AT108" s="116"/>
      <c r="AU108" s="115"/>
      <c r="AV108" s="116"/>
      <c r="AW108" s="116"/>
      <c r="AX108" s="35"/>
      <c r="AY108" s="35"/>
      <c r="AZ108" s="35"/>
      <c r="BA108" s="35"/>
      <c r="BB108" s="65"/>
      <c r="BC108" s="65"/>
      <c r="BD108" s="65"/>
      <c r="BE108" s="65"/>
      <c r="BF108" s="65"/>
    </row>
    <row r="109" spans="1:66" s="4" customFormat="1" ht="15.75" customHeight="1">
      <c r="A109" s="43"/>
      <c r="B109" s="43"/>
      <c r="C109" s="43"/>
      <c r="D109" s="44"/>
      <c r="E109" s="44"/>
      <c r="F109" s="44"/>
      <c r="G109" s="44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35"/>
      <c r="AO109" s="58"/>
      <c r="AP109" s="113"/>
      <c r="AQ109" s="113"/>
      <c r="AR109" s="114"/>
      <c r="AS109" s="115"/>
      <c r="AT109" s="116"/>
      <c r="AU109" s="115"/>
      <c r="AV109" s="116"/>
      <c r="AW109" s="116"/>
      <c r="AX109" s="35"/>
      <c r="AY109" s="35"/>
      <c r="AZ109" s="35"/>
      <c r="BA109" s="35"/>
      <c r="BB109" s="65"/>
      <c r="BC109" s="65"/>
      <c r="BD109" s="65"/>
      <c r="BE109" s="65"/>
      <c r="BF109" s="65"/>
    </row>
    <row r="110" spans="1:66" s="4" customFormat="1" ht="15.75" customHeight="1">
      <c r="A110" s="43"/>
      <c r="B110" s="43"/>
      <c r="C110" s="43"/>
      <c r="D110" s="44"/>
      <c r="E110" s="44"/>
      <c r="F110" s="44"/>
      <c r="G110" s="44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35"/>
      <c r="AO110" s="58"/>
      <c r="AP110" s="113"/>
      <c r="AQ110" s="113"/>
      <c r="AR110" s="114"/>
      <c r="AS110" s="115"/>
      <c r="AT110" s="116"/>
      <c r="AU110" s="115"/>
      <c r="AV110" s="116"/>
      <c r="AW110" s="116"/>
      <c r="AX110" s="35"/>
      <c r="AY110" s="35"/>
      <c r="AZ110" s="35"/>
      <c r="BA110" s="35"/>
      <c r="BB110" s="65"/>
      <c r="BC110" s="65"/>
      <c r="BD110" s="65"/>
      <c r="BE110" s="65"/>
      <c r="BF110" s="65"/>
    </row>
    <row r="111" spans="1:66" s="4" customFormat="1" ht="15.75" customHeight="1">
      <c r="A111" s="43"/>
      <c r="B111" s="43"/>
      <c r="C111" s="43"/>
      <c r="D111" s="44"/>
      <c r="E111" s="44"/>
      <c r="F111" s="44"/>
      <c r="G111" s="44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35"/>
      <c r="AO111" s="58"/>
      <c r="AP111" s="113"/>
      <c r="AQ111" s="113"/>
      <c r="AR111" s="114"/>
      <c r="AS111" s="115"/>
      <c r="AT111" s="116"/>
      <c r="AU111" s="115"/>
      <c r="AV111" s="116"/>
      <c r="AW111" s="116"/>
      <c r="AX111" s="35"/>
      <c r="AY111" s="35"/>
      <c r="AZ111" s="35"/>
      <c r="BA111" s="35"/>
      <c r="BB111" s="65"/>
      <c r="BC111" s="65"/>
      <c r="BD111" s="65"/>
      <c r="BE111" s="65"/>
      <c r="BF111" s="65"/>
    </row>
    <row r="112" spans="1:66" s="4" customFormat="1" ht="15.75" customHeight="1">
      <c r="A112" s="43"/>
      <c r="B112" s="43"/>
      <c r="C112" s="43"/>
      <c r="D112" s="44"/>
      <c r="E112" s="44"/>
      <c r="F112" s="44"/>
      <c r="G112" s="44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35"/>
      <c r="AO112" s="58"/>
      <c r="AP112" s="113"/>
      <c r="AQ112" s="113"/>
      <c r="AR112" s="114"/>
      <c r="AS112" s="115"/>
      <c r="AT112" s="116"/>
      <c r="AU112" s="115"/>
      <c r="AV112" s="116"/>
      <c r="AW112" s="116"/>
      <c r="AX112" s="35"/>
      <c r="AY112" s="35"/>
      <c r="AZ112" s="35"/>
      <c r="BA112" s="35"/>
      <c r="BB112" s="65"/>
      <c r="BC112" s="65"/>
      <c r="BD112" s="65"/>
      <c r="BE112" s="65"/>
      <c r="BF112" s="65"/>
    </row>
    <row r="113" spans="1:58" s="4" customFormat="1" ht="15.75" customHeight="1">
      <c r="A113" s="43"/>
      <c r="B113" s="43"/>
      <c r="C113" s="43"/>
      <c r="D113" s="44"/>
      <c r="E113" s="44"/>
      <c r="F113" s="44"/>
      <c r="G113" s="44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35"/>
      <c r="AO113" s="58"/>
      <c r="AP113" s="113"/>
      <c r="AQ113" s="113"/>
      <c r="AR113" s="114"/>
      <c r="AS113" s="115"/>
      <c r="AT113" s="116"/>
      <c r="AU113" s="115"/>
      <c r="AV113" s="116"/>
      <c r="AW113" s="116"/>
      <c r="AX113" s="35"/>
      <c r="AY113" s="35"/>
      <c r="AZ113" s="35"/>
      <c r="BA113" s="35"/>
      <c r="BB113" s="65"/>
      <c r="BC113" s="65"/>
      <c r="BD113" s="65"/>
      <c r="BE113" s="65"/>
      <c r="BF113" s="65"/>
    </row>
    <row r="114" spans="1:58" s="4" customFormat="1" ht="15.75" customHeight="1">
      <c r="A114" s="43"/>
      <c r="B114" s="43"/>
      <c r="C114" s="43"/>
      <c r="D114" s="44"/>
      <c r="E114" s="44"/>
      <c r="F114" s="44"/>
      <c r="G114" s="44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35"/>
      <c r="AO114" s="58"/>
      <c r="AP114" s="113"/>
      <c r="AQ114" s="113"/>
      <c r="AR114" s="114"/>
      <c r="AS114" s="115"/>
      <c r="AT114" s="116"/>
      <c r="AU114" s="115"/>
      <c r="AV114" s="116"/>
      <c r="AW114" s="116"/>
      <c r="AX114" s="35"/>
      <c r="AY114" s="35"/>
      <c r="AZ114" s="35"/>
      <c r="BA114" s="35"/>
      <c r="BB114" s="65"/>
      <c r="BC114" s="65"/>
      <c r="BD114" s="65"/>
      <c r="BE114" s="65"/>
      <c r="BF114" s="65"/>
    </row>
    <row r="115" spans="1:58" s="4" customFormat="1" ht="15.75" customHeight="1">
      <c r="A115" s="43"/>
      <c r="B115" s="43"/>
      <c r="C115" s="43"/>
      <c r="D115" s="44"/>
      <c r="E115" s="44"/>
      <c r="F115" s="44"/>
      <c r="G115" s="44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35"/>
      <c r="AO115" s="58"/>
      <c r="AP115" s="113"/>
      <c r="AQ115" s="113"/>
      <c r="AR115" s="114"/>
      <c r="AS115" s="115"/>
      <c r="AT115" s="116"/>
      <c r="AU115" s="115"/>
      <c r="AV115" s="116"/>
      <c r="AW115" s="116"/>
      <c r="AX115" s="35"/>
      <c r="AY115" s="35"/>
      <c r="AZ115" s="35"/>
      <c r="BA115" s="35"/>
      <c r="BB115" s="65"/>
      <c r="BC115" s="65"/>
      <c r="BD115" s="65"/>
      <c r="BE115" s="65"/>
      <c r="BF115" s="65"/>
    </row>
    <row r="116" spans="1:58" s="4" customFormat="1" ht="15.75" customHeight="1">
      <c r="A116" s="43"/>
      <c r="B116" s="43"/>
      <c r="C116" s="43"/>
      <c r="D116" s="44"/>
      <c r="E116" s="44"/>
      <c r="F116" s="44"/>
      <c r="G116" s="44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35"/>
      <c r="AO116" s="58"/>
      <c r="AP116" s="113"/>
      <c r="AQ116" s="113"/>
      <c r="AR116" s="114"/>
      <c r="AS116" s="115"/>
      <c r="AT116" s="116"/>
      <c r="AU116" s="115"/>
      <c r="AV116" s="116"/>
      <c r="AW116" s="116"/>
      <c r="AX116" s="35"/>
      <c r="AY116" s="35"/>
      <c r="AZ116" s="35"/>
      <c r="BA116" s="35"/>
      <c r="BB116" s="65"/>
      <c r="BC116" s="65"/>
      <c r="BD116" s="65"/>
      <c r="BE116" s="65"/>
      <c r="BF116" s="65"/>
    </row>
    <row r="117" spans="1:58" s="4" customFormat="1" ht="15.75" customHeight="1">
      <c r="A117" s="43"/>
      <c r="B117" s="43"/>
      <c r="C117" s="43"/>
      <c r="D117" s="44"/>
      <c r="E117" s="44"/>
      <c r="F117" s="44"/>
      <c r="G117" s="44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35"/>
      <c r="AO117" s="58"/>
      <c r="AP117" s="113"/>
      <c r="AQ117" s="113"/>
      <c r="AR117" s="114"/>
      <c r="AS117" s="115"/>
      <c r="AT117" s="116"/>
      <c r="AU117" s="115"/>
      <c r="AV117" s="116"/>
      <c r="AW117" s="116"/>
      <c r="AX117" s="35"/>
      <c r="AY117" s="35"/>
      <c r="AZ117" s="35"/>
      <c r="BA117" s="35"/>
      <c r="BB117" s="65"/>
      <c r="BC117" s="65"/>
      <c r="BD117" s="65"/>
      <c r="BE117" s="65"/>
      <c r="BF117" s="65"/>
    </row>
    <row r="118" spans="1:58" s="4" customFormat="1" ht="15.75" customHeight="1">
      <c r="A118" s="43"/>
      <c r="B118" s="43"/>
      <c r="C118" s="43"/>
      <c r="D118" s="44"/>
      <c r="E118" s="44"/>
      <c r="F118" s="44"/>
      <c r="G118" s="44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35"/>
      <c r="AO118" s="58"/>
      <c r="AP118" s="113"/>
      <c r="AQ118" s="113"/>
      <c r="AR118" s="114"/>
      <c r="AS118" s="115"/>
      <c r="AT118" s="116"/>
      <c r="AU118" s="115"/>
      <c r="AV118" s="116"/>
      <c r="AW118" s="116"/>
      <c r="AX118" s="35"/>
      <c r="AY118" s="35"/>
      <c r="AZ118" s="35"/>
      <c r="BA118" s="35"/>
      <c r="BB118" s="65"/>
      <c r="BC118" s="65"/>
      <c r="BD118" s="65"/>
      <c r="BE118" s="65"/>
      <c r="BF118" s="65"/>
    </row>
    <row r="119" spans="1:58" s="4" customFormat="1" ht="15.75" customHeight="1">
      <c r="A119" s="43"/>
      <c r="B119" s="43"/>
      <c r="C119" s="43"/>
      <c r="D119" s="44"/>
      <c r="E119" s="44"/>
      <c r="F119" s="44"/>
      <c r="G119" s="44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35"/>
      <c r="AO119" s="58"/>
      <c r="AP119" s="113"/>
      <c r="AQ119" s="113"/>
      <c r="AR119" s="114"/>
      <c r="AS119" s="115"/>
      <c r="AT119" s="116"/>
      <c r="AU119" s="115"/>
      <c r="AV119" s="116"/>
      <c r="AW119" s="116"/>
      <c r="AX119" s="35"/>
      <c r="AY119" s="35"/>
      <c r="AZ119" s="35"/>
      <c r="BA119" s="35"/>
      <c r="BB119" s="65"/>
      <c r="BC119" s="65"/>
      <c r="BD119" s="65"/>
      <c r="BE119" s="65"/>
      <c r="BF119" s="65"/>
    </row>
    <row r="120" spans="1:58" s="4" customFormat="1" ht="15.75" customHeight="1">
      <c r="A120" s="43"/>
      <c r="B120" s="43"/>
      <c r="C120" s="43"/>
      <c r="D120" s="44"/>
      <c r="E120" s="44"/>
      <c r="F120" s="44"/>
      <c r="G120" s="44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35"/>
      <c r="AO120" s="58"/>
      <c r="AP120" s="113"/>
      <c r="AQ120" s="113"/>
      <c r="AR120" s="114"/>
      <c r="AS120" s="115"/>
      <c r="AT120" s="116"/>
      <c r="AU120" s="115"/>
      <c r="AV120" s="116"/>
      <c r="AW120" s="116"/>
      <c r="AX120" s="35"/>
      <c r="AY120" s="35"/>
      <c r="AZ120" s="35"/>
      <c r="BA120" s="35"/>
      <c r="BB120" s="65"/>
      <c r="BC120" s="65"/>
      <c r="BD120" s="65"/>
      <c r="BE120" s="65"/>
      <c r="BF120" s="65"/>
    </row>
    <row r="121" spans="1:58" s="4" customFormat="1" ht="15.75" customHeight="1">
      <c r="A121" s="43"/>
      <c r="B121" s="43"/>
      <c r="C121" s="43"/>
      <c r="D121" s="44"/>
      <c r="E121" s="44"/>
      <c r="F121" s="44"/>
      <c r="G121" s="44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35"/>
      <c r="AO121" s="58"/>
      <c r="AP121" s="113"/>
      <c r="AQ121" s="113"/>
      <c r="AR121" s="114"/>
      <c r="AS121" s="115"/>
      <c r="AT121" s="116"/>
      <c r="AU121" s="115"/>
      <c r="AV121" s="116"/>
      <c r="AW121" s="116"/>
      <c r="AX121" s="35"/>
      <c r="AY121" s="35"/>
      <c r="AZ121" s="35"/>
      <c r="BA121" s="35"/>
      <c r="BB121" s="65"/>
      <c r="BC121" s="65"/>
      <c r="BD121" s="65"/>
      <c r="BE121" s="65"/>
      <c r="BF121" s="65"/>
    </row>
    <row r="122" spans="1:58" s="4" customFormat="1" ht="15.75" customHeight="1">
      <c r="A122" s="43"/>
      <c r="B122" s="43"/>
      <c r="C122" s="43"/>
      <c r="D122" s="44"/>
      <c r="E122" s="44"/>
      <c r="F122" s="44"/>
      <c r="G122" s="44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35"/>
      <c r="AO122" s="58"/>
      <c r="AP122" s="113"/>
      <c r="AQ122" s="113"/>
      <c r="AR122" s="114"/>
      <c r="AS122" s="115"/>
      <c r="AT122" s="116"/>
      <c r="AU122" s="115"/>
      <c r="AV122" s="116"/>
      <c r="AW122" s="116"/>
      <c r="AX122" s="35"/>
      <c r="AY122" s="35"/>
      <c r="AZ122" s="35"/>
      <c r="BA122" s="35"/>
      <c r="BB122" s="65"/>
      <c r="BC122" s="65"/>
      <c r="BD122" s="65"/>
      <c r="BE122" s="65"/>
      <c r="BF122" s="65"/>
    </row>
    <row r="123" spans="1:58" s="4" customFormat="1" ht="15.75" customHeight="1">
      <c r="A123" s="43"/>
      <c r="B123" s="43"/>
      <c r="C123" s="43"/>
      <c r="D123" s="44"/>
      <c r="E123" s="44"/>
      <c r="F123" s="44"/>
      <c r="G123" s="44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35"/>
      <c r="AO123" s="58"/>
      <c r="AP123" s="113"/>
      <c r="AQ123" s="113"/>
      <c r="AR123" s="114"/>
      <c r="AS123" s="115"/>
      <c r="AT123" s="116"/>
      <c r="AU123" s="115"/>
      <c r="AV123" s="116"/>
      <c r="AW123" s="116"/>
      <c r="AX123" s="35"/>
      <c r="AY123" s="35"/>
      <c r="AZ123" s="35"/>
      <c r="BA123" s="35"/>
      <c r="BB123" s="65"/>
      <c r="BC123" s="65"/>
      <c r="BD123" s="65"/>
      <c r="BE123" s="65"/>
      <c r="BF123" s="65"/>
    </row>
    <row r="124" spans="1:58" s="4" customFormat="1" ht="15.75" customHeight="1">
      <c r="A124" s="43"/>
      <c r="B124" s="43"/>
      <c r="C124" s="43"/>
      <c r="D124" s="44"/>
      <c r="E124" s="44"/>
      <c r="F124" s="44"/>
      <c r="G124" s="44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35"/>
      <c r="AO124" s="58"/>
      <c r="AP124" s="113"/>
      <c r="AQ124" s="113"/>
      <c r="AR124" s="114"/>
      <c r="AS124" s="115"/>
      <c r="AT124" s="116"/>
      <c r="AU124" s="115"/>
      <c r="AV124" s="116"/>
      <c r="AW124" s="116"/>
      <c r="AX124" s="35"/>
      <c r="AY124" s="35"/>
      <c r="AZ124" s="35"/>
      <c r="BA124" s="35"/>
      <c r="BB124" s="65"/>
      <c r="BC124" s="65"/>
      <c r="BD124" s="65"/>
      <c r="BE124" s="65"/>
      <c r="BF124" s="65"/>
    </row>
    <row r="125" spans="1:58" s="4" customFormat="1" ht="15.75" customHeight="1">
      <c r="A125" s="43"/>
      <c r="B125" s="43"/>
      <c r="C125" s="43"/>
      <c r="D125" s="44"/>
      <c r="E125" s="44"/>
      <c r="F125" s="44"/>
      <c r="G125" s="44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35"/>
      <c r="AO125" s="58"/>
      <c r="AP125" s="113"/>
      <c r="AQ125" s="113"/>
      <c r="AR125" s="114"/>
      <c r="AS125" s="115"/>
      <c r="AT125" s="116"/>
      <c r="AU125" s="115"/>
      <c r="AV125" s="116"/>
      <c r="AW125" s="116"/>
      <c r="AX125" s="35"/>
      <c r="AY125" s="35"/>
      <c r="AZ125" s="35"/>
      <c r="BA125" s="35"/>
      <c r="BB125" s="65"/>
      <c r="BC125" s="65"/>
      <c r="BD125" s="65"/>
      <c r="BE125" s="65"/>
      <c r="BF125" s="65"/>
    </row>
    <row r="126" spans="1:58" s="4" customFormat="1" ht="15.75" customHeight="1">
      <c r="A126" s="43"/>
      <c r="B126" s="43"/>
      <c r="C126" s="43"/>
      <c r="D126" s="44"/>
      <c r="E126" s="44"/>
      <c r="F126" s="44"/>
      <c r="G126" s="44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35"/>
      <c r="AO126" s="58"/>
      <c r="AP126" s="113"/>
      <c r="AQ126" s="113"/>
      <c r="AR126" s="114"/>
      <c r="AS126" s="115"/>
      <c r="AT126" s="116"/>
      <c r="AU126" s="115"/>
      <c r="AV126" s="116"/>
      <c r="AW126" s="116"/>
      <c r="AX126" s="35"/>
      <c r="AY126" s="35"/>
      <c r="AZ126" s="35"/>
      <c r="BA126" s="35"/>
      <c r="BB126" s="65"/>
      <c r="BC126" s="65"/>
      <c r="BD126" s="65"/>
      <c r="BE126" s="65"/>
      <c r="BF126" s="65"/>
    </row>
    <row r="127" spans="1:58" s="4" customFormat="1" ht="15.75" customHeight="1">
      <c r="A127" s="43"/>
      <c r="B127" s="43"/>
      <c r="C127" s="43"/>
      <c r="D127" s="44"/>
      <c r="E127" s="44"/>
      <c r="F127" s="44"/>
      <c r="G127" s="44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35"/>
      <c r="AO127" s="58"/>
      <c r="AP127" s="113"/>
      <c r="AQ127" s="113"/>
      <c r="AR127" s="114"/>
      <c r="AS127" s="115"/>
      <c r="AT127" s="116"/>
      <c r="AU127" s="115"/>
      <c r="AV127" s="116"/>
      <c r="AW127" s="116"/>
      <c r="AX127" s="35"/>
      <c r="AY127" s="35"/>
      <c r="AZ127" s="35"/>
      <c r="BA127" s="35"/>
      <c r="BB127" s="65"/>
      <c r="BC127" s="65"/>
      <c r="BD127" s="65"/>
      <c r="BE127" s="65"/>
      <c r="BF127" s="65"/>
    </row>
    <row r="128" spans="1:58" s="4" customFormat="1" ht="15.75" customHeight="1">
      <c r="A128" s="43"/>
      <c r="B128" s="43"/>
      <c r="C128" s="43"/>
      <c r="D128" s="44"/>
      <c r="E128" s="44"/>
      <c r="F128" s="44"/>
      <c r="G128" s="44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35"/>
      <c r="AO128" s="58"/>
      <c r="AP128" s="113"/>
      <c r="AQ128" s="113"/>
      <c r="AR128" s="114"/>
      <c r="AS128" s="115"/>
      <c r="AT128" s="116"/>
      <c r="AU128" s="115"/>
      <c r="AV128" s="116"/>
      <c r="AW128" s="116"/>
      <c r="AX128" s="35"/>
      <c r="AY128" s="35"/>
      <c r="AZ128" s="35"/>
      <c r="BA128" s="35"/>
      <c r="BB128" s="65"/>
      <c r="BC128" s="65"/>
      <c r="BD128" s="65"/>
      <c r="BE128" s="65"/>
      <c r="BF128" s="65"/>
    </row>
    <row r="129" spans="1:58" s="4" customFormat="1" ht="15.75" customHeight="1">
      <c r="A129" s="43"/>
      <c r="B129" s="43"/>
      <c r="C129" s="43"/>
      <c r="D129" s="44"/>
      <c r="E129" s="44"/>
      <c r="F129" s="44"/>
      <c r="G129" s="44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35"/>
      <c r="AO129" s="58"/>
      <c r="AP129" s="113"/>
      <c r="AQ129" s="113"/>
      <c r="AR129" s="114"/>
      <c r="AS129" s="115"/>
      <c r="AT129" s="116"/>
      <c r="AU129" s="115"/>
      <c r="AV129" s="116"/>
      <c r="AW129" s="116"/>
      <c r="AX129" s="35"/>
      <c r="AY129" s="35"/>
      <c r="AZ129" s="35"/>
      <c r="BA129" s="35"/>
      <c r="BB129" s="65"/>
      <c r="BC129" s="65"/>
      <c r="BD129" s="65"/>
      <c r="BE129" s="65"/>
      <c r="BF129" s="65"/>
    </row>
    <row r="130" spans="1:58" s="4" customFormat="1" ht="15.75" customHeight="1">
      <c r="A130" s="43"/>
      <c r="B130" s="43"/>
      <c r="C130" s="43"/>
      <c r="D130" s="44"/>
      <c r="E130" s="44"/>
      <c r="F130" s="44"/>
      <c r="G130" s="44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35"/>
      <c r="AO130" s="58"/>
      <c r="AP130" s="113"/>
      <c r="AQ130" s="113"/>
      <c r="AR130" s="114"/>
      <c r="AS130" s="115"/>
      <c r="AT130" s="116"/>
      <c r="AU130" s="115"/>
      <c r="AV130" s="116"/>
      <c r="AW130" s="116"/>
      <c r="AX130" s="35"/>
      <c r="AY130" s="35"/>
      <c r="AZ130" s="35"/>
      <c r="BA130" s="35"/>
      <c r="BB130" s="65"/>
      <c r="BC130" s="65"/>
      <c r="BD130" s="65"/>
      <c r="BE130" s="65"/>
      <c r="BF130" s="65"/>
    </row>
    <row r="131" spans="1:58" s="4" customFormat="1" ht="15.75" customHeight="1">
      <c r="A131" s="43"/>
      <c r="B131" s="43"/>
      <c r="C131" s="43"/>
      <c r="D131" s="44"/>
      <c r="E131" s="44"/>
      <c r="F131" s="44"/>
      <c r="G131" s="44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35"/>
      <c r="AO131" s="58"/>
      <c r="AP131" s="113"/>
      <c r="AQ131" s="113"/>
      <c r="AR131" s="114"/>
      <c r="AS131" s="115"/>
      <c r="AT131" s="116"/>
      <c r="AU131" s="115"/>
      <c r="AV131" s="116"/>
      <c r="AW131" s="116"/>
      <c r="AX131" s="35"/>
      <c r="AY131" s="35"/>
      <c r="AZ131" s="35"/>
      <c r="BA131" s="35"/>
      <c r="BB131" s="65"/>
      <c r="BC131" s="65"/>
      <c r="BD131" s="65"/>
      <c r="BE131" s="65"/>
      <c r="BF131" s="65"/>
    </row>
    <row r="132" spans="1:58" s="4" customFormat="1" ht="15.75" customHeight="1">
      <c r="A132" s="43"/>
      <c r="B132" s="43"/>
      <c r="C132" s="43"/>
      <c r="D132" s="44"/>
      <c r="E132" s="44"/>
      <c r="F132" s="44"/>
      <c r="G132" s="44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35"/>
      <c r="AO132" s="58"/>
      <c r="AP132" s="113"/>
      <c r="AQ132" s="113"/>
      <c r="AR132" s="114"/>
      <c r="AS132" s="115"/>
      <c r="AT132" s="116"/>
      <c r="AU132" s="115"/>
      <c r="AV132" s="116"/>
      <c r="AW132" s="116"/>
      <c r="AX132" s="35"/>
      <c r="AY132" s="35"/>
      <c r="AZ132" s="35"/>
      <c r="BA132" s="35"/>
      <c r="BB132" s="65"/>
      <c r="BC132" s="65"/>
      <c r="BD132" s="65"/>
      <c r="BE132" s="65"/>
      <c r="BF132" s="65"/>
    </row>
    <row r="133" spans="1:58" s="4" customFormat="1" ht="15.75" customHeight="1">
      <c r="A133" s="43"/>
      <c r="B133" s="43"/>
      <c r="C133" s="43"/>
      <c r="D133" s="44"/>
      <c r="E133" s="44"/>
      <c r="F133" s="44"/>
      <c r="G133" s="44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35"/>
      <c r="AO133" s="58"/>
      <c r="AP133" s="113"/>
      <c r="AQ133" s="113"/>
      <c r="AR133" s="114"/>
      <c r="AS133" s="115"/>
      <c r="AT133" s="116"/>
      <c r="AU133" s="115"/>
      <c r="AV133" s="116"/>
      <c r="AW133" s="116"/>
      <c r="AX133" s="35"/>
      <c r="AY133" s="35"/>
      <c r="AZ133" s="35"/>
      <c r="BA133" s="35"/>
      <c r="BB133" s="65"/>
      <c r="BC133" s="65"/>
      <c r="BD133" s="65"/>
      <c r="BE133" s="65"/>
      <c r="BF133" s="65"/>
    </row>
    <row r="134" spans="1:58" s="4" customFormat="1" ht="15.75" customHeight="1">
      <c r="A134" s="43"/>
      <c r="B134" s="43"/>
      <c r="C134" s="43"/>
      <c r="D134" s="44"/>
      <c r="E134" s="44"/>
      <c r="F134" s="44"/>
      <c r="G134" s="44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35"/>
      <c r="AO134" s="58"/>
      <c r="AP134" s="113"/>
      <c r="AQ134" s="113"/>
      <c r="AR134" s="114"/>
      <c r="AS134" s="115"/>
      <c r="AT134" s="116"/>
      <c r="AU134" s="115"/>
      <c r="AV134" s="116"/>
      <c r="AW134" s="116"/>
      <c r="AX134" s="35"/>
      <c r="AY134" s="35"/>
      <c r="AZ134" s="35"/>
      <c r="BA134" s="35"/>
      <c r="BB134" s="65"/>
      <c r="BC134" s="65"/>
      <c r="BD134" s="65"/>
      <c r="BE134" s="65"/>
      <c r="BF134" s="65"/>
    </row>
    <row r="135" spans="1:58" s="4" customFormat="1" ht="15.75" customHeight="1">
      <c r="A135" s="43"/>
      <c r="B135" s="43"/>
      <c r="C135" s="43"/>
      <c r="D135" s="44"/>
      <c r="E135" s="44"/>
      <c r="F135" s="44"/>
      <c r="G135" s="44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35"/>
      <c r="AO135" s="58"/>
      <c r="AP135" s="113"/>
      <c r="AQ135" s="113"/>
      <c r="AR135" s="114"/>
      <c r="AS135" s="115"/>
      <c r="AT135" s="116"/>
      <c r="AU135" s="115"/>
      <c r="AV135" s="116"/>
      <c r="AW135" s="116"/>
      <c r="AX135" s="35"/>
      <c r="AY135" s="35"/>
      <c r="AZ135" s="35"/>
      <c r="BA135" s="35"/>
      <c r="BB135" s="65"/>
      <c r="BC135" s="65"/>
      <c r="BD135" s="65"/>
      <c r="BE135" s="65"/>
      <c r="BF135" s="65"/>
    </row>
    <row r="136" spans="1:58" s="4" customFormat="1" ht="15.75" customHeight="1">
      <c r="A136" s="43"/>
      <c r="B136" s="43"/>
      <c r="C136" s="43"/>
      <c r="D136" s="44"/>
      <c r="E136" s="44"/>
      <c r="F136" s="44"/>
      <c r="G136" s="44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35"/>
      <c r="AO136" s="58"/>
      <c r="AP136" s="113"/>
      <c r="AQ136" s="113"/>
      <c r="AR136" s="114"/>
      <c r="AS136" s="115"/>
      <c r="AT136" s="116"/>
      <c r="AU136" s="115"/>
      <c r="AV136" s="116"/>
      <c r="AW136" s="116"/>
      <c r="AX136" s="35"/>
      <c r="AY136" s="35"/>
      <c r="AZ136" s="35"/>
      <c r="BA136" s="35"/>
      <c r="BB136" s="65"/>
      <c r="BC136" s="65"/>
      <c r="BD136" s="65"/>
      <c r="BE136" s="65"/>
      <c r="BF136" s="65"/>
    </row>
    <row r="137" spans="1:58" s="4" customFormat="1" ht="15.75" customHeight="1">
      <c r="A137" s="43"/>
      <c r="B137" s="43"/>
      <c r="C137" s="43"/>
      <c r="D137" s="44"/>
      <c r="E137" s="44"/>
      <c r="F137" s="44"/>
      <c r="G137" s="44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35"/>
      <c r="AO137" s="58"/>
      <c r="AP137" s="113"/>
      <c r="AQ137" s="113"/>
      <c r="AR137" s="114"/>
      <c r="AS137" s="115"/>
      <c r="AT137" s="116"/>
      <c r="AU137" s="115"/>
      <c r="AV137" s="116"/>
      <c r="AW137" s="116"/>
      <c r="AX137" s="35"/>
      <c r="AY137" s="35"/>
      <c r="AZ137" s="35"/>
      <c r="BA137" s="35"/>
      <c r="BB137" s="65"/>
      <c r="BC137" s="65"/>
      <c r="BD137" s="65"/>
      <c r="BE137" s="65"/>
      <c r="BF137" s="65"/>
    </row>
    <row r="138" spans="1:58" s="4" customFormat="1" ht="15.75" customHeight="1">
      <c r="A138" s="43"/>
      <c r="B138" s="43"/>
      <c r="C138" s="43"/>
      <c r="D138" s="44"/>
      <c r="E138" s="44"/>
      <c r="F138" s="44"/>
      <c r="G138" s="44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35"/>
      <c r="AO138" s="58"/>
      <c r="AP138" s="113"/>
      <c r="AQ138" s="113"/>
      <c r="AR138" s="114"/>
      <c r="AS138" s="115"/>
      <c r="AT138" s="116"/>
      <c r="AU138" s="115"/>
      <c r="AV138" s="116"/>
      <c r="AW138" s="116"/>
      <c r="AX138" s="35"/>
      <c r="AY138" s="35"/>
      <c r="AZ138" s="35"/>
      <c r="BA138" s="35"/>
      <c r="BB138" s="65"/>
      <c r="BC138" s="65"/>
      <c r="BD138" s="65"/>
      <c r="BE138" s="65"/>
      <c r="BF138" s="65"/>
    </row>
    <row r="139" spans="1:58" s="4" customFormat="1" ht="15.75" customHeight="1">
      <c r="A139" s="43"/>
      <c r="B139" s="43"/>
      <c r="C139" s="43"/>
      <c r="D139" s="44"/>
      <c r="E139" s="44"/>
      <c r="F139" s="44"/>
      <c r="G139" s="44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35"/>
      <c r="AO139" s="58"/>
      <c r="AP139" s="113"/>
      <c r="AQ139" s="113"/>
      <c r="AR139" s="114"/>
      <c r="AS139" s="115"/>
      <c r="AT139" s="116"/>
      <c r="AU139" s="115"/>
      <c r="AV139" s="116"/>
      <c r="AW139" s="116"/>
      <c r="AX139" s="35"/>
      <c r="AY139" s="35"/>
      <c r="AZ139" s="35"/>
      <c r="BA139" s="35"/>
      <c r="BB139" s="65"/>
      <c r="BC139" s="65"/>
      <c r="BD139" s="65"/>
      <c r="BE139" s="65"/>
      <c r="BF139" s="65"/>
    </row>
    <row r="140" spans="1:58" s="4" customFormat="1" ht="15.75" customHeight="1">
      <c r="A140" s="43"/>
      <c r="B140" s="43"/>
      <c r="C140" s="43"/>
      <c r="D140" s="44"/>
      <c r="E140" s="44"/>
      <c r="F140" s="44"/>
      <c r="G140" s="44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35"/>
      <c r="AO140" s="58"/>
      <c r="AP140" s="113"/>
      <c r="AQ140" s="113"/>
      <c r="AR140" s="114"/>
      <c r="AS140" s="115"/>
      <c r="AT140" s="116"/>
      <c r="AU140" s="115"/>
      <c r="AV140" s="116"/>
      <c r="AW140" s="116"/>
      <c r="AX140" s="35"/>
      <c r="AY140" s="35"/>
      <c r="AZ140" s="35"/>
      <c r="BA140" s="35"/>
      <c r="BB140" s="65"/>
      <c r="BC140" s="65"/>
      <c r="BD140" s="65"/>
      <c r="BE140" s="65"/>
      <c r="BF140" s="65"/>
    </row>
    <row r="141" spans="1:58" s="4" customFormat="1" ht="15.75" customHeight="1">
      <c r="A141" s="43"/>
      <c r="B141" s="43"/>
      <c r="C141" s="43"/>
      <c r="D141" s="44"/>
      <c r="E141" s="44"/>
      <c r="F141" s="44"/>
      <c r="G141" s="44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35"/>
      <c r="AO141" s="58"/>
      <c r="AP141" s="113"/>
      <c r="AQ141" s="113"/>
      <c r="AR141" s="114"/>
      <c r="AS141" s="115"/>
      <c r="AT141" s="116"/>
      <c r="AU141" s="115"/>
      <c r="AV141" s="116"/>
      <c r="AW141" s="116"/>
      <c r="AX141" s="35"/>
      <c r="AY141" s="35"/>
      <c r="AZ141" s="35"/>
      <c r="BA141" s="35"/>
      <c r="BB141" s="65"/>
      <c r="BC141" s="65"/>
      <c r="BD141" s="65"/>
      <c r="BE141" s="65"/>
      <c r="BF141" s="65"/>
    </row>
    <row r="142" spans="1:58" s="4" customFormat="1" ht="15.75" customHeight="1">
      <c r="A142" s="43"/>
      <c r="B142" s="43"/>
      <c r="C142" s="43"/>
      <c r="D142" s="44"/>
      <c r="E142" s="44"/>
      <c r="F142" s="44"/>
      <c r="G142" s="44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35"/>
      <c r="AO142" s="58"/>
      <c r="AP142" s="113"/>
      <c r="AQ142" s="113"/>
      <c r="AR142" s="114"/>
      <c r="AS142" s="115"/>
      <c r="AT142" s="116"/>
      <c r="AU142" s="115"/>
      <c r="AV142" s="116"/>
      <c r="AW142" s="116"/>
      <c r="AX142" s="35"/>
      <c r="AY142" s="35"/>
      <c r="AZ142" s="35"/>
      <c r="BA142" s="35"/>
      <c r="BB142" s="65"/>
      <c r="BC142" s="65"/>
      <c r="BD142" s="65"/>
      <c r="BE142" s="65"/>
      <c r="BF142" s="65"/>
    </row>
    <row r="143" spans="1:58" s="4" customFormat="1" ht="15.75" customHeight="1">
      <c r="A143" s="43"/>
      <c r="B143" s="43"/>
      <c r="C143" s="43"/>
      <c r="D143" s="44"/>
      <c r="E143" s="44"/>
      <c r="F143" s="44"/>
      <c r="G143" s="44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35"/>
      <c r="AO143" s="58"/>
      <c r="AP143" s="113"/>
      <c r="AQ143" s="113"/>
      <c r="AR143" s="114"/>
      <c r="AS143" s="115"/>
      <c r="AT143" s="116"/>
      <c r="AU143" s="115"/>
      <c r="AV143" s="116"/>
      <c r="AW143" s="116"/>
      <c r="AX143" s="35"/>
      <c r="AY143" s="35"/>
      <c r="AZ143" s="35"/>
      <c r="BA143" s="35"/>
      <c r="BB143" s="65"/>
      <c r="BC143" s="65"/>
      <c r="BD143" s="65"/>
      <c r="BE143" s="65"/>
      <c r="BF143" s="65"/>
    </row>
    <row r="144" spans="1:58" s="4" customFormat="1" ht="15.75" customHeight="1">
      <c r="A144" s="43"/>
      <c r="B144" s="43"/>
      <c r="C144" s="43"/>
      <c r="D144" s="44"/>
      <c r="E144" s="44"/>
      <c r="F144" s="44"/>
      <c r="G144" s="44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35"/>
      <c r="AO144" s="58"/>
      <c r="AP144" s="113"/>
      <c r="AQ144" s="113"/>
      <c r="AR144" s="114"/>
      <c r="AS144" s="115"/>
      <c r="AT144" s="116"/>
      <c r="AU144" s="115"/>
      <c r="AV144" s="116"/>
      <c r="AW144" s="116"/>
      <c r="AX144" s="35"/>
      <c r="AY144" s="35"/>
      <c r="AZ144" s="35"/>
      <c r="BA144" s="35"/>
      <c r="BB144" s="65"/>
      <c r="BC144" s="65"/>
      <c r="BD144" s="65"/>
      <c r="BE144" s="65"/>
      <c r="BF144" s="65"/>
    </row>
    <row r="145" spans="1:58" s="4" customFormat="1" ht="15.75" customHeight="1">
      <c r="A145" s="43"/>
      <c r="B145" s="43"/>
      <c r="C145" s="43"/>
      <c r="D145" s="44"/>
      <c r="E145" s="44"/>
      <c r="F145" s="44"/>
      <c r="G145" s="44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35"/>
      <c r="AO145" s="58"/>
      <c r="AP145" s="113"/>
      <c r="AQ145" s="113"/>
      <c r="AR145" s="114"/>
      <c r="AS145" s="115"/>
      <c r="AT145" s="116"/>
      <c r="AU145" s="115"/>
      <c r="AV145" s="116"/>
      <c r="AW145" s="116"/>
      <c r="AX145" s="35"/>
      <c r="AY145" s="35"/>
      <c r="AZ145" s="35"/>
      <c r="BA145" s="35"/>
      <c r="BB145" s="65"/>
      <c r="BC145" s="65"/>
      <c r="BD145" s="65"/>
      <c r="BE145" s="65"/>
      <c r="BF145" s="65"/>
    </row>
    <row r="146" spans="1:58" s="4" customFormat="1" ht="15.75" customHeight="1">
      <c r="A146" s="43"/>
      <c r="B146" s="43"/>
      <c r="C146" s="43"/>
      <c r="D146" s="44"/>
      <c r="E146" s="44"/>
      <c r="F146" s="44"/>
      <c r="G146" s="44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35"/>
      <c r="AO146" s="58"/>
      <c r="AP146" s="113"/>
      <c r="AQ146" s="113"/>
      <c r="AR146" s="114"/>
      <c r="AS146" s="115"/>
      <c r="AT146" s="116"/>
      <c r="AU146" s="115"/>
      <c r="AV146" s="116"/>
      <c r="AW146" s="116"/>
      <c r="AX146" s="35"/>
      <c r="AY146" s="35"/>
      <c r="AZ146" s="35"/>
      <c r="BA146" s="35"/>
      <c r="BB146" s="65"/>
      <c r="BC146" s="65"/>
      <c r="BD146" s="65"/>
      <c r="BE146" s="65"/>
      <c r="BF146" s="65"/>
    </row>
    <row r="147" spans="1:58" s="4" customFormat="1" ht="15.75" customHeight="1">
      <c r="A147" s="43"/>
      <c r="B147" s="43"/>
      <c r="C147" s="43"/>
      <c r="D147" s="44"/>
      <c r="E147" s="44"/>
      <c r="F147" s="44"/>
      <c r="G147" s="44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35"/>
      <c r="AO147" s="58"/>
      <c r="AP147" s="113"/>
      <c r="AQ147" s="113"/>
      <c r="AR147" s="114"/>
      <c r="AS147" s="115"/>
      <c r="AT147" s="116"/>
      <c r="AU147" s="115"/>
      <c r="AV147" s="116"/>
      <c r="AW147" s="116"/>
      <c r="AX147" s="35"/>
      <c r="AY147" s="35"/>
      <c r="AZ147" s="35"/>
      <c r="BA147" s="35"/>
      <c r="BB147" s="65"/>
      <c r="BC147" s="65"/>
      <c r="BD147" s="65"/>
      <c r="BE147" s="65"/>
      <c r="BF147" s="65"/>
    </row>
    <row r="148" spans="1:58" s="4" customFormat="1" ht="15.75" customHeight="1">
      <c r="A148" s="43"/>
      <c r="B148" s="43"/>
      <c r="C148" s="43"/>
      <c r="D148" s="44"/>
      <c r="E148" s="44"/>
      <c r="F148" s="44"/>
      <c r="G148" s="44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35"/>
      <c r="AO148" s="58"/>
      <c r="AP148" s="113"/>
      <c r="AQ148" s="113"/>
      <c r="AR148" s="114"/>
      <c r="AS148" s="115"/>
      <c r="AT148" s="116"/>
      <c r="AU148" s="115"/>
      <c r="AV148" s="116"/>
      <c r="AW148" s="116"/>
      <c r="AX148" s="35"/>
      <c r="AY148" s="35"/>
      <c r="AZ148" s="35"/>
      <c r="BA148" s="35"/>
      <c r="BB148" s="65"/>
      <c r="BC148" s="65"/>
      <c r="BD148" s="65"/>
      <c r="BE148" s="65"/>
      <c r="BF148" s="65"/>
    </row>
    <row r="149" spans="1:58" s="4" customFormat="1" ht="15.75" customHeight="1">
      <c r="A149" s="43"/>
      <c r="B149" s="43"/>
      <c r="C149" s="43"/>
      <c r="D149" s="44"/>
      <c r="E149" s="44"/>
      <c r="F149" s="44"/>
      <c r="G149" s="44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35"/>
      <c r="AO149" s="58"/>
      <c r="AP149" s="113"/>
      <c r="AQ149" s="113"/>
      <c r="AR149" s="114"/>
      <c r="AS149" s="115"/>
      <c r="AT149" s="116"/>
      <c r="AU149" s="115"/>
      <c r="AV149" s="116"/>
      <c r="AW149" s="116"/>
      <c r="AX149" s="35"/>
      <c r="AY149" s="35"/>
      <c r="AZ149" s="35"/>
      <c r="BA149" s="35"/>
      <c r="BB149" s="65"/>
      <c r="BC149" s="65"/>
      <c r="BD149" s="65"/>
      <c r="BE149" s="65"/>
      <c r="BF149" s="65"/>
    </row>
    <row r="150" spans="1:58" s="4" customFormat="1" ht="15.75" customHeight="1">
      <c r="A150" s="43"/>
      <c r="B150" s="43"/>
      <c r="C150" s="43"/>
      <c r="D150" s="44"/>
      <c r="E150" s="44"/>
      <c r="F150" s="44"/>
      <c r="G150" s="44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35"/>
      <c r="AO150" s="58"/>
      <c r="AP150" s="113"/>
      <c r="AQ150" s="113"/>
      <c r="AR150" s="114"/>
      <c r="AS150" s="115"/>
      <c r="AT150" s="116"/>
      <c r="AU150" s="115"/>
      <c r="AV150" s="116"/>
      <c r="AW150" s="116"/>
      <c r="AX150" s="35"/>
      <c r="AY150" s="35"/>
      <c r="AZ150" s="35"/>
      <c r="BA150" s="35"/>
      <c r="BB150" s="65"/>
      <c r="BC150" s="65"/>
      <c r="BD150" s="65"/>
      <c r="BE150" s="65"/>
      <c r="BF150" s="65"/>
    </row>
    <row r="151" spans="1:58" s="4" customFormat="1" ht="15.75" customHeight="1">
      <c r="A151" s="43"/>
      <c r="B151" s="43"/>
      <c r="C151" s="43"/>
      <c r="D151" s="44"/>
      <c r="E151" s="44"/>
      <c r="F151" s="44"/>
      <c r="G151" s="44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35"/>
      <c r="AO151" s="58"/>
      <c r="AP151" s="113"/>
      <c r="AQ151" s="113"/>
      <c r="AR151" s="114"/>
      <c r="AS151" s="115"/>
      <c r="AT151" s="116"/>
      <c r="AU151" s="115"/>
      <c r="AV151" s="116"/>
      <c r="AW151" s="116"/>
      <c r="AX151" s="35"/>
      <c r="AY151" s="35"/>
      <c r="AZ151" s="35"/>
      <c r="BA151" s="35"/>
      <c r="BB151" s="65"/>
      <c r="BC151" s="65"/>
      <c r="BD151" s="65"/>
      <c r="BE151" s="65"/>
      <c r="BF151" s="65"/>
    </row>
    <row r="152" spans="1:58" s="4" customFormat="1" ht="15.75" customHeight="1">
      <c r="A152" s="43"/>
      <c r="B152" s="43"/>
      <c r="C152" s="43"/>
      <c r="D152" s="44"/>
      <c r="E152" s="44"/>
      <c r="F152" s="44"/>
      <c r="G152" s="44"/>
      <c r="H152" s="45"/>
      <c r="I152" s="45"/>
      <c r="J152" s="9">
        <v>0</v>
      </c>
      <c r="K152" s="9">
        <v>0</v>
      </c>
      <c r="L152" s="10">
        <v>2</v>
      </c>
      <c r="M152" s="10">
        <v>0</v>
      </c>
      <c r="N152" s="10">
        <v>1</v>
      </c>
      <c r="O152" s="66"/>
      <c r="P152" s="10">
        <v>1</v>
      </c>
      <c r="Q152" s="10">
        <v>0</v>
      </c>
      <c r="R152" s="10">
        <v>0</v>
      </c>
      <c r="S152" s="10">
        <v>1</v>
      </c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35"/>
      <c r="AO152" s="58"/>
      <c r="AP152" s="113"/>
      <c r="AQ152" s="113"/>
      <c r="AR152" s="114"/>
      <c r="AS152" s="115"/>
      <c r="AT152" s="116"/>
      <c r="AU152" s="115"/>
      <c r="AV152" s="116"/>
      <c r="AW152" s="116"/>
      <c r="AX152" s="35"/>
      <c r="AY152" s="35"/>
      <c r="AZ152" s="35"/>
      <c r="BA152" s="35"/>
      <c r="BB152" s="65"/>
      <c r="BC152" s="65"/>
      <c r="BD152" s="65"/>
      <c r="BE152" s="65"/>
      <c r="BF152" s="65"/>
    </row>
    <row r="153" spans="1:58" s="4" customFormat="1" ht="15.75" customHeight="1">
      <c r="A153" s="43"/>
      <c r="B153" s="43"/>
      <c r="C153" s="43"/>
      <c r="D153" s="44"/>
      <c r="E153" s="44"/>
      <c r="F153" s="44"/>
      <c r="G153" s="44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35"/>
      <c r="AO153" s="58"/>
      <c r="AP153" s="113"/>
      <c r="AQ153" s="113"/>
      <c r="AR153" s="114"/>
      <c r="AS153" s="115"/>
      <c r="AT153" s="116"/>
      <c r="AU153" s="115"/>
      <c r="AV153" s="116"/>
      <c r="AW153" s="116"/>
      <c r="AX153" s="35"/>
      <c r="AY153" s="35"/>
      <c r="AZ153" s="35"/>
      <c r="BA153" s="35"/>
      <c r="BB153" s="65"/>
      <c r="BC153" s="65"/>
      <c r="BD153" s="65"/>
      <c r="BE153" s="65"/>
      <c r="BF153" s="65"/>
    </row>
    <row r="154" spans="1:58" s="4" customFormat="1" ht="15.75" customHeight="1">
      <c r="A154" s="43"/>
      <c r="B154" s="43"/>
      <c r="C154" s="43"/>
      <c r="D154" s="44"/>
      <c r="E154" s="44"/>
      <c r="F154" s="44"/>
      <c r="G154" s="44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35"/>
      <c r="AO154" s="58"/>
      <c r="AP154" s="113"/>
      <c r="AQ154" s="113"/>
      <c r="AR154" s="114"/>
      <c r="AS154" s="115"/>
      <c r="AT154" s="116"/>
      <c r="AU154" s="115"/>
      <c r="AV154" s="116"/>
      <c r="AW154" s="116"/>
      <c r="AX154" s="35"/>
      <c r="AY154" s="35"/>
      <c r="AZ154" s="35"/>
      <c r="BA154" s="35"/>
      <c r="BB154" s="65"/>
      <c r="BC154" s="65"/>
      <c r="BD154" s="65"/>
      <c r="BE154" s="65"/>
      <c r="BF154" s="65"/>
    </row>
    <row r="155" spans="1:58" s="4" customFormat="1" ht="15.75" customHeight="1">
      <c r="A155" s="43"/>
      <c r="B155" s="43"/>
      <c r="C155" s="43"/>
      <c r="D155" s="44"/>
      <c r="E155" s="44"/>
      <c r="F155" s="44"/>
      <c r="G155" s="44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35"/>
      <c r="AO155" s="58"/>
      <c r="AP155" s="113"/>
      <c r="AQ155" s="113"/>
      <c r="AR155" s="114"/>
      <c r="AS155" s="115"/>
      <c r="AT155" s="116"/>
      <c r="AU155" s="115"/>
      <c r="AV155" s="116"/>
      <c r="AW155" s="116"/>
      <c r="AX155" s="35"/>
      <c r="AY155" s="35"/>
      <c r="AZ155" s="35"/>
      <c r="BA155" s="35"/>
      <c r="BB155" s="65"/>
      <c r="BC155" s="65"/>
      <c r="BD155" s="65"/>
      <c r="BE155" s="65"/>
      <c r="BF155" s="65"/>
    </row>
    <row r="156" spans="1:58" s="4" customFormat="1" ht="15.75" customHeight="1">
      <c r="A156" s="43"/>
      <c r="B156" s="43"/>
      <c r="C156" s="43"/>
      <c r="D156" s="44"/>
      <c r="E156" s="44"/>
      <c r="F156" s="44"/>
      <c r="G156" s="44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35"/>
      <c r="AO156" s="58"/>
      <c r="AP156" s="113"/>
      <c r="AQ156" s="113"/>
      <c r="AR156" s="114"/>
      <c r="AS156" s="115"/>
      <c r="AT156" s="116"/>
      <c r="AU156" s="115"/>
      <c r="AV156" s="116"/>
      <c r="AW156" s="116"/>
      <c r="AX156" s="35"/>
      <c r="AY156" s="35"/>
      <c r="AZ156" s="35"/>
      <c r="BA156" s="35"/>
      <c r="BB156" s="65"/>
      <c r="BC156" s="65"/>
      <c r="BD156" s="65"/>
      <c r="BE156" s="65"/>
      <c r="BF156" s="65"/>
    </row>
    <row r="157" spans="1:58" s="4" customFormat="1" ht="15.75" customHeight="1">
      <c r="A157" s="43"/>
      <c r="B157" s="43"/>
      <c r="C157" s="43"/>
      <c r="D157" s="44"/>
      <c r="E157" s="44"/>
      <c r="F157" s="44"/>
      <c r="G157" s="44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35"/>
      <c r="AO157" s="58"/>
      <c r="AP157" s="113"/>
      <c r="AQ157" s="113"/>
      <c r="AR157" s="114"/>
      <c r="AS157" s="115"/>
      <c r="AT157" s="116"/>
      <c r="AU157" s="115"/>
      <c r="AV157" s="116"/>
      <c r="AW157" s="116"/>
      <c r="AX157" s="35"/>
      <c r="AY157" s="35"/>
      <c r="AZ157" s="35"/>
      <c r="BA157" s="35"/>
      <c r="BB157" s="65"/>
      <c r="BC157" s="65"/>
      <c r="BD157" s="65"/>
      <c r="BE157" s="65"/>
      <c r="BF157" s="65"/>
    </row>
    <row r="158" spans="1:58" s="4" customFormat="1" ht="15.75" customHeight="1">
      <c r="A158" s="43"/>
      <c r="B158" s="43"/>
      <c r="C158" s="43"/>
      <c r="D158" s="44"/>
      <c r="E158" s="44"/>
      <c r="F158" s="44"/>
      <c r="G158" s="44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35"/>
      <c r="AO158" s="58"/>
      <c r="AP158" s="113"/>
      <c r="AQ158" s="113"/>
      <c r="AR158" s="114"/>
      <c r="AS158" s="115"/>
      <c r="AT158" s="116"/>
      <c r="AU158" s="115"/>
      <c r="AV158" s="116"/>
      <c r="AW158" s="116"/>
      <c r="AX158" s="35"/>
      <c r="AY158" s="35"/>
      <c r="AZ158" s="35"/>
      <c r="BA158" s="35"/>
      <c r="BB158" s="65"/>
      <c r="BC158" s="65"/>
      <c r="BD158" s="65"/>
      <c r="BE158" s="65"/>
      <c r="BF158" s="65"/>
    </row>
    <row r="159" spans="1:58" s="4" customFormat="1" ht="15.75" customHeight="1">
      <c r="A159" s="43"/>
      <c r="B159" s="43"/>
      <c r="C159" s="43"/>
      <c r="D159" s="44"/>
      <c r="E159" s="44"/>
      <c r="F159" s="44"/>
      <c r="G159" s="44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35"/>
      <c r="AO159" s="58"/>
      <c r="AP159" s="113"/>
      <c r="AQ159" s="113"/>
      <c r="AR159" s="114"/>
      <c r="AS159" s="115"/>
      <c r="AT159" s="116"/>
      <c r="AU159" s="115"/>
      <c r="AV159" s="116"/>
      <c r="AW159" s="116"/>
      <c r="AX159" s="35"/>
      <c r="AY159" s="35"/>
      <c r="AZ159" s="35"/>
      <c r="BA159" s="35"/>
      <c r="BB159" s="65"/>
      <c r="BC159" s="65"/>
      <c r="BD159" s="65"/>
      <c r="BE159" s="65"/>
      <c r="BF159" s="65"/>
    </row>
    <row r="160" spans="1:58" s="4" customFormat="1" ht="15.75" customHeight="1">
      <c r="A160" s="43"/>
      <c r="B160" s="43"/>
      <c r="C160" s="43"/>
      <c r="D160" s="44"/>
      <c r="E160" s="44"/>
      <c r="F160" s="44"/>
      <c r="G160" s="44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35"/>
      <c r="AO160" s="58"/>
      <c r="AP160" s="113"/>
      <c r="AQ160" s="113"/>
      <c r="AR160" s="114"/>
      <c r="AS160" s="115"/>
      <c r="AT160" s="116"/>
      <c r="AU160" s="115"/>
      <c r="AV160" s="116"/>
      <c r="AW160" s="116"/>
      <c r="AX160" s="35"/>
      <c r="AY160" s="35"/>
      <c r="AZ160" s="35"/>
      <c r="BA160" s="35"/>
      <c r="BB160" s="65"/>
      <c r="BC160" s="65"/>
      <c r="BD160" s="65"/>
      <c r="BE160" s="65"/>
      <c r="BF160" s="65"/>
    </row>
    <row r="161" spans="1:58" s="4" customFormat="1" ht="15.75" customHeight="1">
      <c r="A161" s="43"/>
      <c r="B161" s="43"/>
      <c r="C161" s="43"/>
      <c r="D161" s="44"/>
      <c r="E161" s="44"/>
      <c r="F161" s="44"/>
      <c r="G161" s="44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35"/>
      <c r="AO161" s="58"/>
      <c r="AP161" s="113"/>
      <c r="AQ161" s="113"/>
      <c r="AR161" s="114"/>
      <c r="AS161" s="115"/>
      <c r="AT161" s="116"/>
      <c r="AU161" s="115"/>
      <c r="AV161" s="116"/>
      <c r="AW161" s="116"/>
      <c r="AX161" s="35"/>
      <c r="AY161" s="35"/>
      <c r="AZ161" s="35"/>
      <c r="BA161" s="35"/>
      <c r="BB161" s="65"/>
      <c r="BC161" s="65"/>
      <c r="BD161" s="65"/>
      <c r="BE161" s="65"/>
      <c r="BF161" s="65"/>
    </row>
    <row r="162" spans="1:58" s="4" customFormat="1" ht="15.75" customHeight="1">
      <c r="A162" s="43"/>
      <c r="B162" s="43"/>
      <c r="C162" s="43"/>
      <c r="D162" s="44"/>
      <c r="E162" s="44"/>
      <c r="F162" s="44"/>
      <c r="G162" s="44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35"/>
      <c r="AO162" s="58"/>
      <c r="AP162" s="113"/>
      <c r="AQ162" s="113"/>
      <c r="AR162" s="114"/>
      <c r="AS162" s="115"/>
      <c r="AT162" s="116"/>
      <c r="AU162" s="115"/>
      <c r="AV162" s="116"/>
      <c r="AW162" s="116"/>
      <c r="AX162" s="35"/>
      <c r="AY162" s="35"/>
      <c r="AZ162" s="35"/>
      <c r="BA162" s="35"/>
      <c r="BB162" s="65"/>
      <c r="BC162" s="65"/>
      <c r="BD162" s="65"/>
      <c r="BE162" s="65"/>
      <c r="BF162" s="65"/>
    </row>
    <row r="163" spans="1:58" s="4" customFormat="1" ht="15.75" customHeight="1">
      <c r="A163" s="43"/>
      <c r="B163" s="43"/>
      <c r="C163" s="43"/>
      <c r="D163" s="44"/>
      <c r="E163" s="44"/>
      <c r="F163" s="44"/>
      <c r="G163" s="44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35"/>
      <c r="AO163" s="58"/>
      <c r="AP163" s="113"/>
      <c r="AQ163" s="113"/>
      <c r="AR163" s="114"/>
      <c r="AS163" s="115"/>
      <c r="AT163" s="116"/>
      <c r="AU163" s="115"/>
      <c r="AV163" s="116"/>
      <c r="AW163" s="116"/>
      <c r="AX163" s="35"/>
      <c r="AY163" s="35"/>
      <c r="AZ163" s="35"/>
      <c r="BA163" s="35"/>
      <c r="BB163" s="65"/>
      <c r="BC163" s="65"/>
      <c r="BD163" s="65"/>
      <c r="BE163" s="65"/>
      <c r="BF163" s="65"/>
    </row>
    <row r="164" spans="1:58" s="4" customFormat="1" ht="15.75" customHeight="1">
      <c r="A164" s="43"/>
      <c r="B164" s="43"/>
      <c r="C164" s="43"/>
      <c r="D164" s="44"/>
      <c r="E164" s="44"/>
      <c r="F164" s="44"/>
      <c r="G164" s="44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35"/>
      <c r="AO164" s="58"/>
      <c r="AP164" s="113"/>
      <c r="AQ164" s="113"/>
      <c r="AR164" s="114"/>
      <c r="AS164" s="115"/>
      <c r="AT164" s="116"/>
      <c r="AU164" s="115"/>
      <c r="AV164" s="116"/>
      <c r="AW164" s="116"/>
      <c r="AX164" s="35"/>
      <c r="AY164" s="35"/>
      <c r="AZ164" s="35"/>
      <c r="BA164" s="35"/>
      <c r="BB164" s="65"/>
      <c r="BC164" s="65"/>
      <c r="BD164" s="65"/>
      <c r="BE164" s="65"/>
      <c r="BF164" s="65"/>
    </row>
    <row r="165" spans="1:58" s="4" customFormat="1" ht="15.75" customHeight="1">
      <c r="A165" s="43"/>
      <c r="B165" s="43"/>
      <c r="C165" s="43"/>
      <c r="D165" s="44"/>
      <c r="E165" s="44"/>
      <c r="F165" s="44"/>
      <c r="G165" s="44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35"/>
      <c r="AO165" s="58"/>
      <c r="AP165" s="113"/>
      <c r="AQ165" s="113"/>
      <c r="AR165" s="114"/>
      <c r="AS165" s="115"/>
      <c r="AT165" s="116"/>
      <c r="AU165" s="115"/>
      <c r="AV165" s="116"/>
      <c r="AW165" s="116"/>
      <c r="AX165" s="35"/>
      <c r="AY165" s="35"/>
      <c r="AZ165" s="35"/>
      <c r="BA165" s="35"/>
      <c r="BB165" s="65"/>
      <c r="BC165" s="65"/>
      <c r="BD165" s="65"/>
      <c r="BE165" s="65"/>
      <c r="BF165" s="65"/>
    </row>
    <row r="166" spans="1:58" s="4" customFormat="1" ht="15.75" customHeight="1">
      <c r="A166" s="43"/>
      <c r="B166" s="43"/>
      <c r="C166" s="43"/>
      <c r="D166" s="44"/>
      <c r="E166" s="44"/>
      <c r="F166" s="44"/>
      <c r="G166" s="44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35"/>
      <c r="AO166" s="58"/>
      <c r="AP166" s="113"/>
      <c r="AQ166" s="113"/>
      <c r="AR166" s="114"/>
      <c r="AS166" s="115"/>
      <c r="AT166" s="116"/>
      <c r="AU166" s="115"/>
      <c r="AV166" s="116"/>
      <c r="AW166" s="116"/>
      <c r="AX166" s="35"/>
      <c r="AY166" s="35"/>
      <c r="AZ166" s="35"/>
      <c r="BA166" s="35"/>
      <c r="BB166" s="65"/>
      <c r="BC166" s="65"/>
      <c r="BD166" s="65"/>
      <c r="BE166" s="65"/>
      <c r="BF166" s="65"/>
    </row>
    <row r="167" spans="1:58" s="4" customFormat="1" ht="15.75" customHeight="1">
      <c r="A167" s="43"/>
      <c r="B167" s="43"/>
      <c r="C167" s="43"/>
      <c r="D167" s="44"/>
      <c r="E167" s="44"/>
      <c r="F167" s="44"/>
      <c r="G167" s="44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35"/>
      <c r="AO167" s="58"/>
      <c r="AP167" s="113"/>
      <c r="AQ167" s="113"/>
      <c r="AR167" s="114"/>
      <c r="AS167" s="115"/>
      <c r="AT167" s="116"/>
      <c r="AU167" s="115"/>
      <c r="AV167" s="116"/>
      <c r="AW167" s="116"/>
      <c r="AX167" s="35"/>
      <c r="AY167" s="35"/>
      <c r="AZ167" s="35"/>
      <c r="BA167" s="35"/>
      <c r="BB167" s="65"/>
      <c r="BC167" s="65"/>
      <c r="BD167" s="65"/>
      <c r="BE167" s="65"/>
      <c r="BF167" s="65"/>
    </row>
    <row r="168" spans="1:58" s="4" customFormat="1" ht="15.75" customHeight="1">
      <c r="A168" s="43"/>
      <c r="B168" s="43"/>
      <c r="C168" s="43"/>
      <c r="D168" s="44"/>
      <c r="E168" s="44"/>
      <c r="F168" s="44"/>
      <c r="G168" s="44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35"/>
      <c r="AO168" s="58"/>
      <c r="AP168" s="113"/>
      <c r="AQ168" s="113"/>
      <c r="AR168" s="114"/>
      <c r="AS168" s="115"/>
      <c r="AT168" s="116"/>
      <c r="AU168" s="115"/>
      <c r="AV168" s="116"/>
      <c r="AW168" s="116"/>
      <c r="AX168" s="35"/>
      <c r="AY168" s="35"/>
      <c r="AZ168" s="35"/>
      <c r="BA168" s="35"/>
      <c r="BB168" s="65"/>
      <c r="BC168" s="65"/>
      <c r="BD168" s="65"/>
      <c r="BE168" s="65"/>
      <c r="BF168" s="65"/>
    </row>
    <row r="169" spans="1:58" s="4" customFormat="1" ht="15.75" customHeight="1">
      <c r="A169" s="43"/>
      <c r="B169" s="43"/>
      <c r="C169" s="43"/>
      <c r="D169" s="44"/>
      <c r="E169" s="44"/>
      <c r="F169" s="44"/>
      <c r="G169" s="44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35"/>
      <c r="AO169" s="58"/>
      <c r="AP169" s="113"/>
      <c r="AQ169" s="113"/>
      <c r="AR169" s="114"/>
      <c r="AS169" s="115"/>
      <c r="AT169" s="116"/>
      <c r="AU169" s="115"/>
      <c r="AV169" s="116"/>
      <c r="AW169" s="116"/>
      <c r="AX169" s="35"/>
      <c r="AY169" s="35"/>
      <c r="AZ169" s="35"/>
      <c r="BA169" s="35"/>
      <c r="BB169" s="65"/>
      <c r="BC169" s="65"/>
      <c r="BD169" s="65"/>
      <c r="BE169" s="65"/>
      <c r="BF169" s="65"/>
    </row>
    <row r="170" spans="1:58" s="4" customFormat="1" ht="15.75" customHeight="1">
      <c r="A170" s="43"/>
      <c r="B170" s="43"/>
      <c r="C170" s="43"/>
      <c r="D170" s="44"/>
      <c r="E170" s="44"/>
      <c r="F170" s="44"/>
      <c r="G170" s="44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35"/>
      <c r="AO170" s="58"/>
      <c r="AP170" s="113"/>
      <c r="AQ170" s="113"/>
      <c r="AR170" s="114"/>
      <c r="AS170" s="115"/>
      <c r="AT170" s="116"/>
      <c r="AU170" s="115"/>
      <c r="AV170" s="116"/>
      <c r="AW170" s="116"/>
      <c r="AX170" s="35"/>
      <c r="AY170" s="35"/>
      <c r="AZ170" s="35"/>
      <c r="BA170" s="35"/>
      <c r="BB170" s="65"/>
      <c r="BC170" s="65"/>
      <c r="BD170" s="65"/>
      <c r="BE170" s="65"/>
      <c r="BF170" s="65"/>
    </row>
    <row r="171" spans="1:58" s="4" customFormat="1" ht="15.75" customHeight="1">
      <c r="A171" s="43"/>
      <c r="B171" s="43"/>
      <c r="C171" s="43"/>
      <c r="D171" s="44"/>
      <c r="E171" s="44"/>
      <c r="F171" s="44"/>
      <c r="G171" s="44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35"/>
      <c r="AO171" s="58"/>
      <c r="AP171" s="113"/>
      <c r="AQ171" s="113"/>
      <c r="AR171" s="114"/>
      <c r="AS171" s="115"/>
      <c r="AT171" s="116"/>
      <c r="AU171" s="115"/>
      <c r="AV171" s="116"/>
      <c r="AW171" s="116"/>
      <c r="AX171" s="35"/>
      <c r="AY171" s="35"/>
      <c r="AZ171" s="35"/>
      <c r="BA171" s="35"/>
      <c r="BB171" s="65"/>
      <c r="BC171" s="65"/>
      <c r="BD171" s="65"/>
      <c r="BE171" s="65"/>
      <c r="BF171" s="65"/>
    </row>
    <row r="172" spans="1:58" s="4" customFormat="1" ht="15.75" customHeight="1">
      <c r="A172" s="43"/>
      <c r="B172" s="43"/>
      <c r="C172" s="43"/>
      <c r="D172" s="44"/>
      <c r="E172" s="44"/>
      <c r="F172" s="44"/>
      <c r="G172" s="44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35"/>
      <c r="AO172" s="58"/>
      <c r="AP172" s="113"/>
      <c r="AQ172" s="113"/>
      <c r="AR172" s="114"/>
      <c r="AS172" s="115"/>
      <c r="AT172" s="116"/>
      <c r="AU172" s="115"/>
      <c r="AV172" s="116"/>
      <c r="AW172" s="116"/>
      <c r="AX172" s="35"/>
      <c r="AY172" s="35"/>
      <c r="AZ172" s="35"/>
      <c r="BA172" s="35"/>
      <c r="BB172" s="65"/>
      <c r="BC172" s="65"/>
      <c r="BD172" s="65"/>
      <c r="BE172" s="65"/>
      <c r="BF172" s="65"/>
    </row>
    <row r="173" spans="1:58" s="4" customFormat="1" ht="15.75" customHeight="1">
      <c r="A173" s="43"/>
      <c r="B173" s="43"/>
      <c r="C173" s="43"/>
      <c r="D173" s="44"/>
      <c r="E173" s="44"/>
      <c r="F173" s="44"/>
      <c r="G173" s="44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35"/>
      <c r="AO173" s="58"/>
      <c r="AP173" s="113"/>
      <c r="AQ173" s="113"/>
      <c r="AR173" s="114"/>
      <c r="AS173" s="115"/>
      <c r="AT173" s="116"/>
      <c r="AU173" s="115"/>
      <c r="AV173" s="116"/>
      <c r="AW173" s="116"/>
      <c r="AX173" s="35"/>
      <c r="AY173" s="35"/>
      <c r="AZ173" s="35"/>
      <c r="BA173" s="35"/>
      <c r="BB173" s="65"/>
      <c r="BC173" s="65"/>
      <c r="BD173" s="65"/>
      <c r="BE173" s="65"/>
      <c r="BF173" s="65"/>
    </row>
    <row r="174" spans="1:58" s="4" customFormat="1" ht="15.75" customHeight="1">
      <c r="A174" s="43"/>
      <c r="B174" s="43"/>
      <c r="C174" s="43"/>
      <c r="D174" s="44"/>
      <c r="E174" s="44"/>
      <c r="F174" s="44"/>
      <c r="G174" s="44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35"/>
      <c r="AO174" s="58"/>
      <c r="AP174" s="113"/>
      <c r="AQ174" s="113"/>
      <c r="AR174" s="114"/>
      <c r="AS174" s="115"/>
      <c r="AT174" s="116"/>
      <c r="AU174" s="115"/>
      <c r="AV174" s="116"/>
      <c r="AW174" s="116"/>
      <c r="AX174" s="35"/>
      <c r="AY174" s="35"/>
      <c r="AZ174" s="35"/>
      <c r="BA174" s="35"/>
      <c r="BB174" s="65"/>
      <c r="BC174" s="65"/>
      <c r="BD174" s="65"/>
      <c r="BE174" s="65"/>
      <c r="BF174" s="65"/>
    </row>
    <row r="175" spans="1:58" s="4" customFormat="1" ht="15.75" customHeight="1">
      <c r="A175" s="43"/>
      <c r="B175" s="43"/>
      <c r="C175" s="43"/>
      <c r="D175" s="44"/>
      <c r="E175" s="44"/>
      <c r="F175" s="44"/>
      <c r="G175" s="44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35"/>
      <c r="AO175" s="58"/>
      <c r="AP175" s="113"/>
      <c r="AQ175" s="113"/>
      <c r="AR175" s="114"/>
      <c r="AS175" s="115"/>
      <c r="AT175" s="116"/>
      <c r="AU175" s="115"/>
      <c r="AV175" s="116"/>
      <c r="AW175" s="116"/>
      <c r="AX175" s="35"/>
      <c r="AY175" s="35"/>
      <c r="AZ175" s="35"/>
      <c r="BA175" s="35"/>
      <c r="BB175" s="65"/>
      <c r="BC175" s="65"/>
      <c r="BD175" s="65"/>
      <c r="BE175" s="65"/>
      <c r="BF175" s="65"/>
    </row>
    <row r="176" spans="1:58" s="4" customFormat="1" ht="15.75" customHeight="1">
      <c r="A176" s="43"/>
      <c r="B176" s="43"/>
      <c r="C176" s="43"/>
      <c r="D176" s="44"/>
      <c r="E176" s="44"/>
      <c r="F176" s="44"/>
      <c r="G176" s="44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35"/>
      <c r="AO176" s="58"/>
      <c r="AP176" s="113"/>
      <c r="AQ176" s="113"/>
      <c r="AR176" s="114"/>
      <c r="AS176" s="115"/>
      <c r="AT176" s="116"/>
      <c r="AU176" s="115"/>
      <c r="AV176" s="116"/>
      <c r="AW176" s="116"/>
      <c r="AX176" s="35"/>
      <c r="AY176" s="35"/>
      <c r="AZ176" s="35"/>
      <c r="BA176" s="35"/>
      <c r="BB176" s="65"/>
      <c r="BC176" s="65"/>
      <c r="BD176" s="65"/>
      <c r="BE176" s="65"/>
      <c r="BF176" s="65"/>
    </row>
    <row r="177" spans="1:58" s="4" customFormat="1" ht="15.75" customHeight="1">
      <c r="A177" s="43"/>
      <c r="B177" s="43"/>
      <c r="C177" s="43"/>
      <c r="D177" s="44"/>
      <c r="E177" s="44"/>
      <c r="F177" s="44"/>
      <c r="G177" s="44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35"/>
      <c r="AO177" s="58"/>
      <c r="AP177" s="113"/>
      <c r="AQ177" s="113"/>
      <c r="AR177" s="114"/>
      <c r="AS177" s="115"/>
      <c r="AT177" s="116"/>
      <c r="AU177" s="115"/>
      <c r="AV177" s="116"/>
      <c r="AW177" s="116"/>
      <c r="AX177" s="35"/>
      <c r="AY177" s="35"/>
      <c r="AZ177" s="35"/>
      <c r="BA177" s="35"/>
      <c r="BB177" s="65"/>
      <c r="BC177" s="65"/>
      <c r="BD177" s="65"/>
      <c r="BE177" s="65"/>
      <c r="BF177" s="65"/>
    </row>
    <row r="178" spans="1:58" s="4" customFormat="1" ht="15.75" customHeight="1">
      <c r="A178" s="43"/>
      <c r="B178" s="43"/>
      <c r="C178" s="43"/>
      <c r="D178" s="44"/>
      <c r="E178" s="44"/>
      <c r="F178" s="44"/>
      <c r="G178" s="44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35"/>
      <c r="AO178" s="58"/>
      <c r="AP178" s="113"/>
      <c r="AQ178" s="113"/>
      <c r="AR178" s="114"/>
      <c r="AS178" s="115"/>
      <c r="AT178" s="116"/>
      <c r="AU178" s="115"/>
      <c r="AV178" s="116"/>
      <c r="AW178" s="116"/>
      <c r="AX178" s="35"/>
      <c r="AY178" s="35"/>
      <c r="AZ178" s="35"/>
      <c r="BA178" s="35"/>
      <c r="BB178" s="65"/>
      <c r="BC178" s="65"/>
      <c r="BD178" s="65"/>
      <c r="BE178" s="65"/>
      <c r="BF178" s="65"/>
    </row>
    <row r="179" spans="1:58" s="4" customFormat="1" ht="15.75" customHeight="1">
      <c r="A179" s="43"/>
      <c r="B179" s="43"/>
      <c r="C179" s="43"/>
      <c r="D179" s="44"/>
      <c r="E179" s="44"/>
      <c r="F179" s="44"/>
      <c r="G179" s="44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35"/>
      <c r="AO179" s="58"/>
      <c r="AP179" s="113"/>
      <c r="AQ179" s="113"/>
      <c r="AR179" s="114"/>
      <c r="AS179" s="115"/>
      <c r="AT179" s="116"/>
      <c r="AU179" s="115"/>
      <c r="AV179" s="116"/>
      <c r="AW179" s="116"/>
      <c r="AX179" s="35"/>
      <c r="AY179" s="35"/>
      <c r="AZ179" s="35"/>
      <c r="BA179" s="35"/>
      <c r="BB179" s="65"/>
      <c r="BC179" s="65"/>
      <c r="BD179" s="65"/>
      <c r="BE179" s="65"/>
      <c r="BF179" s="65"/>
    </row>
    <row r="180" spans="1:58" s="4" customFormat="1" ht="15.75" customHeight="1">
      <c r="A180" s="43"/>
      <c r="B180" s="43"/>
      <c r="C180" s="43"/>
      <c r="D180" s="44"/>
      <c r="E180" s="44"/>
      <c r="F180" s="44"/>
      <c r="G180" s="44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35"/>
      <c r="AO180" s="58"/>
      <c r="AP180" s="113"/>
      <c r="AQ180" s="113"/>
      <c r="AR180" s="114"/>
      <c r="AS180" s="115"/>
      <c r="AT180" s="116"/>
      <c r="AU180" s="115"/>
      <c r="AV180" s="116"/>
      <c r="AW180" s="116"/>
      <c r="AX180" s="35"/>
      <c r="AY180" s="35"/>
      <c r="AZ180" s="35"/>
      <c r="BA180" s="35"/>
      <c r="BB180" s="65"/>
      <c r="BC180" s="65"/>
      <c r="BD180" s="65"/>
      <c r="BE180" s="65"/>
      <c r="BF180" s="65"/>
    </row>
    <row r="181" spans="1:58" s="4" customFormat="1" ht="15.75" customHeight="1">
      <c r="A181" s="43"/>
      <c r="B181" s="43"/>
      <c r="C181" s="43"/>
      <c r="D181" s="44"/>
      <c r="E181" s="44"/>
      <c r="F181" s="44"/>
      <c r="G181" s="44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35"/>
      <c r="AO181" s="58"/>
      <c r="AP181" s="113"/>
      <c r="AQ181" s="113"/>
      <c r="AR181" s="114"/>
      <c r="AS181" s="115"/>
      <c r="AT181" s="116"/>
      <c r="AU181" s="115"/>
      <c r="AV181" s="116"/>
      <c r="AW181" s="116"/>
      <c r="AX181" s="35"/>
      <c r="AY181" s="35"/>
      <c r="AZ181" s="35"/>
      <c r="BA181" s="35"/>
      <c r="BB181" s="65"/>
      <c r="BC181" s="65"/>
      <c r="BD181" s="65"/>
      <c r="BE181" s="65"/>
      <c r="BF181" s="65"/>
    </row>
    <row r="182" spans="1:58" s="4" customFormat="1" ht="15.75" customHeight="1">
      <c r="A182" s="43"/>
      <c r="B182" s="43"/>
      <c r="C182" s="43"/>
      <c r="D182" s="44"/>
      <c r="E182" s="44"/>
      <c r="F182" s="44"/>
      <c r="G182" s="44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35"/>
      <c r="AO182" s="58"/>
      <c r="AP182" s="113"/>
      <c r="AQ182" s="113"/>
      <c r="AR182" s="114"/>
      <c r="AS182" s="115"/>
      <c r="AT182" s="116"/>
      <c r="AU182" s="115"/>
      <c r="AV182" s="116"/>
      <c r="AW182" s="116"/>
      <c r="AX182" s="35"/>
      <c r="AY182" s="35"/>
      <c r="AZ182" s="35"/>
      <c r="BA182" s="35"/>
      <c r="BB182" s="65"/>
      <c r="BC182" s="65"/>
      <c r="BD182" s="65"/>
      <c r="BE182" s="65"/>
      <c r="BF182" s="65"/>
    </row>
    <row r="183" spans="1:58" s="4" customFormat="1" ht="15.75" customHeight="1">
      <c r="A183" s="43"/>
      <c r="B183" s="43"/>
      <c r="C183" s="43"/>
      <c r="D183" s="44"/>
      <c r="E183" s="44"/>
      <c r="F183" s="44"/>
      <c r="G183" s="44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35"/>
      <c r="AO183" s="58"/>
      <c r="AP183" s="113"/>
      <c r="AQ183" s="113"/>
      <c r="AR183" s="114"/>
      <c r="AS183" s="115"/>
      <c r="AT183" s="116"/>
      <c r="AU183" s="115"/>
      <c r="AV183" s="116"/>
      <c r="AW183" s="116"/>
      <c r="AX183" s="35"/>
      <c r="AY183" s="35"/>
      <c r="AZ183" s="35"/>
      <c r="BA183" s="35"/>
      <c r="BB183" s="65"/>
      <c r="BC183" s="65"/>
      <c r="BD183" s="65"/>
      <c r="BE183" s="65"/>
      <c r="BF183" s="65"/>
    </row>
    <row r="184" spans="1:58" s="4" customFormat="1" ht="15.75" customHeight="1">
      <c r="A184" s="43"/>
      <c r="B184" s="43"/>
      <c r="C184" s="43"/>
      <c r="D184" s="44"/>
      <c r="E184" s="44"/>
      <c r="F184" s="44"/>
      <c r="G184" s="44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35"/>
      <c r="AO184" s="58"/>
      <c r="AP184" s="113"/>
      <c r="AQ184" s="113"/>
      <c r="AR184" s="114"/>
      <c r="AS184" s="115"/>
      <c r="AT184" s="116"/>
      <c r="AU184" s="115"/>
      <c r="AV184" s="116"/>
      <c r="AW184" s="116"/>
      <c r="AX184" s="35"/>
      <c r="AY184" s="35"/>
      <c r="AZ184" s="35"/>
      <c r="BA184" s="35"/>
      <c r="BB184" s="65"/>
      <c r="BC184" s="65"/>
      <c r="BD184" s="65"/>
      <c r="BE184" s="65"/>
      <c r="BF184" s="65"/>
    </row>
    <row r="185" spans="1:58" s="4" customFormat="1" ht="15.75" customHeight="1">
      <c r="A185" s="43"/>
      <c r="B185" s="43"/>
      <c r="C185" s="43"/>
      <c r="D185" s="44"/>
      <c r="E185" s="44"/>
      <c r="F185" s="44"/>
      <c r="G185" s="44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35"/>
      <c r="AO185" s="58"/>
      <c r="AP185" s="113"/>
      <c r="AQ185" s="113"/>
      <c r="AR185" s="114"/>
      <c r="AS185" s="115"/>
      <c r="AT185" s="116"/>
      <c r="AU185" s="115"/>
      <c r="AV185" s="116"/>
      <c r="AW185" s="116"/>
      <c r="AX185" s="35"/>
      <c r="AY185" s="35"/>
      <c r="AZ185" s="35"/>
      <c r="BA185" s="35"/>
      <c r="BB185" s="65"/>
      <c r="BC185" s="65"/>
      <c r="BD185" s="65"/>
      <c r="BE185" s="65"/>
      <c r="BF185" s="65"/>
    </row>
    <row r="186" spans="1:58" s="4" customFormat="1" ht="15.75" customHeight="1">
      <c r="A186" s="43"/>
      <c r="B186" s="43"/>
      <c r="C186" s="43"/>
      <c r="D186" s="44"/>
      <c r="E186" s="44"/>
      <c r="F186" s="44"/>
      <c r="G186" s="44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35"/>
      <c r="AO186" s="58"/>
      <c r="AP186" s="113"/>
      <c r="AQ186" s="113"/>
      <c r="AR186" s="114"/>
      <c r="AS186" s="115"/>
      <c r="AT186" s="116"/>
      <c r="AU186" s="115"/>
      <c r="AV186" s="116"/>
      <c r="AW186" s="116"/>
      <c r="AX186" s="35"/>
      <c r="AY186" s="35"/>
      <c r="AZ186" s="35"/>
      <c r="BA186" s="35"/>
      <c r="BB186" s="65"/>
      <c r="BC186" s="65"/>
      <c r="BD186" s="65"/>
      <c r="BE186" s="65"/>
      <c r="BF186" s="65"/>
    </row>
    <row r="187" spans="1:58" s="4" customFormat="1" ht="15.75" customHeight="1">
      <c r="A187" s="43"/>
      <c r="B187" s="43"/>
      <c r="C187" s="43"/>
      <c r="D187" s="44"/>
      <c r="E187" s="44"/>
      <c r="F187" s="44"/>
      <c r="G187" s="44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35"/>
      <c r="AO187" s="58"/>
      <c r="AP187" s="113"/>
      <c r="AQ187" s="113"/>
      <c r="AR187" s="114"/>
      <c r="AS187" s="115"/>
      <c r="AT187" s="116"/>
      <c r="AU187" s="115"/>
      <c r="AV187" s="116"/>
      <c r="AW187" s="116"/>
      <c r="AX187" s="35"/>
      <c r="AY187" s="35"/>
      <c r="AZ187" s="35"/>
      <c r="BA187" s="35"/>
      <c r="BB187" s="65"/>
      <c r="BC187" s="65"/>
      <c r="BD187" s="65"/>
      <c r="BE187" s="65"/>
      <c r="BF187" s="65"/>
    </row>
    <row r="188" spans="1:58" s="4" customFormat="1" ht="15.75" customHeight="1">
      <c r="A188" s="43"/>
      <c r="B188" s="43"/>
      <c r="C188" s="43"/>
      <c r="D188" s="44"/>
      <c r="E188" s="44"/>
      <c r="F188" s="44"/>
      <c r="G188" s="44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35"/>
      <c r="AO188" s="58"/>
      <c r="AP188" s="113"/>
      <c r="AQ188" s="113"/>
      <c r="AR188" s="114"/>
      <c r="AS188" s="115"/>
      <c r="AT188" s="116"/>
      <c r="AU188" s="115"/>
      <c r="AV188" s="116"/>
      <c r="AW188" s="116"/>
      <c r="AX188" s="35"/>
      <c r="AY188" s="35"/>
      <c r="AZ188" s="35"/>
      <c r="BA188" s="35"/>
      <c r="BB188" s="65"/>
      <c r="BC188" s="65"/>
      <c r="BD188" s="65"/>
      <c r="BE188" s="65"/>
      <c r="BF188" s="65"/>
    </row>
    <row r="189" spans="1:58" s="4" customFormat="1" ht="15.75" customHeight="1">
      <c r="A189" s="43"/>
      <c r="B189" s="43"/>
      <c r="C189" s="43"/>
      <c r="D189" s="44"/>
      <c r="E189" s="44"/>
      <c r="F189" s="44"/>
      <c r="G189" s="44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35"/>
      <c r="AO189" s="58"/>
      <c r="AP189" s="113"/>
      <c r="AQ189" s="113"/>
      <c r="AR189" s="114"/>
      <c r="AS189" s="115"/>
      <c r="AT189" s="116"/>
      <c r="AU189" s="115"/>
      <c r="AV189" s="116"/>
      <c r="AW189" s="116"/>
      <c r="AX189" s="35"/>
      <c r="AY189" s="35"/>
      <c r="AZ189" s="35"/>
      <c r="BA189" s="35"/>
      <c r="BB189" s="65"/>
      <c r="BC189" s="65"/>
      <c r="BD189" s="65"/>
      <c r="BE189" s="65"/>
      <c r="BF189" s="65"/>
    </row>
    <row r="190" spans="1:58" s="4" customFormat="1" ht="15.75" customHeight="1">
      <c r="A190" s="43"/>
      <c r="B190" s="43"/>
      <c r="C190" s="43"/>
      <c r="D190" s="44"/>
      <c r="E190" s="44"/>
      <c r="F190" s="44"/>
      <c r="G190" s="4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35"/>
      <c r="AO190" s="58"/>
      <c r="AP190" s="113"/>
      <c r="AQ190" s="113"/>
      <c r="AR190" s="114"/>
      <c r="AS190" s="115"/>
      <c r="AT190" s="116"/>
      <c r="AU190" s="115"/>
      <c r="AV190" s="116"/>
      <c r="AW190" s="116"/>
      <c r="AX190" s="35"/>
      <c r="AY190" s="35"/>
      <c r="AZ190" s="35"/>
      <c r="BA190" s="35"/>
      <c r="BB190" s="65"/>
      <c r="BC190" s="65"/>
      <c r="BD190" s="65"/>
      <c r="BE190" s="65"/>
      <c r="BF190" s="65"/>
    </row>
    <row r="191" spans="1:58" s="4" customFormat="1" ht="15.75" customHeight="1">
      <c r="A191" s="43"/>
      <c r="B191" s="43"/>
      <c r="C191" s="43"/>
      <c r="D191" s="44"/>
      <c r="E191" s="44"/>
      <c r="F191" s="44"/>
      <c r="G191" s="44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35"/>
      <c r="AO191" s="58"/>
      <c r="AP191" s="113"/>
      <c r="AQ191" s="113"/>
      <c r="AR191" s="114"/>
      <c r="AS191" s="115"/>
      <c r="AT191" s="116"/>
      <c r="AU191" s="115"/>
      <c r="AV191" s="116"/>
      <c r="AW191" s="116"/>
      <c r="AX191" s="35"/>
      <c r="AY191" s="35"/>
      <c r="AZ191" s="35"/>
      <c r="BA191" s="35"/>
      <c r="BB191" s="65"/>
      <c r="BC191" s="65"/>
      <c r="BD191" s="65"/>
      <c r="BE191" s="65"/>
      <c r="BF191" s="65"/>
    </row>
    <row r="192" spans="1:58" s="4" customFormat="1" ht="15.75" customHeight="1">
      <c r="A192" s="43"/>
      <c r="B192" s="43"/>
      <c r="C192" s="43"/>
      <c r="D192" s="44"/>
      <c r="E192" s="44"/>
      <c r="F192" s="44"/>
      <c r="G192" s="44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35"/>
      <c r="AO192" s="58"/>
      <c r="AP192" s="113"/>
      <c r="AQ192" s="113"/>
      <c r="AR192" s="114"/>
      <c r="AS192" s="115"/>
      <c r="AT192" s="116"/>
      <c r="AU192" s="115"/>
      <c r="AV192" s="116"/>
      <c r="AW192" s="116"/>
      <c r="AX192" s="35"/>
      <c r="AY192" s="35"/>
      <c r="AZ192" s="35"/>
      <c r="BA192" s="35"/>
      <c r="BB192" s="65"/>
      <c r="BC192" s="65"/>
      <c r="BD192" s="65"/>
      <c r="BE192" s="65"/>
      <c r="BF192" s="65"/>
    </row>
    <row r="193" spans="1:58" ht="15.75" customHeight="1">
      <c r="A193" s="67"/>
      <c r="B193" s="67"/>
      <c r="C193" s="67"/>
      <c r="D193" s="68"/>
      <c r="E193" s="68"/>
      <c r="F193" s="68"/>
      <c r="G193" s="68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30"/>
      <c r="AO193" s="25"/>
      <c r="AP193" s="120"/>
      <c r="AQ193" s="120"/>
      <c r="AR193" s="121"/>
      <c r="AS193" s="96"/>
      <c r="AT193" s="122"/>
      <c r="AU193" s="96"/>
      <c r="AV193" s="122"/>
      <c r="AW193" s="122"/>
      <c r="AX193" s="30"/>
      <c r="AY193" s="30"/>
      <c r="AZ193" s="30"/>
      <c r="BA193" s="30"/>
      <c r="BB193" s="26"/>
      <c r="BC193" s="26"/>
      <c r="BD193" s="26"/>
      <c r="BE193" s="26"/>
      <c r="BF193" s="26"/>
    </row>
    <row r="194" spans="1:58" ht="15.75" customHeight="1">
      <c r="A194" s="67"/>
      <c r="B194" s="67"/>
      <c r="C194" s="67"/>
      <c r="D194" s="68"/>
      <c r="E194" s="68"/>
      <c r="F194" s="68"/>
      <c r="G194" s="68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30"/>
      <c r="AO194" s="25"/>
      <c r="AP194" s="120"/>
      <c r="AQ194" s="120"/>
      <c r="AR194" s="121"/>
      <c r="AS194" s="96"/>
      <c r="AT194" s="122"/>
      <c r="AU194" s="96"/>
      <c r="AV194" s="122"/>
      <c r="AW194" s="122"/>
      <c r="AX194" s="30"/>
      <c r="AY194" s="30"/>
      <c r="AZ194" s="30"/>
      <c r="BA194" s="30"/>
      <c r="BB194" s="26"/>
      <c r="BC194" s="26"/>
      <c r="BD194" s="26"/>
      <c r="BE194" s="26"/>
      <c r="BF194" s="26"/>
    </row>
    <row r="195" spans="1:58" ht="15.75" customHeight="1">
      <c r="A195" s="67"/>
      <c r="B195" s="67"/>
      <c r="C195" s="67"/>
      <c r="D195" s="68"/>
      <c r="E195" s="68"/>
      <c r="F195" s="68"/>
      <c r="G195" s="68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30"/>
      <c r="AO195" s="25"/>
      <c r="AP195" s="120"/>
      <c r="AQ195" s="120"/>
      <c r="AR195" s="121"/>
      <c r="AS195" s="96"/>
      <c r="AT195" s="122"/>
      <c r="AU195" s="96"/>
      <c r="AV195" s="122"/>
      <c r="AW195" s="122"/>
      <c r="AX195" s="30"/>
      <c r="AY195" s="30"/>
      <c r="AZ195" s="30"/>
      <c r="BA195" s="30"/>
      <c r="BB195" s="26"/>
      <c r="BC195" s="26"/>
      <c r="BD195" s="26"/>
      <c r="BE195" s="26"/>
      <c r="BF195" s="26"/>
    </row>
    <row r="196" spans="1:58" ht="15.75" customHeight="1">
      <c r="A196" s="67"/>
      <c r="B196" s="67"/>
      <c r="C196" s="67"/>
      <c r="D196" s="68"/>
      <c r="E196" s="68"/>
      <c r="F196" s="68"/>
      <c r="G196" s="68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30"/>
      <c r="AO196" s="25"/>
      <c r="AP196" s="120"/>
      <c r="AQ196" s="120"/>
      <c r="AR196" s="121"/>
      <c r="AS196" s="96"/>
      <c r="AT196" s="122"/>
      <c r="AU196" s="96"/>
      <c r="AV196" s="122"/>
      <c r="AW196" s="122"/>
      <c r="AX196" s="30"/>
      <c r="AY196" s="30"/>
      <c r="AZ196" s="30"/>
      <c r="BA196" s="30"/>
      <c r="BB196" s="26"/>
      <c r="BC196" s="26"/>
      <c r="BD196" s="26"/>
      <c r="BE196" s="26"/>
      <c r="BF196" s="26"/>
    </row>
    <row r="197" spans="1:58" ht="15.75" customHeight="1">
      <c r="A197" s="67"/>
      <c r="B197" s="67"/>
      <c r="C197" s="67"/>
      <c r="D197" s="68"/>
      <c r="E197" s="68"/>
      <c r="F197" s="68"/>
      <c r="G197" s="68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30"/>
      <c r="AO197" s="25"/>
      <c r="AP197" s="120"/>
      <c r="AQ197" s="120"/>
      <c r="AR197" s="121"/>
      <c r="AS197" s="96"/>
      <c r="AT197" s="122"/>
      <c r="AU197" s="96"/>
      <c r="AV197" s="122"/>
      <c r="AW197" s="122"/>
      <c r="AX197" s="30"/>
      <c r="AY197" s="30"/>
      <c r="AZ197" s="30"/>
      <c r="BA197" s="30"/>
      <c r="BB197" s="26"/>
      <c r="BC197" s="26"/>
      <c r="BD197" s="26"/>
      <c r="BE197" s="26"/>
      <c r="BF197" s="26"/>
    </row>
    <row r="198" spans="1:58" ht="15.75" customHeight="1">
      <c r="A198" s="67"/>
      <c r="B198" s="67"/>
      <c r="C198" s="67"/>
      <c r="D198" s="68"/>
      <c r="E198" s="68"/>
      <c r="F198" s="68"/>
      <c r="G198" s="68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30"/>
      <c r="AO198" s="25"/>
      <c r="AP198" s="120"/>
      <c r="AQ198" s="120"/>
      <c r="AR198" s="121"/>
      <c r="AS198" s="96"/>
      <c r="AT198" s="122"/>
      <c r="AU198" s="96"/>
      <c r="AV198" s="122"/>
      <c r="AW198" s="122"/>
      <c r="AX198" s="30"/>
      <c r="AY198" s="30"/>
      <c r="AZ198" s="30"/>
      <c r="BA198" s="30"/>
      <c r="BB198" s="26"/>
      <c r="BC198" s="26"/>
      <c r="BD198" s="26"/>
      <c r="BE198" s="26"/>
      <c r="BF198" s="26"/>
    </row>
    <row r="199" spans="1:58" ht="15.75" customHeight="1">
      <c r="A199" s="67"/>
      <c r="B199" s="67"/>
      <c r="C199" s="67"/>
      <c r="D199" s="68"/>
      <c r="E199" s="68"/>
      <c r="F199" s="68"/>
      <c r="G199" s="68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30"/>
      <c r="AO199" s="25"/>
      <c r="AP199" s="120"/>
      <c r="AQ199" s="120"/>
      <c r="AR199" s="121"/>
      <c r="AS199" s="96"/>
      <c r="AT199" s="122"/>
      <c r="AU199" s="96"/>
      <c r="AV199" s="122"/>
      <c r="AW199" s="122"/>
      <c r="AX199" s="30"/>
      <c r="AY199" s="30"/>
      <c r="AZ199" s="30"/>
      <c r="BA199" s="30"/>
      <c r="BB199" s="26"/>
      <c r="BC199" s="26"/>
      <c r="BD199" s="26"/>
      <c r="BE199" s="26"/>
      <c r="BF199" s="26"/>
    </row>
    <row r="200" spans="1:58" ht="15.75" customHeight="1">
      <c r="A200" s="67"/>
      <c r="B200" s="67"/>
      <c r="C200" s="67"/>
      <c r="D200" s="68"/>
      <c r="E200" s="68"/>
      <c r="F200" s="68"/>
      <c r="G200" s="68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30"/>
      <c r="AO200" s="25"/>
      <c r="AP200" s="120"/>
      <c r="AQ200" s="120"/>
      <c r="AR200" s="121"/>
      <c r="AS200" s="96"/>
      <c r="AT200" s="122"/>
      <c r="AU200" s="96"/>
      <c r="AV200" s="122"/>
      <c r="AW200" s="122"/>
      <c r="AX200" s="30"/>
      <c r="AY200" s="30"/>
      <c r="AZ200" s="30"/>
      <c r="BA200" s="30"/>
      <c r="BB200" s="26"/>
      <c r="BC200" s="26"/>
      <c r="BD200" s="26"/>
      <c r="BE200" s="26"/>
      <c r="BF200" s="26"/>
    </row>
    <row r="201" spans="1:58" ht="15.75" customHeight="1">
      <c r="A201" s="67"/>
      <c r="B201" s="67"/>
      <c r="C201" s="67"/>
      <c r="D201" s="68"/>
      <c r="E201" s="68"/>
      <c r="F201" s="68"/>
      <c r="G201" s="68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30"/>
      <c r="AO201" s="25"/>
      <c r="AP201" s="120"/>
      <c r="AQ201" s="120"/>
      <c r="AR201" s="121"/>
      <c r="AS201" s="96"/>
      <c r="AT201" s="122"/>
      <c r="AU201" s="96"/>
      <c r="AV201" s="122"/>
      <c r="AW201" s="122"/>
      <c r="AX201" s="30"/>
      <c r="AY201" s="30"/>
      <c r="AZ201" s="30"/>
      <c r="BA201" s="30"/>
      <c r="BB201" s="26"/>
      <c r="BC201" s="26"/>
      <c r="BD201" s="26"/>
      <c r="BE201" s="26"/>
      <c r="BF201" s="26"/>
    </row>
    <row r="202" spans="1:58" ht="15.75" customHeight="1">
      <c r="A202" s="67"/>
      <c r="B202" s="67"/>
      <c r="C202" s="67"/>
      <c r="D202" s="68"/>
      <c r="E202" s="68"/>
      <c r="F202" s="68"/>
      <c r="G202" s="68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30"/>
      <c r="AO202" s="25"/>
      <c r="AP202" s="120"/>
      <c r="AQ202" s="120"/>
      <c r="AR202" s="121"/>
      <c r="AS202" s="96"/>
      <c r="AT202" s="122"/>
      <c r="AU202" s="96"/>
      <c r="AV202" s="122"/>
      <c r="AW202" s="122"/>
      <c r="AX202" s="30"/>
      <c r="AY202" s="30"/>
      <c r="AZ202" s="30"/>
      <c r="BA202" s="30"/>
      <c r="BB202" s="26"/>
      <c r="BC202" s="26"/>
      <c r="BD202" s="26"/>
      <c r="BE202" s="26"/>
      <c r="BF202" s="26"/>
    </row>
    <row r="203" spans="1:58" ht="15.75" customHeight="1">
      <c r="A203" s="67"/>
      <c r="B203" s="67"/>
      <c r="C203" s="67"/>
      <c r="D203" s="68"/>
      <c r="E203" s="68"/>
      <c r="F203" s="68"/>
      <c r="G203" s="68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30"/>
      <c r="AO203" s="25"/>
      <c r="AP203" s="120"/>
      <c r="AQ203" s="120"/>
      <c r="AR203" s="121"/>
      <c r="AS203" s="96"/>
      <c r="AT203" s="122"/>
      <c r="AU203" s="96"/>
      <c r="AV203" s="122"/>
      <c r="AW203" s="122"/>
      <c r="AX203" s="30"/>
      <c r="AY203" s="30"/>
      <c r="AZ203" s="30"/>
      <c r="BA203" s="30"/>
      <c r="BB203" s="26"/>
      <c r="BC203" s="26"/>
      <c r="BD203" s="26"/>
      <c r="BE203" s="26"/>
      <c r="BF203" s="26"/>
    </row>
    <row r="204" spans="1:58" ht="15.75" customHeight="1">
      <c r="A204" s="67"/>
      <c r="B204" s="67"/>
      <c r="C204" s="67"/>
      <c r="D204" s="68"/>
      <c r="E204" s="68"/>
      <c r="F204" s="68"/>
      <c r="G204" s="68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30"/>
      <c r="AO204" s="25"/>
      <c r="AP204" s="120"/>
      <c r="AQ204" s="120"/>
      <c r="AR204" s="121"/>
      <c r="AS204" s="96"/>
      <c r="AT204" s="122"/>
      <c r="AU204" s="96"/>
      <c r="AV204" s="122"/>
      <c r="AW204" s="122"/>
      <c r="AX204" s="30"/>
      <c r="AY204" s="30"/>
      <c r="AZ204" s="30"/>
      <c r="BA204" s="30"/>
      <c r="BB204" s="26"/>
      <c r="BC204" s="26"/>
      <c r="BD204" s="26"/>
      <c r="BE204" s="26"/>
      <c r="BF204" s="26"/>
    </row>
    <row r="205" spans="1:58" ht="15.75" customHeight="1">
      <c r="A205" s="67"/>
      <c r="B205" s="67"/>
      <c r="C205" s="67"/>
      <c r="D205" s="68"/>
      <c r="E205" s="68"/>
      <c r="F205" s="68"/>
      <c r="G205" s="68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30"/>
      <c r="AO205" s="25"/>
      <c r="AP205" s="120"/>
      <c r="AQ205" s="120"/>
      <c r="AR205" s="121"/>
      <c r="AS205" s="96"/>
      <c r="AT205" s="122"/>
      <c r="AU205" s="96"/>
      <c r="AV205" s="122"/>
      <c r="AW205" s="122"/>
      <c r="AX205" s="30"/>
      <c r="AY205" s="30"/>
      <c r="AZ205" s="30"/>
      <c r="BA205" s="30"/>
      <c r="BB205" s="26"/>
      <c r="BC205" s="26"/>
      <c r="BD205" s="26"/>
      <c r="BE205" s="26"/>
      <c r="BF205" s="26"/>
    </row>
    <row r="206" spans="1:58" ht="15.75" customHeight="1">
      <c r="A206" s="67"/>
      <c r="B206" s="67"/>
      <c r="C206" s="67"/>
      <c r="D206" s="68"/>
      <c r="E206" s="68"/>
      <c r="F206" s="68"/>
      <c r="G206" s="68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30"/>
      <c r="AO206" s="25"/>
      <c r="AP206" s="120"/>
      <c r="AQ206" s="120"/>
      <c r="AR206" s="121"/>
      <c r="AS206" s="96"/>
      <c r="AT206" s="122"/>
      <c r="AU206" s="96"/>
      <c r="AV206" s="122"/>
      <c r="AW206" s="122"/>
      <c r="AX206" s="30"/>
      <c r="AY206" s="30"/>
      <c r="AZ206" s="30"/>
      <c r="BA206" s="30"/>
      <c r="BB206" s="26"/>
      <c r="BC206" s="26"/>
      <c r="BD206" s="26"/>
      <c r="BE206" s="26"/>
      <c r="BF206" s="26"/>
    </row>
    <row r="207" spans="1:58" ht="15.75" customHeight="1">
      <c r="A207" s="67"/>
      <c r="B207" s="67"/>
      <c r="C207" s="67"/>
      <c r="D207" s="68"/>
      <c r="E207" s="68"/>
      <c r="F207" s="68"/>
      <c r="G207" s="68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30"/>
      <c r="AO207" s="25"/>
      <c r="AP207" s="120"/>
      <c r="AQ207" s="120"/>
      <c r="AR207" s="121"/>
      <c r="AS207" s="96"/>
      <c r="AT207" s="122"/>
      <c r="AU207" s="96"/>
      <c r="AV207" s="122"/>
      <c r="AW207" s="122"/>
      <c r="AX207" s="30"/>
      <c r="AY207" s="30"/>
      <c r="AZ207" s="30"/>
      <c r="BA207" s="30"/>
      <c r="BB207" s="26"/>
      <c r="BC207" s="26"/>
      <c r="BD207" s="26"/>
      <c r="BE207" s="26"/>
      <c r="BF207" s="26"/>
    </row>
    <row r="208" spans="1:58" ht="15.75" customHeight="1">
      <c r="A208" s="67"/>
      <c r="B208" s="67"/>
      <c r="C208" s="67"/>
      <c r="D208" s="68"/>
      <c r="E208" s="68"/>
      <c r="F208" s="68"/>
      <c r="G208" s="68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30"/>
      <c r="AO208" s="25"/>
      <c r="AP208" s="120"/>
      <c r="AQ208" s="120"/>
      <c r="AR208" s="121"/>
      <c r="AS208" s="96"/>
      <c r="AT208" s="122"/>
      <c r="AU208" s="96"/>
      <c r="AV208" s="122"/>
      <c r="AW208" s="122"/>
      <c r="AX208" s="30"/>
      <c r="AY208" s="30"/>
      <c r="AZ208" s="30"/>
      <c r="BA208" s="30"/>
      <c r="BB208" s="26"/>
      <c r="BC208" s="26"/>
      <c r="BD208" s="26"/>
      <c r="BE208" s="26"/>
      <c r="BF208" s="26"/>
    </row>
    <row r="209" spans="1:58" ht="15.75" customHeight="1">
      <c r="A209" s="67"/>
      <c r="B209" s="67"/>
      <c r="C209" s="67"/>
      <c r="D209" s="68"/>
      <c r="E209" s="68"/>
      <c r="F209" s="68"/>
      <c r="G209" s="68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30"/>
      <c r="AO209" s="25"/>
      <c r="AP209" s="120"/>
      <c r="AQ209" s="120"/>
      <c r="AR209" s="121"/>
      <c r="AS209" s="96"/>
      <c r="AT209" s="122"/>
      <c r="AU209" s="96"/>
      <c r="AV209" s="122"/>
      <c r="AW209" s="122"/>
      <c r="AX209" s="30"/>
      <c r="AY209" s="30"/>
      <c r="AZ209" s="30"/>
      <c r="BA209" s="30"/>
      <c r="BB209" s="26"/>
      <c r="BC209" s="26"/>
      <c r="BD209" s="26"/>
      <c r="BE209" s="26"/>
      <c r="BF209" s="26"/>
    </row>
    <row r="210" spans="1:58" ht="15.75" customHeight="1">
      <c r="A210" s="67"/>
      <c r="B210" s="67"/>
      <c r="C210" s="67"/>
      <c r="D210" s="68"/>
      <c r="E210" s="68"/>
      <c r="F210" s="68"/>
      <c r="G210" s="68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30"/>
      <c r="AO210" s="25"/>
      <c r="AP210" s="120"/>
      <c r="AQ210" s="120"/>
      <c r="AR210" s="121"/>
      <c r="AS210" s="96"/>
      <c r="AT210" s="122"/>
      <c r="AU210" s="96"/>
      <c r="AV210" s="122"/>
      <c r="AW210" s="122"/>
      <c r="AX210" s="30"/>
      <c r="AY210" s="30"/>
      <c r="AZ210" s="30"/>
      <c r="BA210" s="30"/>
      <c r="BB210" s="26"/>
      <c r="BC210" s="26"/>
      <c r="BD210" s="26"/>
      <c r="BE210" s="26"/>
      <c r="BF210" s="26"/>
    </row>
    <row r="211" spans="1:58" ht="15.75" customHeight="1">
      <c r="A211" s="67"/>
      <c r="B211" s="67"/>
      <c r="C211" s="67"/>
      <c r="D211" s="68"/>
      <c r="E211" s="68"/>
      <c r="F211" s="68"/>
      <c r="G211" s="68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30"/>
      <c r="AO211" s="25"/>
      <c r="AP211" s="120"/>
      <c r="AQ211" s="120"/>
      <c r="AR211" s="121"/>
      <c r="AS211" s="96"/>
      <c r="AT211" s="122"/>
      <c r="AU211" s="96"/>
      <c r="AV211" s="122"/>
      <c r="AW211" s="122"/>
      <c r="AX211" s="30"/>
      <c r="AY211" s="30"/>
      <c r="AZ211" s="30"/>
      <c r="BA211" s="30"/>
      <c r="BB211" s="26"/>
      <c r="BC211" s="26"/>
      <c r="BD211" s="26"/>
      <c r="BE211" s="26"/>
      <c r="BF211" s="26"/>
    </row>
    <row r="212" spans="1:58" ht="15.75" customHeight="1">
      <c r="A212" s="67"/>
      <c r="B212" s="67"/>
      <c r="C212" s="67"/>
      <c r="D212" s="68"/>
      <c r="E212" s="68"/>
      <c r="F212" s="68"/>
      <c r="G212" s="68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30"/>
      <c r="AO212" s="25"/>
      <c r="AP212" s="120"/>
      <c r="AQ212" s="120"/>
      <c r="AR212" s="121"/>
      <c r="AS212" s="96"/>
      <c r="AT212" s="122"/>
      <c r="AU212" s="96"/>
      <c r="AV212" s="122"/>
      <c r="AW212" s="122"/>
      <c r="AX212" s="30"/>
      <c r="AY212" s="30"/>
      <c r="AZ212" s="30"/>
      <c r="BA212" s="30"/>
      <c r="BB212" s="26"/>
      <c r="BC212" s="26"/>
      <c r="BD212" s="26"/>
      <c r="BE212" s="26"/>
      <c r="BF212" s="26"/>
    </row>
    <row r="213" spans="1:58" ht="15.75" customHeight="1">
      <c r="A213" s="67"/>
      <c r="B213" s="67"/>
      <c r="C213" s="67"/>
      <c r="D213" s="68"/>
      <c r="E213" s="68"/>
      <c r="F213" s="68"/>
      <c r="G213" s="68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30"/>
      <c r="AO213" s="25"/>
      <c r="AP213" s="120"/>
      <c r="AQ213" s="120"/>
      <c r="AR213" s="121"/>
      <c r="AS213" s="96"/>
      <c r="AT213" s="122"/>
      <c r="AU213" s="96"/>
      <c r="AV213" s="122"/>
      <c r="AW213" s="122"/>
      <c r="AX213" s="30"/>
      <c r="AY213" s="30"/>
      <c r="AZ213" s="30"/>
      <c r="BA213" s="30"/>
      <c r="BB213" s="26"/>
      <c r="BC213" s="26"/>
      <c r="BD213" s="26"/>
      <c r="BE213" s="26"/>
      <c r="BF213" s="26"/>
    </row>
    <row r="214" spans="1:58" ht="15.75" customHeight="1">
      <c r="A214" s="67"/>
      <c r="B214" s="67"/>
      <c r="C214" s="67"/>
      <c r="D214" s="68"/>
      <c r="E214" s="68"/>
      <c r="F214" s="68"/>
      <c r="G214" s="68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30"/>
      <c r="AO214" s="25"/>
      <c r="AP214" s="120"/>
      <c r="AQ214" s="120"/>
      <c r="AR214" s="121"/>
      <c r="AS214" s="96"/>
      <c r="AT214" s="122"/>
      <c r="AU214" s="96"/>
      <c r="AV214" s="122"/>
      <c r="AW214" s="122"/>
      <c r="AX214" s="30"/>
      <c r="AY214" s="30"/>
      <c r="AZ214" s="30"/>
      <c r="BA214" s="30"/>
      <c r="BB214" s="26"/>
      <c r="BC214" s="26"/>
      <c r="BD214" s="26"/>
      <c r="BE214" s="26"/>
      <c r="BF214" s="26"/>
    </row>
    <row r="215" spans="1:58" ht="15.75" customHeight="1">
      <c r="A215" s="67"/>
      <c r="B215" s="67"/>
      <c r="C215" s="67"/>
      <c r="D215" s="68"/>
      <c r="E215" s="68"/>
      <c r="F215" s="68"/>
      <c r="G215" s="68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30"/>
      <c r="AO215" s="25"/>
      <c r="AP215" s="120"/>
      <c r="AQ215" s="120"/>
      <c r="AR215" s="121"/>
      <c r="AS215" s="96"/>
      <c r="AT215" s="122"/>
      <c r="AU215" s="96"/>
      <c r="AV215" s="122"/>
      <c r="AW215" s="122"/>
      <c r="AX215" s="30"/>
      <c r="AY215" s="30"/>
      <c r="AZ215" s="30"/>
      <c r="BA215" s="30"/>
      <c r="BB215" s="26"/>
      <c r="BC215" s="26"/>
      <c r="BD215" s="26"/>
      <c r="BE215" s="26"/>
      <c r="BF215" s="26"/>
    </row>
    <row r="216" spans="1:58" ht="15.75" customHeight="1">
      <c r="A216" s="67"/>
      <c r="B216" s="67"/>
      <c r="C216" s="67"/>
      <c r="D216" s="68"/>
      <c r="E216" s="68"/>
      <c r="F216" s="68"/>
      <c r="G216" s="68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30"/>
      <c r="AO216" s="25"/>
      <c r="AP216" s="120"/>
      <c r="AQ216" s="120"/>
      <c r="AR216" s="121"/>
      <c r="AS216" s="96"/>
      <c r="AT216" s="122"/>
      <c r="AU216" s="96"/>
      <c r="AV216" s="122"/>
      <c r="AW216" s="122"/>
      <c r="AX216" s="30"/>
      <c r="AY216" s="30"/>
      <c r="AZ216" s="30"/>
      <c r="BA216" s="30"/>
      <c r="BB216" s="26"/>
      <c r="BC216" s="26"/>
      <c r="BD216" s="26"/>
      <c r="BE216" s="26"/>
      <c r="BF216" s="26"/>
    </row>
    <row r="217" spans="1:58" ht="15.75" customHeight="1">
      <c r="A217" s="67"/>
      <c r="B217" s="67"/>
      <c r="C217" s="67"/>
      <c r="D217" s="68"/>
      <c r="E217" s="68"/>
      <c r="F217" s="68"/>
      <c r="G217" s="68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30"/>
      <c r="AO217" s="25"/>
      <c r="AP217" s="120"/>
      <c r="AQ217" s="120"/>
      <c r="AR217" s="121"/>
      <c r="AS217" s="96"/>
      <c r="AT217" s="122"/>
      <c r="AU217" s="96"/>
      <c r="AV217" s="122"/>
      <c r="AW217" s="122"/>
      <c r="AX217" s="30"/>
      <c r="AY217" s="30"/>
      <c r="AZ217" s="30"/>
      <c r="BA217" s="30"/>
      <c r="BB217" s="26"/>
      <c r="BC217" s="26"/>
      <c r="BD217" s="26"/>
      <c r="BE217" s="26"/>
      <c r="BF217" s="26"/>
    </row>
    <row r="218" spans="1:58" ht="15.75" customHeight="1">
      <c r="A218" s="67"/>
      <c r="B218" s="67"/>
      <c r="C218" s="67"/>
      <c r="D218" s="68"/>
      <c r="E218" s="68"/>
      <c r="F218" s="68"/>
      <c r="G218" s="68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30"/>
      <c r="AO218" s="25"/>
      <c r="AP218" s="120"/>
      <c r="AQ218" s="120"/>
      <c r="AR218" s="121"/>
      <c r="AS218" s="96"/>
      <c r="AT218" s="122"/>
      <c r="AU218" s="96"/>
      <c r="AV218" s="122"/>
      <c r="AW218" s="122"/>
      <c r="AX218" s="30"/>
      <c r="AY218" s="30"/>
      <c r="AZ218" s="30"/>
      <c r="BA218" s="30"/>
      <c r="BB218" s="26"/>
      <c r="BC218" s="26"/>
      <c r="BD218" s="26"/>
      <c r="BE218" s="26"/>
      <c r="BF218" s="26"/>
    </row>
    <row r="219" spans="1:58" ht="15.75" customHeight="1">
      <c r="A219" s="67"/>
      <c r="B219" s="67"/>
      <c r="C219" s="67"/>
      <c r="D219" s="68"/>
      <c r="E219" s="68"/>
      <c r="F219" s="68"/>
      <c r="G219" s="68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30"/>
      <c r="AO219" s="25"/>
      <c r="AP219" s="120"/>
      <c r="AQ219" s="120"/>
      <c r="AR219" s="121"/>
      <c r="AS219" s="96"/>
      <c r="AT219" s="122"/>
      <c r="AU219" s="96"/>
      <c r="AV219" s="122"/>
      <c r="AW219" s="122"/>
      <c r="AX219" s="30"/>
      <c r="AY219" s="30"/>
      <c r="AZ219" s="30"/>
      <c r="BA219" s="30"/>
      <c r="BB219" s="26"/>
      <c r="BC219" s="26"/>
      <c r="BD219" s="26"/>
      <c r="BE219" s="26"/>
      <c r="BF219" s="26"/>
    </row>
    <row r="220" spans="1:58" ht="15.75" customHeight="1">
      <c r="A220" s="67"/>
      <c r="B220" s="67"/>
      <c r="C220" s="67"/>
      <c r="D220" s="68"/>
      <c r="E220" s="68"/>
      <c r="F220" s="68"/>
      <c r="G220" s="68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30"/>
      <c r="AO220" s="25"/>
      <c r="AP220" s="120"/>
      <c r="AQ220" s="120"/>
      <c r="AR220" s="121"/>
      <c r="AS220" s="96"/>
      <c r="AT220" s="122"/>
      <c r="AU220" s="96"/>
      <c r="AV220" s="122"/>
      <c r="AW220" s="122"/>
      <c r="AX220" s="30"/>
      <c r="AY220" s="30"/>
      <c r="AZ220" s="30"/>
      <c r="BA220" s="30"/>
      <c r="BB220" s="26"/>
      <c r="BC220" s="26"/>
      <c r="BD220" s="26"/>
      <c r="BE220" s="26"/>
      <c r="BF220" s="26"/>
    </row>
    <row r="221" spans="1:58" ht="15.75" customHeight="1">
      <c r="A221" s="67"/>
      <c r="B221" s="67"/>
      <c r="C221" s="67"/>
      <c r="D221" s="68"/>
      <c r="E221" s="68"/>
      <c r="F221" s="68"/>
      <c r="G221" s="68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30"/>
      <c r="AO221" s="25"/>
      <c r="AP221" s="120"/>
      <c r="AQ221" s="120"/>
      <c r="AR221" s="121"/>
      <c r="AS221" s="96"/>
      <c r="AT221" s="122"/>
      <c r="AU221" s="96"/>
      <c r="AV221" s="122"/>
      <c r="AW221" s="122"/>
      <c r="AX221" s="30"/>
      <c r="AY221" s="30"/>
      <c r="AZ221" s="30"/>
      <c r="BA221" s="30"/>
      <c r="BB221" s="26"/>
      <c r="BC221" s="26"/>
      <c r="BD221" s="26"/>
      <c r="BE221" s="26"/>
      <c r="BF221" s="26"/>
    </row>
    <row r="222" spans="1:58" ht="15.75" customHeight="1">
      <c r="A222" s="67"/>
      <c r="B222" s="67"/>
      <c r="C222" s="67"/>
      <c r="D222" s="68"/>
      <c r="E222" s="68"/>
      <c r="F222" s="68"/>
      <c r="G222" s="68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30"/>
      <c r="AO222" s="25"/>
      <c r="AP222" s="120"/>
      <c r="AQ222" s="120"/>
      <c r="AR222" s="121"/>
      <c r="AS222" s="96"/>
      <c r="AT222" s="122"/>
      <c r="AU222" s="96"/>
      <c r="AV222" s="122"/>
      <c r="AW222" s="122"/>
      <c r="AX222" s="30"/>
      <c r="AY222" s="30"/>
      <c r="AZ222" s="30"/>
      <c r="BA222" s="30"/>
      <c r="BB222" s="26"/>
      <c r="BC222" s="26"/>
      <c r="BD222" s="26"/>
      <c r="BE222" s="26"/>
      <c r="BF222" s="26"/>
    </row>
    <row r="223" spans="1:58" ht="15.75" customHeight="1">
      <c r="A223" s="67"/>
      <c r="B223" s="67"/>
      <c r="C223" s="67"/>
      <c r="D223" s="68"/>
      <c r="E223" s="68"/>
      <c r="F223" s="68"/>
      <c r="G223" s="68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30"/>
      <c r="AO223" s="25"/>
      <c r="AP223" s="120"/>
      <c r="AQ223" s="120"/>
      <c r="AR223" s="121"/>
      <c r="AS223" s="96"/>
      <c r="AT223" s="122"/>
      <c r="AU223" s="96"/>
      <c r="AV223" s="122"/>
      <c r="AW223" s="122"/>
      <c r="AX223" s="30"/>
      <c r="AY223" s="30"/>
      <c r="AZ223" s="30"/>
      <c r="BA223" s="30"/>
      <c r="BB223" s="26"/>
      <c r="BC223" s="26"/>
      <c r="BD223" s="26"/>
      <c r="BE223" s="26"/>
      <c r="BF223" s="26"/>
    </row>
    <row r="224" spans="1:58" ht="15.75" customHeight="1">
      <c r="A224" s="67"/>
      <c r="B224" s="67"/>
      <c r="C224" s="67"/>
      <c r="D224" s="68"/>
      <c r="E224" s="68"/>
      <c r="F224" s="68"/>
      <c r="G224" s="68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30"/>
      <c r="AO224" s="25"/>
      <c r="AP224" s="120"/>
      <c r="AQ224" s="120"/>
      <c r="AR224" s="121"/>
      <c r="AS224" s="96"/>
      <c r="AT224" s="122"/>
      <c r="AU224" s="96"/>
      <c r="AV224" s="122"/>
      <c r="AW224" s="122"/>
      <c r="AX224" s="30"/>
      <c r="AY224" s="30"/>
      <c r="AZ224" s="30"/>
      <c r="BA224" s="30"/>
      <c r="BB224" s="26"/>
      <c r="BC224" s="26"/>
      <c r="BD224" s="26"/>
      <c r="BE224" s="26"/>
      <c r="BF224" s="26"/>
    </row>
    <row r="225" spans="1:58" ht="15.75" customHeight="1">
      <c r="A225" s="67"/>
      <c r="B225" s="67"/>
      <c r="C225" s="67"/>
      <c r="D225" s="68"/>
      <c r="E225" s="68"/>
      <c r="F225" s="68"/>
      <c r="G225" s="68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30"/>
      <c r="AO225" s="25"/>
      <c r="AP225" s="120"/>
      <c r="AQ225" s="120"/>
      <c r="AR225" s="121"/>
      <c r="AS225" s="96"/>
      <c r="AT225" s="122"/>
      <c r="AU225" s="96"/>
      <c r="AV225" s="122"/>
      <c r="AW225" s="122"/>
      <c r="AX225" s="30"/>
      <c r="AY225" s="30"/>
      <c r="AZ225" s="30"/>
      <c r="BA225" s="30"/>
      <c r="BB225" s="26"/>
      <c r="BC225" s="26"/>
      <c r="BD225" s="26"/>
      <c r="BE225" s="26"/>
      <c r="BF225" s="26"/>
    </row>
    <row r="226" spans="1:58" ht="15.75" customHeight="1">
      <c r="A226" s="67"/>
      <c r="B226" s="67"/>
      <c r="C226" s="67"/>
      <c r="D226" s="68"/>
      <c r="E226" s="68"/>
      <c r="F226" s="68"/>
      <c r="G226" s="68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30"/>
      <c r="AO226" s="25"/>
      <c r="AP226" s="120"/>
      <c r="AQ226" s="120"/>
      <c r="AR226" s="121"/>
      <c r="AS226" s="96"/>
      <c r="AT226" s="122"/>
      <c r="AU226" s="96"/>
      <c r="AV226" s="122"/>
      <c r="AW226" s="122"/>
      <c r="AX226" s="30"/>
      <c r="AY226" s="30"/>
      <c r="AZ226" s="30"/>
      <c r="BA226" s="30"/>
      <c r="BB226" s="26"/>
      <c r="BC226" s="26"/>
      <c r="BD226" s="26"/>
      <c r="BE226" s="26"/>
      <c r="BF226" s="26"/>
    </row>
    <row r="227" spans="1:58" ht="15.75" customHeight="1">
      <c r="A227" s="67"/>
      <c r="B227" s="67"/>
      <c r="C227" s="67"/>
      <c r="D227" s="68"/>
      <c r="E227" s="68"/>
      <c r="F227" s="68"/>
      <c r="G227" s="68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30"/>
      <c r="AO227" s="25"/>
      <c r="AP227" s="120"/>
      <c r="AQ227" s="120"/>
      <c r="AR227" s="121"/>
      <c r="AS227" s="96"/>
      <c r="AT227" s="122"/>
      <c r="AU227" s="96"/>
      <c r="AV227" s="122"/>
      <c r="AW227" s="122"/>
      <c r="AX227" s="30"/>
      <c r="AY227" s="30"/>
      <c r="AZ227" s="30"/>
      <c r="BA227" s="30"/>
      <c r="BB227" s="26"/>
      <c r="BC227" s="26"/>
      <c r="BD227" s="26"/>
      <c r="BE227" s="26"/>
      <c r="BF227" s="26"/>
    </row>
    <row r="228" spans="1:58" ht="15.75" customHeight="1">
      <c r="A228" s="67"/>
      <c r="B228" s="67"/>
      <c r="C228" s="67"/>
      <c r="D228" s="68"/>
      <c r="E228" s="68"/>
      <c r="F228" s="68"/>
      <c r="G228" s="68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30"/>
      <c r="AO228" s="25"/>
      <c r="AP228" s="120"/>
      <c r="AQ228" s="120"/>
      <c r="AR228" s="121"/>
      <c r="AS228" s="96"/>
      <c r="AT228" s="122"/>
      <c r="AU228" s="96"/>
      <c r="AV228" s="122"/>
      <c r="AW228" s="122"/>
      <c r="AX228" s="30"/>
      <c r="AY228" s="30"/>
      <c r="AZ228" s="30"/>
      <c r="BA228" s="30"/>
      <c r="BB228" s="26"/>
      <c r="BC228" s="26"/>
      <c r="BD228" s="26"/>
      <c r="BE228" s="26"/>
      <c r="BF228" s="26"/>
    </row>
    <row r="229" spans="1:58" ht="15.75" customHeight="1">
      <c r="A229" s="67"/>
      <c r="B229" s="67"/>
      <c r="C229" s="67"/>
      <c r="D229" s="68"/>
      <c r="E229" s="68"/>
      <c r="F229" s="68"/>
      <c r="G229" s="68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30"/>
      <c r="AO229" s="25"/>
      <c r="AP229" s="120"/>
      <c r="AQ229" s="120"/>
      <c r="AR229" s="121"/>
      <c r="AS229" s="96"/>
      <c r="AT229" s="122"/>
      <c r="AU229" s="96"/>
      <c r="AV229" s="122"/>
      <c r="AW229" s="122"/>
      <c r="AX229" s="30"/>
      <c r="AY229" s="30"/>
      <c r="AZ229" s="30"/>
      <c r="BA229" s="30"/>
      <c r="BB229" s="26"/>
      <c r="BC229" s="26"/>
      <c r="BD229" s="26"/>
      <c r="BE229" s="26"/>
      <c r="BF229" s="26"/>
    </row>
    <row r="230" spans="1:58" ht="15.75" customHeight="1">
      <c r="A230" s="67"/>
      <c r="B230" s="67"/>
      <c r="C230" s="67"/>
      <c r="D230" s="68"/>
      <c r="E230" s="68"/>
      <c r="F230" s="68"/>
      <c r="G230" s="68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30"/>
      <c r="AO230" s="25"/>
      <c r="AP230" s="120"/>
      <c r="AQ230" s="120"/>
      <c r="AR230" s="121"/>
      <c r="AS230" s="96"/>
      <c r="AT230" s="122"/>
      <c r="AU230" s="96"/>
      <c r="AV230" s="122"/>
      <c r="AW230" s="122"/>
      <c r="AX230" s="30"/>
      <c r="AY230" s="30"/>
      <c r="AZ230" s="30"/>
      <c r="BA230" s="30"/>
      <c r="BB230" s="26"/>
      <c r="BC230" s="26"/>
      <c r="BD230" s="26"/>
      <c r="BE230" s="26"/>
      <c r="BF230" s="26"/>
    </row>
    <row r="231" spans="1:58" ht="15.75" customHeight="1">
      <c r="A231" s="67"/>
      <c r="B231" s="67"/>
      <c r="C231" s="67"/>
      <c r="D231" s="68"/>
      <c r="E231" s="68"/>
      <c r="F231" s="68"/>
      <c r="G231" s="68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30"/>
      <c r="AO231" s="25"/>
      <c r="AP231" s="120"/>
      <c r="AQ231" s="120"/>
      <c r="AR231" s="121"/>
      <c r="AS231" s="96"/>
      <c r="AT231" s="122"/>
      <c r="AU231" s="96"/>
      <c r="AV231" s="122"/>
      <c r="AW231" s="122"/>
      <c r="AX231" s="30"/>
      <c r="AY231" s="30"/>
      <c r="AZ231" s="30"/>
      <c r="BA231" s="30"/>
      <c r="BB231" s="26"/>
      <c r="BC231" s="26"/>
      <c r="BD231" s="26"/>
      <c r="BE231" s="26"/>
      <c r="BF231" s="26"/>
    </row>
    <row r="232" spans="1:58" ht="15.75" customHeight="1">
      <c r="A232" s="67"/>
      <c r="B232" s="67"/>
      <c r="C232" s="67"/>
      <c r="D232" s="68"/>
      <c r="E232" s="68"/>
      <c r="F232" s="68"/>
      <c r="G232" s="68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30"/>
      <c r="AO232" s="25"/>
      <c r="AP232" s="120"/>
      <c r="AQ232" s="120"/>
      <c r="AR232" s="121"/>
      <c r="AS232" s="96"/>
      <c r="AT232" s="122"/>
      <c r="AU232" s="96"/>
      <c r="AV232" s="122"/>
      <c r="AW232" s="122"/>
      <c r="AX232" s="30"/>
      <c r="AY232" s="30"/>
      <c r="AZ232" s="30"/>
      <c r="BA232" s="30"/>
      <c r="BB232" s="26"/>
      <c r="BC232" s="26"/>
      <c r="BD232" s="26"/>
      <c r="BE232" s="26"/>
      <c r="BF232" s="26"/>
    </row>
    <row r="233" spans="1:58" ht="15.75" customHeight="1">
      <c r="A233" s="67"/>
      <c r="B233" s="67"/>
      <c r="C233" s="67"/>
      <c r="D233" s="68"/>
      <c r="E233" s="68"/>
      <c r="F233" s="68"/>
      <c r="G233" s="68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30"/>
      <c r="AO233" s="25"/>
      <c r="AP233" s="120"/>
      <c r="AQ233" s="120"/>
      <c r="AR233" s="121"/>
      <c r="AS233" s="96"/>
      <c r="AT233" s="122"/>
      <c r="AU233" s="96"/>
      <c r="AV233" s="122"/>
      <c r="AW233" s="122"/>
      <c r="AX233" s="30"/>
      <c r="AY233" s="30"/>
      <c r="AZ233" s="30"/>
      <c r="BA233" s="30"/>
      <c r="BB233" s="26"/>
      <c r="BC233" s="26"/>
      <c r="BD233" s="26"/>
      <c r="BE233" s="26"/>
      <c r="BF233" s="26"/>
    </row>
    <row r="234" spans="1:58" ht="15.75" customHeight="1">
      <c r="A234" s="67"/>
      <c r="B234" s="67"/>
      <c r="C234" s="67"/>
      <c r="D234" s="68"/>
      <c r="E234" s="68"/>
      <c r="F234" s="68"/>
      <c r="G234" s="68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30"/>
      <c r="AO234" s="25"/>
      <c r="AP234" s="120"/>
      <c r="AQ234" s="120"/>
      <c r="AR234" s="121"/>
      <c r="AS234" s="96"/>
      <c r="AT234" s="122"/>
      <c r="AU234" s="96"/>
      <c r="AV234" s="122"/>
      <c r="AW234" s="122"/>
      <c r="AX234" s="30"/>
      <c r="AY234" s="30"/>
      <c r="AZ234" s="30"/>
      <c r="BA234" s="30"/>
      <c r="BB234" s="26"/>
      <c r="BC234" s="26"/>
      <c r="BD234" s="26"/>
      <c r="BE234" s="26"/>
      <c r="BF234" s="26"/>
    </row>
    <row r="235" spans="1:58" ht="15.75" customHeight="1">
      <c r="A235" s="67"/>
      <c r="B235" s="67"/>
      <c r="C235" s="67"/>
      <c r="D235" s="68"/>
      <c r="E235" s="68"/>
      <c r="F235" s="68"/>
      <c r="G235" s="68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30"/>
      <c r="AO235" s="25"/>
      <c r="AP235" s="120"/>
      <c r="AQ235" s="120"/>
      <c r="AR235" s="121"/>
      <c r="AS235" s="96"/>
      <c r="AT235" s="122"/>
      <c r="AU235" s="96"/>
      <c r="AV235" s="122"/>
      <c r="AW235" s="122"/>
      <c r="AX235" s="30"/>
      <c r="AY235" s="30"/>
      <c r="AZ235" s="30"/>
      <c r="BA235" s="30"/>
      <c r="BB235" s="26"/>
      <c r="BC235" s="26"/>
      <c r="BD235" s="26"/>
      <c r="BE235" s="26"/>
      <c r="BF235" s="26"/>
    </row>
    <row r="236" spans="1:58" ht="15.75" customHeight="1">
      <c r="A236" s="67"/>
      <c r="B236" s="67"/>
      <c r="C236" s="67"/>
      <c r="D236" s="68"/>
      <c r="E236" s="68"/>
      <c r="F236" s="68"/>
      <c r="G236" s="68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30"/>
      <c r="AO236" s="25"/>
      <c r="AP236" s="120"/>
      <c r="AQ236" s="120"/>
      <c r="AR236" s="121"/>
      <c r="AS236" s="96"/>
      <c r="AT236" s="122"/>
      <c r="AU236" s="96"/>
      <c r="AV236" s="122"/>
      <c r="AW236" s="122"/>
      <c r="AX236" s="30"/>
      <c r="AY236" s="30"/>
      <c r="AZ236" s="30"/>
      <c r="BA236" s="30"/>
      <c r="BB236" s="26"/>
      <c r="BC236" s="26"/>
      <c r="BD236" s="26"/>
      <c r="BE236" s="26"/>
      <c r="BF236" s="26"/>
    </row>
    <row r="237" spans="1:58" ht="15.75" customHeight="1">
      <c r="A237" s="67"/>
      <c r="B237" s="67"/>
      <c r="C237" s="67"/>
      <c r="D237" s="68"/>
      <c r="E237" s="68"/>
      <c r="F237" s="68"/>
      <c r="G237" s="68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30"/>
      <c r="AO237" s="25"/>
      <c r="AP237" s="120"/>
      <c r="AQ237" s="120"/>
      <c r="AR237" s="121"/>
      <c r="AS237" s="96"/>
      <c r="AT237" s="122"/>
      <c r="AU237" s="96"/>
      <c r="AV237" s="122"/>
      <c r="AW237" s="122"/>
      <c r="AX237" s="30"/>
      <c r="AY237" s="30"/>
      <c r="AZ237" s="30"/>
      <c r="BA237" s="30"/>
      <c r="BB237" s="26"/>
      <c r="BC237" s="26"/>
      <c r="BD237" s="26"/>
      <c r="BE237" s="26"/>
      <c r="BF237" s="26"/>
    </row>
    <row r="238" spans="1:58" ht="15.75" customHeight="1">
      <c r="A238" s="67"/>
      <c r="B238" s="67"/>
      <c r="C238" s="67"/>
      <c r="D238" s="68"/>
      <c r="E238" s="68"/>
      <c r="F238" s="68"/>
      <c r="G238" s="68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30"/>
      <c r="AO238" s="25"/>
      <c r="AP238" s="120"/>
      <c r="AQ238" s="120"/>
      <c r="AR238" s="121"/>
      <c r="AS238" s="96"/>
      <c r="AT238" s="122"/>
      <c r="AU238" s="96"/>
      <c r="AV238" s="122"/>
      <c r="AW238" s="122"/>
      <c r="AX238" s="30"/>
      <c r="AY238" s="30"/>
      <c r="AZ238" s="30"/>
      <c r="BA238" s="30"/>
      <c r="BB238" s="26"/>
      <c r="BC238" s="26"/>
      <c r="BD238" s="26"/>
      <c r="BE238" s="26"/>
      <c r="BF238" s="26"/>
    </row>
    <row r="239" spans="1:58" ht="15.75" customHeight="1">
      <c r="A239" s="67"/>
      <c r="B239" s="67"/>
      <c r="C239" s="67"/>
      <c r="D239" s="68"/>
      <c r="E239" s="68"/>
      <c r="F239" s="68"/>
      <c r="G239" s="68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30"/>
      <c r="AO239" s="25"/>
      <c r="AP239" s="120"/>
      <c r="AQ239" s="120"/>
      <c r="AR239" s="121"/>
      <c r="AS239" s="96"/>
      <c r="AT239" s="122"/>
      <c r="AU239" s="96"/>
      <c r="AV239" s="122"/>
      <c r="AW239" s="122"/>
      <c r="AX239" s="30"/>
      <c r="AY239" s="30"/>
      <c r="AZ239" s="30"/>
      <c r="BA239" s="30"/>
      <c r="BB239" s="26"/>
      <c r="BC239" s="26"/>
      <c r="BD239" s="26"/>
      <c r="BE239" s="26"/>
      <c r="BF239" s="26"/>
    </row>
    <row r="240" spans="1:58" ht="15.75" customHeight="1">
      <c r="A240" s="67"/>
      <c r="B240" s="67"/>
      <c r="C240" s="67"/>
      <c r="D240" s="68"/>
      <c r="E240" s="68"/>
      <c r="F240" s="68"/>
      <c r="G240" s="68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30"/>
      <c r="AO240" s="25"/>
      <c r="AP240" s="120"/>
      <c r="AQ240" s="120"/>
      <c r="AR240" s="121"/>
      <c r="AS240" s="96"/>
      <c r="AT240" s="122"/>
      <c r="AU240" s="96"/>
      <c r="AV240" s="122"/>
      <c r="AW240" s="122"/>
      <c r="AX240" s="30"/>
      <c r="AY240" s="30"/>
      <c r="AZ240" s="30"/>
      <c r="BA240" s="30"/>
      <c r="BB240" s="26"/>
      <c r="BC240" s="26"/>
      <c r="BD240" s="26"/>
      <c r="BE240" s="26"/>
      <c r="BF240" s="26"/>
    </row>
    <row r="241" spans="1:58" ht="15.75" customHeight="1">
      <c r="A241" s="67"/>
      <c r="B241" s="67"/>
      <c r="C241" s="67"/>
      <c r="D241" s="68"/>
      <c r="E241" s="68"/>
      <c r="F241" s="68"/>
      <c r="G241" s="68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30"/>
      <c r="AO241" s="25"/>
      <c r="AP241" s="120"/>
      <c r="AQ241" s="120"/>
      <c r="AR241" s="121"/>
      <c r="AS241" s="96"/>
      <c r="AT241" s="122"/>
      <c r="AU241" s="96"/>
      <c r="AV241" s="122"/>
      <c r="AW241" s="122"/>
      <c r="AX241" s="30"/>
      <c r="AY241" s="30"/>
      <c r="AZ241" s="30"/>
      <c r="BA241" s="30"/>
      <c r="BB241" s="26"/>
      <c r="BC241" s="26"/>
      <c r="BD241" s="26"/>
      <c r="BE241" s="26"/>
      <c r="BF241" s="26"/>
    </row>
    <row r="242" spans="1:58" ht="15.75" customHeight="1">
      <c r="A242" s="67"/>
      <c r="B242" s="67"/>
      <c r="C242" s="67"/>
      <c r="D242" s="68"/>
      <c r="E242" s="68"/>
      <c r="F242" s="68"/>
      <c r="G242" s="68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30"/>
      <c r="AO242" s="25"/>
      <c r="AP242" s="120"/>
      <c r="AQ242" s="120"/>
      <c r="AR242" s="121"/>
      <c r="AS242" s="96"/>
      <c r="AT242" s="122"/>
      <c r="AU242" s="96"/>
      <c r="AV242" s="122"/>
      <c r="AW242" s="122"/>
      <c r="AX242" s="30"/>
      <c r="AY242" s="30"/>
      <c r="AZ242" s="30"/>
      <c r="BA242" s="30"/>
      <c r="BB242" s="26"/>
      <c r="BC242" s="26"/>
      <c r="BD242" s="26"/>
      <c r="BE242" s="26"/>
      <c r="BF242" s="26"/>
    </row>
    <row r="243" spans="1:58" ht="15.75" customHeight="1">
      <c r="A243" s="67"/>
      <c r="B243" s="67"/>
      <c r="C243" s="67"/>
      <c r="D243" s="68"/>
      <c r="E243" s="68"/>
      <c r="F243" s="68"/>
      <c r="G243" s="68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30"/>
      <c r="AO243" s="25"/>
      <c r="AP243" s="120"/>
      <c r="AQ243" s="120"/>
      <c r="AR243" s="121"/>
      <c r="AS243" s="96"/>
      <c r="AT243" s="122"/>
      <c r="AU243" s="96"/>
      <c r="AV243" s="122"/>
      <c r="AW243" s="122"/>
      <c r="AX243" s="30"/>
      <c r="AY243" s="30"/>
      <c r="AZ243" s="30"/>
      <c r="BA243" s="30"/>
      <c r="BB243" s="26"/>
      <c r="BC243" s="26"/>
      <c r="BD243" s="26"/>
      <c r="BE243" s="26"/>
      <c r="BF243" s="26"/>
    </row>
    <row r="244" spans="1:58" ht="15.75" customHeight="1">
      <c r="A244" s="67"/>
      <c r="B244" s="67"/>
      <c r="C244" s="67"/>
      <c r="D244" s="68"/>
      <c r="E244" s="68"/>
      <c r="F244" s="68"/>
      <c r="G244" s="68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30"/>
      <c r="AO244" s="25"/>
      <c r="AP244" s="120"/>
      <c r="AQ244" s="120"/>
      <c r="AR244" s="121"/>
      <c r="AS244" s="96"/>
      <c r="AT244" s="122"/>
      <c r="AU244" s="96"/>
      <c r="AV244" s="122"/>
      <c r="AW244" s="122"/>
      <c r="AX244" s="30"/>
      <c r="AY244" s="30"/>
      <c r="AZ244" s="30"/>
      <c r="BA244" s="30"/>
      <c r="BB244" s="26"/>
      <c r="BC244" s="26"/>
      <c r="BD244" s="26"/>
      <c r="BE244" s="26"/>
      <c r="BF244" s="26"/>
    </row>
    <row r="245" spans="1:58" ht="15.75" customHeight="1">
      <c r="A245" s="67"/>
      <c r="B245" s="67"/>
      <c r="C245" s="67"/>
      <c r="D245" s="68"/>
      <c r="E245" s="68"/>
      <c r="F245" s="68"/>
      <c r="G245" s="68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30"/>
      <c r="AO245" s="25"/>
      <c r="AP245" s="120"/>
      <c r="AQ245" s="120"/>
      <c r="AR245" s="121"/>
      <c r="AS245" s="96"/>
      <c r="AT245" s="122"/>
      <c r="AU245" s="96"/>
      <c r="AV245" s="122"/>
      <c r="AW245" s="122"/>
      <c r="AX245" s="30"/>
      <c r="AY245" s="30"/>
      <c r="AZ245" s="30"/>
      <c r="BA245" s="30"/>
      <c r="BB245" s="26"/>
      <c r="BC245" s="26"/>
      <c r="BD245" s="26"/>
      <c r="BE245" s="26"/>
      <c r="BF245" s="26"/>
    </row>
    <row r="246" spans="1:58" ht="15.75" customHeight="1">
      <c r="A246" s="67"/>
      <c r="B246" s="67"/>
      <c r="C246" s="67"/>
      <c r="D246" s="68"/>
      <c r="E246" s="68"/>
      <c r="F246" s="68"/>
      <c r="G246" s="68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30"/>
      <c r="AO246" s="25"/>
      <c r="AP246" s="120"/>
      <c r="AQ246" s="120"/>
      <c r="AR246" s="121"/>
      <c r="AS246" s="96"/>
      <c r="AT246" s="122"/>
      <c r="AU246" s="96"/>
      <c r="AV246" s="122"/>
      <c r="AW246" s="122"/>
      <c r="AX246" s="30"/>
      <c r="AY246" s="30"/>
      <c r="AZ246" s="30"/>
      <c r="BA246" s="30"/>
      <c r="BB246" s="26"/>
      <c r="BC246" s="26"/>
      <c r="BD246" s="26"/>
      <c r="BE246" s="26"/>
      <c r="BF246" s="26"/>
    </row>
    <row r="247" spans="1:58" ht="15.75" customHeight="1">
      <c r="A247" s="67"/>
      <c r="B247" s="67"/>
      <c r="C247" s="67"/>
      <c r="D247" s="68"/>
      <c r="E247" s="68"/>
      <c r="F247" s="68"/>
      <c r="G247" s="68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30"/>
      <c r="AO247" s="25"/>
      <c r="AP247" s="120"/>
      <c r="AQ247" s="120"/>
      <c r="AR247" s="121"/>
      <c r="AS247" s="96"/>
      <c r="AT247" s="122"/>
      <c r="AU247" s="96"/>
      <c r="AV247" s="122"/>
      <c r="AW247" s="122"/>
      <c r="AX247" s="30"/>
      <c r="AY247" s="30"/>
      <c r="AZ247" s="30"/>
      <c r="BA247" s="30"/>
      <c r="BB247" s="26"/>
      <c r="BC247" s="26"/>
      <c r="BD247" s="26"/>
      <c r="BE247" s="26"/>
      <c r="BF247" s="26"/>
    </row>
    <row r="248" spans="1:58" ht="15.75" customHeight="1">
      <c r="A248" s="67"/>
      <c r="B248" s="67"/>
      <c r="C248" s="67"/>
      <c r="D248" s="68"/>
      <c r="E248" s="68"/>
      <c r="F248" s="68"/>
      <c r="G248" s="68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30"/>
      <c r="AO248" s="25"/>
      <c r="AP248" s="120"/>
      <c r="AQ248" s="120"/>
      <c r="AR248" s="121"/>
      <c r="AS248" s="96"/>
      <c r="AT248" s="122"/>
      <c r="AU248" s="96"/>
      <c r="AV248" s="122"/>
      <c r="AW248" s="122"/>
      <c r="AX248" s="30"/>
      <c r="AY248" s="30"/>
      <c r="AZ248" s="30"/>
      <c r="BA248" s="30"/>
      <c r="BB248" s="26"/>
      <c r="BC248" s="26"/>
      <c r="BD248" s="26"/>
      <c r="BE248" s="26"/>
      <c r="BF248" s="26"/>
    </row>
    <row r="249" spans="1:58" ht="15.75" customHeight="1">
      <c r="A249" s="67"/>
      <c r="B249" s="67"/>
      <c r="C249" s="67"/>
      <c r="D249" s="68"/>
      <c r="E249" s="68"/>
      <c r="F249" s="68"/>
      <c r="G249" s="68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30"/>
      <c r="AO249" s="25"/>
      <c r="AP249" s="120"/>
      <c r="AQ249" s="120"/>
      <c r="AR249" s="121"/>
      <c r="AS249" s="96"/>
      <c r="AT249" s="122"/>
      <c r="AU249" s="96"/>
      <c r="AV249" s="122"/>
      <c r="AW249" s="122"/>
      <c r="AX249" s="30"/>
      <c r="AY249" s="30"/>
      <c r="AZ249" s="30"/>
      <c r="BA249" s="30"/>
      <c r="BB249" s="26"/>
      <c r="BC249" s="26"/>
      <c r="BD249" s="26"/>
      <c r="BE249" s="26"/>
      <c r="BF249" s="26"/>
    </row>
    <row r="250" spans="1:58" ht="15.75" customHeight="1">
      <c r="A250" s="67"/>
      <c r="B250" s="67"/>
      <c r="C250" s="67"/>
      <c r="D250" s="68"/>
      <c r="E250" s="68"/>
      <c r="F250" s="68"/>
      <c r="G250" s="68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30"/>
      <c r="AO250" s="25"/>
      <c r="AP250" s="120"/>
      <c r="AQ250" s="120"/>
      <c r="AR250" s="121"/>
      <c r="AS250" s="96"/>
      <c r="AT250" s="122"/>
      <c r="AU250" s="96"/>
      <c r="AV250" s="122"/>
      <c r="AW250" s="122"/>
      <c r="AX250" s="30"/>
      <c r="AY250" s="30"/>
      <c r="AZ250" s="30"/>
      <c r="BA250" s="30"/>
      <c r="BB250" s="26"/>
      <c r="BC250" s="26"/>
      <c r="BD250" s="26"/>
      <c r="BE250" s="26"/>
      <c r="BF250" s="26"/>
    </row>
    <row r="251" spans="1:58" ht="15.75" customHeight="1">
      <c r="A251" s="67"/>
      <c r="B251" s="67"/>
      <c r="C251" s="67"/>
      <c r="D251" s="68"/>
      <c r="E251" s="68"/>
      <c r="F251" s="68"/>
      <c r="G251" s="68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30"/>
      <c r="AO251" s="25"/>
      <c r="AP251" s="120"/>
      <c r="AQ251" s="120"/>
      <c r="AR251" s="121"/>
      <c r="AS251" s="96"/>
      <c r="AT251" s="122"/>
      <c r="AU251" s="96"/>
      <c r="AV251" s="122"/>
      <c r="AW251" s="122"/>
      <c r="AX251" s="30"/>
      <c r="AY251" s="30"/>
      <c r="AZ251" s="30"/>
      <c r="BA251" s="30"/>
      <c r="BB251" s="26"/>
      <c r="BC251" s="26"/>
      <c r="BD251" s="26"/>
      <c r="BE251" s="26"/>
      <c r="BF251" s="26"/>
    </row>
    <row r="252" spans="1:58" ht="15.75" customHeight="1">
      <c r="A252" s="67"/>
      <c r="B252" s="67"/>
      <c r="C252" s="67"/>
      <c r="D252" s="68"/>
      <c r="E252" s="68"/>
      <c r="F252" s="68"/>
      <c r="G252" s="68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30"/>
      <c r="AO252" s="25"/>
      <c r="AP252" s="120"/>
      <c r="AQ252" s="120"/>
      <c r="AR252" s="121"/>
      <c r="AS252" s="96"/>
      <c r="AT252" s="122"/>
      <c r="AU252" s="96"/>
      <c r="AV252" s="122"/>
      <c r="AW252" s="122"/>
      <c r="AX252" s="30"/>
      <c r="AY252" s="30"/>
      <c r="AZ252" s="30"/>
      <c r="BA252" s="30"/>
      <c r="BB252" s="26"/>
      <c r="BC252" s="26"/>
      <c r="BD252" s="26"/>
      <c r="BE252" s="26"/>
      <c r="BF252" s="26"/>
    </row>
    <row r="253" spans="1:58" ht="15.75" customHeight="1">
      <c r="A253" s="67"/>
      <c r="B253" s="67"/>
      <c r="C253" s="67"/>
      <c r="D253" s="68"/>
      <c r="E253" s="68"/>
      <c r="F253" s="68"/>
      <c r="G253" s="68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30"/>
      <c r="AO253" s="25"/>
      <c r="AP253" s="120"/>
      <c r="AQ253" s="120"/>
      <c r="AR253" s="121"/>
      <c r="AS253" s="96"/>
      <c r="AT253" s="122"/>
      <c r="AU253" s="96"/>
      <c r="AV253" s="122"/>
      <c r="AW253" s="122"/>
      <c r="AX253" s="30"/>
      <c r="AY253" s="30"/>
      <c r="AZ253" s="30"/>
      <c r="BA253" s="30"/>
      <c r="BB253" s="26"/>
      <c r="BC253" s="26"/>
      <c r="BD253" s="26"/>
      <c r="BE253" s="26"/>
      <c r="BF253" s="26"/>
    </row>
    <row r="254" spans="1:58" ht="15.75" customHeight="1">
      <c r="A254" s="67"/>
      <c r="B254" s="67"/>
      <c r="C254" s="67"/>
      <c r="D254" s="68"/>
      <c r="E254" s="68"/>
      <c r="F254" s="68"/>
      <c r="G254" s="68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30"/>
      <c r="AO254" s="25"/>
      <c r="AP254" s="120"/>
      <c r="AQ254" s="120"/>
      <c r="AR254" s="121"/>
      <c r="AS254" s="96"/>
      <c r="AT254" s="122"/>
      <c r="AU254" s="96"/>
      <c r="AV254" s="122"/>
      <c r="AW254" s="122"/>
      <c r="AX254" s="30"/>
      <c r="AY254" s="30"/>
      <c r="AZ254" s="30"/>
      <c r="BA254" s="30"/>
      <c r="BB254" s="26"/>
      <c r="BC254" s="26"/>
      <c r="BD254" s="26"/>
      <c r="BE254" s="26"/>
      <c r="BF254" s="26"/>
    </row>
    <row r="255" spans="1:58" ht="15.75" customHeight="1">
      <c r="A255" s="67"/>
      <c r="B255" s="67"/>
      <c r="C255" s="67"/>
      <c r="D255" s="68"/>
      <c r="E255" s="68"/>
      <c r="F255" s="68"/>
      <c r="G255" s="68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30"/>
      <c r="AO255" s="25"/>
      <c r="AP255" s="120"/>
      <c r="AQ255" s="120"/>
      <c r="AR255" s="121"/>
      <c r="AS255" s="96"/>
      <c r="AT255" s="122"/>
      <c r="AU255" s="96"/>
      <c r="AV255" s="122"/>
      <c r="AW255" s="122"/>
      <c r="AX255" s="30"/>
      <c r="AY255" s="30"/>
      <c r="AZ255" s="30"/>
      <c r="BA255" s="30"/>
      <c r="BB255" s="26"/>
      <c r="BC255" s="26"/>
      <c r="BD255" s="26"/>
      <c r="BE255" s="26"/>
      <c r="BF255" s="26"/>
    </row>
    <row r="256" spans="1:58" ht="15.75" customHeight="1">
      <c r="A256" s="67"/>
      <c r="B256" s="67"/>
      <c r="C256" s="67"/>
      <c r="D256" s="68"/>
      <c r="E256" s="68"/>
      <c r="F256" s="68"/>
      <c r="G256" s="68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30"/>
      <c r="AO256" s="25"/>
      <c r="AP256" s="120"/>
      <c r="AQ256" s="120"/>
      <c r="AR256" s="121"/>
      <c r="AS256" s="96"/>
      <c r="AT256" s="122"/>
      <c r="AU256" s="96"/>
      <c r="AV256" s="122"/>
      <c r="AW256" s="122"/>
      <c r="AX256" s="30"/>
      <c r="AY256" s="30"/>
      <c r="AZ256" s="30"/>
      <c r="BA256" s="30"/>
      <c r="BB256" s="26"/>
      <c r="BC256" s="26"/>
      <c r="BD256" s="26"/>
      <c r="BE256" s="26"/>
      <c r="BF256" s="26"/>
    </row>
    <row r="257" spans="1:58" ht="15.75" customHeight="1">
      <c r="A257" s="67"/>
      <c r="B257" s="67"/>
      <c r="C257" s="67"/>
      <c r="D257" s="68"/>
      <c r="E257" s="68"/>
      <c r="F257" s="68"/>
      <c r="G257" s="68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30"/>
      <c r="AO257" s="25"/>
      <c r="AP257" s="120"/>
      <c r="AQ257" s="120"/>
      <c r="AR257" s="121"/>
      <c r="AS257" s="96"/>
      <c r="AT257" s="122"/>
      <c r="AU257" s="96"/>
      <c r="AV257" s="122"/>
      <c r="AW257" s="122"/>
      <c r="AX257" s="30"/>
      <c r="AY257" s="30"/>
      <c r="AZ257" s="30"/>
      <c r="BA257" s="30"/>
      <c r="BB257" s="26"/>
      <c r="BC257" s="26"/>
      <c r="BD257" s="26"/>
      <c r="BE257" s="26"/>
      <c r="BF257" s="26"/>
    </row>
    <row r="258" spans="1:58" ht="15.75" customHeight="1">
      <c r="A258" s="67"/>
      <c r="B258" s="67"/>
      <c r="C258" s="67"/>
      <c r="D258" s="68"/>
      <c r="E258" s="68"/>
      <c r="F258" s="68"/>
      <c r="G258" s="68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30"/>
      <c r="AO258" s="25"/>
      <c r="AP258" s="120"/>
      <c r="AQ258" s="120"/>
      <c r="AR258" s="121"/>
      <c r="AS258" s="96"/>
      <c r="AT258" s="122"/>
      <c r="AU258" s="96"/>
      <c r="AV258" s="122"/>
      <c r="AW258" s="122"/>
      <c r="AX258" s="30"/>
      <c r="AY258" s="30"/>
      <c r="AZ258" s="30"/>
      <c r="BA258" s="30"/>
      <c r="BB258" s="26"/>
      <c r="BC258" s="26"/>
      <c r="BD258" s="26"/>
      <c r="BE258" s="26"/>
      <c r="BF258" s="26"/>
    </row>
    <row r="259" spans="1:58" ht="15.75" customHeight="1">
      <c r="A259" s="67"/>
      <c r="B259" s="67"/>
      <c r="C259" s="67"/>
      <c r="D259" s="68"/>
      <c r="E259" s="68"/>
      <c r="F259" s="68"/>
      <c r="G259" s="68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30"/>
      <c r="AO259" s="25"/>
      <c r="AP259" s="120"/>
      <c r="AQ259" s="120"/>
      <c r="AR259" s="121"/>
      <c r="AS259" s="96"/>
      <c r="AT259" s="122"/>
      <c r="AU259" s="96"/>
      <c r="AV259" s="122"/>
      <c r="AW259" s="122"/>
      <c r="AX259" s="30"/>
      <c r="AY259" s="30"/>
      <c r="AZ259" s="30"/>
      <c r="BA259" s="30"/>
      <c r="BB259" s="26"/>
      <c r="BC259" s="26"/>
      <c r="BD259" s="26"/>
      <c r="BE259" s="26"/>
      <c r="BF259" s="26"/>
    </row>
    <row r="260" spans="1:58" ht="15.75" customHeight="1">
      <c r="A260" s="67"/>
      <c r="B260" s="67"/>
      <c r="C260" s="67"/>
      <c r="D260" s="68"/>
      <c r="E260" s="68"/>
      <c r="F260" s="68"/>
      <c r="G260" s="68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30"/>
      <c r="AO260" s="25"/>
      <c r="AP260" s="120"/>
      <c r="AQ260" s="120"/>
      <c r="AR260" s="121"/>
      <c r="AS260" s="96"/>
      <c r="AT260" s="122"/>
      <c r="AU260" s="96"/>
      <c r="AV260" s="122"/>
      <c r="AW260" s="122"/>
      <c r="AX260" s="30"/>
      <c r="AY260" s="30"/>
      <c r="AZ260" s="30"/>
      <c r="BA260" s="30"/>
      <c r="BB260" s="26"/>
      <c r="BC260" s="26"/>
      <c r="BD260" s="26"/>
      <c r="BE260" s="26"/>
      <c r="BF260" s="26"/>
    </row>
    <row r="261" spans="1:58" ht="15.75" customHeight="1">
      <c r="A261" s="67"/>
      <c r="B261" s="67"/>
      <c r="C261" s="67"/>
      <c r="D261" s="68"/>
      <c r="E261" s="68"/>
      <c r="F261" s="68"/>
      <c r="G261" s="68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30"/>
      <c r="AO261" s="25"/>
      <c r="AP261" s="120"/>
      <c r="AQ261" s="120"/>
      <c r="AR261" s="121"/>
      <c r="AS261" s="96"/>
      <c r="AT261" s="122"/>
      <c r="AU261" s="96"/>
      <c r="AV261" s="122"/>
      <c r="AW261" s="122"/>
      <c r="AX261" s="30"/>
      <c r="AY261" s="30"/>
      <c r="AZ261" s="30"/>
      <c r="BA261" s="30"/>
      <c r="BB261" s="26"/>
      <c r="BC261" s="26"/>
      <c r="BD261" s="26"/>
      <c r="BE261" s="26"/>
      <c r="BF261" s="26"/>
    </row>
    <row r="262" spans="1:58" ht="15.75" customHeight="1">
      <c r="A262" s="67"/>
      <c r="B262" s="67"/>
      <c r="C262" s="67"/>
      <c r="D262" s="68"/>
      <c r="E262" s="68"/>
      <c r="F262" s="68"/>
      <c r="G262" s="68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30"/>
      <c r="AO262" s="25"/>
      <c r="AP262" s="120"/>
      <c r="AQ262" s="120"/>
      <c r="AR262" s="121"/>
      <c r="AS262" s="96"/>
      <c r="AT262" s="122"/>
      <c r="AU262" s="96"/>
      <c r="AV262" s="122"/>
      <c r="AW262" s="122"/>
      <c r="AX262" s="30"/>
      <c r="AY262" s="30"/>
      <c r="AZ262" s="30"/>
      <c r="BA262" s="30"/>
      <c r="BB262" s="26"/>
      <c r="BC262" s="26"/>
      <c r="BD262" s="26"/>
      <c r="BE262" s="26"/>
      <c r="BF262" s="26"/>
    </row>
    <row r="263" spans="1:58" ht="15.75" customHeight="1">
      <c r="A263" s="67"/>
      <c r="B263" s="67"/>
      <c r="C263" s="67"/>
      <c r="D263" s="68"/>
      <c r="E263" s="68"/>
      <c r="F263" s="68"/>
      <c r="G263" s="68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30"/>
      <c r="AO263" s="25"/>
      <c r="AP263" s="120"/>
      <c r="AQ263" s="120"/>
      <c r="AR263" s="121"/>
      <c r="AS263" s="96"/>
      <c r="AT263" s="122"/>
      <c r="AU263" s="96"/>
      <c r="AV263" s="122"/>
      <c r="AW263" s="122"/>
      <c r="AX263" s="30"/>
      <c r="AY263" s="30"/>
      <c r="AZ263" s="30"/>
      <c r="BA263" s="30"/>
      <c r="BB263" s="26"/>
      <c r="BC263" s="26"/>
      <c r="BD263" s="26"/>
      <c r="BE263" s="26"/>
      <c r="BF263" s="26"/>
    </row>
    <row r="264" spans="1:58" ht="15.75" customHeight="1">
      <c r="A264" s="67"/>
      <c r="B264" s="67"/>
      <c r="C264" s="67"/>
      <c r="D264" s="68"/>
      <c r="E264" s="68"/>
      <c r="F264" s="68"/>
      <c r="G264" s="68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30"/>
      <c r="AO264" s="25"/>
      <c r="AP264" s="120"/>
      <c r="AQ264" s="120"/>
      <c r="AR264" s="121"/>
      <c r="AS264" s="96"/>
      <c r="AT264" s="122"/>
      <c r="AU264" s="96"/>
      <c r="AV264" s="122"/>
      <c r="AW264" s="122"/>
      <c r="AX264" s="30"/>
      <c r="AY264" s="30"/>
      <c r="AZ264" s="30"/>
      <c r="BA264" s="30"/>
      <c r="BB264" s="26"/>
      <c r="BC264" s="26"/>
      <c r="BD264" s="26"/>
      <c r="BE264" s="26"/>
      <c r="BF264" s="26"/>
    </row>
    <row r="265" spans="1:58" ht="15.75" customHeight="1">
      <c r="A265" s="67"/>
      <c r="B265" s="67"/>
      <c r="C265" s="67"/>
      <c r="D265" s="68"/>
      <c r="E265" s="68"/>
      <c r="F265" s="68"/>
      <c r="G265" s="68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30"/>
      <c r="AO265" s="25"/>
      <c r="AP265" s="120"/>
      <c r="AQ265" s="120"/>
      <c r="AR265" s="121"/>
      <c r="AS265" s="96"/>
      <c r="AT265" s="122"/>
      <c r="AU265" s="96"/>
      <c r="AV265" s="122"/>
      <c r="AW265" s="122"/>
      <c r="AX265" s="30"/>
      <c r="AY265" s="30"/>
      <c r="AZ265" s="30"/>
      <c r="BA265" s="30"/>
      <c r="BB265" s="26"/>
      <c r="BC265" s="26"/>
      <c r="BD265" s="26"/>
      <c r="BE265" s="26"/>
      <c r="BF265" s="26"/>
    </row>
    <row r="266" spans="1:58" ht="15.75" customHeight="1">
      <c r="A266" s="67"/>
      <c r="B266" s="67"/>
      <c r="C266" s="67"/>
      <c r="D266" s="68"/>
      <c r="E266" s="68"/>
      <c r="F266" s="68"/>
      <c r="G266" s="68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30"/>
      <c r="AO266" s="25"/>
      <c r="AP266" s="120"/>
      <c r="AQ266" s="120"/>
      <c r="AR266" s="121"/>
      <c r="AS266" s="96"/>
      <c r="AT266" s="122"/>
      <c r="AU266" s="96"/>
      <c r="AV266" s="122"/>
      <c r="AW266" s="122"/>
      <c r="AX266" s="30"/>
      <c r="AY266" s="30"/>
      <c r="AZ266" s="30"/>
      <c r="BA266" s="30"/>
      <c r="BB266" s="26"/>
      <c r="BC266" s="26"/>
      <c r="BD266" s="26"/>
      <c r="BE266" s="26"/>
      <c r="BF266" s="26"/>
    </row>
    <row r="267" spans="1:58" ht="15.75" customHeight="1">
      <c r="A267" s="67"/>
      <c r="B267" s="67"/>
      <c r="C267" s="67"/>
      <c r="D267" s="68"/>
      <c r="E267" s="68"/>
      <c r="F267" s="68"/>
      <c r="G267" s="68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30"/>
      <c r="AO267" s="25"/>
      <c r="AP267" s="120"/>
      <c r="AQ267" s="120"/>
      <c r="AR267" s="121"/>
      <c r="AS267" s="96"/>
      <c r="AT267" s="122"/>
      <c r="AU267" s="96"/>
      <c r="AV267" s="122"/>
      <c r="AW267" s="122"/>
      <c r="AX267" s="30"/>
      <c r="AY267" s="30"/>
      <c r="AZ267" s="30"/>
      <c r="BA267" s="30"/>
      <c r="BB267" s="26"/>
      <c r="BC267" s="26"/>
      <c r="BD267" s="26"/>
      <c r="BE267" s="26"/>
      <c r="BF267" s="26"/>
    </row>
    <row r="268" spans="1:58" ht="15.75" customHeight="1">
      <c r="A268" s="67"/>
      <c r="B268" s="67"/>
      <c r="C268" s="67"/>
      <c r="D268" s="68"/>
      <c r="E268" s="68"/>
      <c r="F268" s="68"/>
      <c r="G268" s="68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30"/>
      <c r="AO268" s="25"/>
      <c r="AP268" s="120"/>
      <c r="AQ268" s="120"/>
      <c r="AR268" s="121"/>
      <c r="AS268" s="96"/>
      <c r="AT268" s="122"/>
      <c r="AU268" s="96"/>
      <c r="AV268" s="122"/>
      <c r="AW268" s="122"/>
      <c r="AX268" s="30"/>
      <c r="AY268" s="30"/>
      <c r="AZ268" s="30"/>
      <c r="BA268" s="30"/>
      <c r="BB268" s="26"/>
      <c r="BC268" s="26"/>
      <c r="BD268" s="26"/>
      <c r="BE268" s="26"/>
      <c r="BF268" s="26"/>
    </row>
    <row r="269" spans="1:58" ht="15.75" customHeight="1">
      <c r="A269" s="67"/>
      <c r="B269" s="67"/>
      <c r="C269" s="67"/>
      <c r="D269" s="68"/>
      <c r="E269" s="68"/>
      <c r="F269" s="68"/>
      <c r="G269" s="68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30"/>
      <c r="AO269" s="25"/>
      <c r="AP269" s="120"/>
      <c r="AQ269" s="120"/>
      <c r="AR269" s="121"/>
      <c r="AS269" s="96"/>
      <c r="AT269" s="122"/>
      <c r="AU269" s="96"/>
      <c r="AV269" s="122"/>
      <c r="AW269" s="122"/>
      <c r="AX269" s="30"/>
      <c r="AY269" s="30"/>
      <c r="AZ269" s="30"/>
      <c r="BA269" s="30"/>
      <c r="BB269" s="26"/>
      <c r="BC269" s="26"/>
      <c r="BD269" s="26"/>
      <c r="BE269" s="26"/>
      <c r="BF269" s="26"/>
    </row>
    <row r="270" spans="1:58" ht="15.75" customHeight="1">
      <c r="A270" s="67"/>
      <c r="B270" s="67"/>
      <c r="C270" s="67"/>
      <c r="D270" s="68"/>
      <c r="E270" s="68"/>
      <c r="F270" s="68"/>
      <c r="G270" s="68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30"/>
      <c r="AO270" s="25"/>
      <c r="AP270" s="120"/>
      <c r="AQ270" s="120"/>
      <c r="AR270" s="121"/>
      <c r="AS270" s="96"/>
      <c r="AT270" s="122"/>
      <c r="AU270" s="96"/>
      <c r="AV270" s="122"/>
      <c r="AW270" s="122"/>
      <c r="AX270" s="30"/>
      <c r="AY270" s="30"/>
      <c r="AZ270" s="30"/>
      <c r="BA270" s="30"/>
      <c r="BB270" s="26"/>
      <c r="BC270" s="26"/>
      <c r="BD270" s="26"/>
      <c r="BE270" s="26"/>
      <c r="BF270" s="26"/>
    </row>
    <row r="271" spans="1:58" ht="15.75" customHeight="1">
      <c r="A271" s="67"/>
      <c r="B271" s="67"/>
      <c r="C271" s="67"/>
      <c r="D271" s="68"/>
      <c r="E271" s="68"/>
      <c r="F271" s="68"/>
      <c r="G271" s="68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30"/>
      <c r="AO271" s="25"/>
      <c r="AP271" s="120"/>
      <c r="AQ271" s="120"/>
      <c r="AR271" s="121"/>
      <c r="AS271" s="96"/>
      <c r="AT271" s="122"/>
      <c r="AU271" s="96"/>
      <c r="AV271" s="122"/>
      <c r="AW271" s="122"/>
      <c r="AX271" s="30"/>
      <c r="AY271" s="30"/>
      <c r="AZ271" s="30"/>
      <c r="BA271" s="30"/>
      <c r="BB271" s="26"/>
      <c r="BC271" s="26"/>
      <c r="BD271" s="26"/>
      <c r="BE271" s="26"/>
      <c r="BF271" s="26"/>
    </row>
    <row r="272" spans="1:58" ht="15.75" customHeight="1">
      <c r="A272" s="67"/>
      <c r="B272" s="67"/>
      <c r="C272" s="67"/>
      <c r="D272" s="68"/>
      <c r="E272" s="68"/>
      <c r="F272" s="68"/>
      <c r="G272" s="68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30"/>
      <c r="AO272" s="25"/>
      <c r="AP272" s="120"/>
      <c r="AQ272" s="120"/>
      <c r="AR272" s="121"/>
      <c r="AS272" s="96"/>
      <c r="AT272" s="122"/>
      <c r="AU272" s="96"/>
      <c r="AV272" s="122"/>
      <c r="AW272" s="122"/>
      <c r="AX272" s="30"/>
      <c r="AY272" s="30"/>
      <c r="AZ272" s="30"/>
      <c r="BA272" s="30"/>
      <c r="BB272" s="26"/>
      <c r="BC272" s="26"/>
      <c r="BD272" s="26"/>
      <c r="BE272" s="26"/>
      <c r="BF272" s="26"/>
    </row>
    <row r="273" spans="1:58" ht="15.75" customHeight="1">
      <c r="A273" s="67"/>
      <c r="B273" s="67"/>
      <c r="C273" s="67"/>
      <c r="D273" s="68"/>
      <c r="E273" s="68"/>
      <c r="F273" s="68"/>
      <c r="G273" s="68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30"/>
      <c r="AO273" s="25"/>
      <c r="AP273" s="120"/>
      <c r="AQ273" s="120"/>
      <c r="AR273" s="121"/>
      <c r="AS273" s="96"/>
      <c r="AT273" s="122"/>
      <c r="AU273" s="96"/>
      <c r="AV273" s="122"/>
      <c r="AW273" s="122"/>
      <c r="AX273" s="30"/>
      <c r="AY273" s="30"/>
      <c r="AZ273" s="30"/>
      <c r="BA273" s="30"/>
      <c r="BB273" s="26"/>
      <c r="BC273" s="26"/>
      <c r="BD273" s="26"/>
      <c r="BE273" s="26"/>
      <c r="BF273" s="26"/>
    </row>
    <row r="274" spans="1:58" ht="15.75" customHeight="1">
      <c r="A274" s="67"/>
      <c r="B274" s="67"/>
      <c r="C274" s="67"/>
      <c r="D274" s="68"/>
      <c r="E274" s="68"/>
      <c r="F274" s="68"/>
      <c r="G274" s="68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30"/>
      <c r="AO274" s="25"/>
      <c r="AP274" s="120"/>
      <c r="AQ274" s="120"/>
      <c r="AR274" s="121"/>
      <c r="AS274" s="96"/>
      <c r="AT274" s="122"/>
      <c r="AU274" s="96"/>
      <c r="AV274" s="122"/>
      <c r="AW274" s="122"/>
      <c r="AX274" s="30"/>
      <c r="AY274" s="30"/>
      <c r="AZ274" s="30"/>
      <c r="BA274" s="30"/>
      <c r="BB274" s="26"/>
      <c r="BC274" s="26"/>
      <c r="BD274" s="26"/>
      <c r="BE274" s="26"/>
      <c r="BF274" s="26"/>
    </row>
    <row r="275" spans="1:58" ht="15.75" customHeight="1">
      <c r="A275" s="67"/>
      <c r="B275" s="67"/>
      <c r="C275" s="67"/>
      <c r="D275" s="68"/>
      <c r="E275" s="68"/>
      <c r="F275" s="68"/>
      <c r="G275" s="68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30"/>
      <c r="AO275" s="25"/>
      <c r="AP275" s="120"/>
      <c r="AQ275" s="120"/>
      <c r="AR275" s="121"/>
      <c r="AS275" s="96"/>
      <c r="AT275" s="122"/>
      <c r="AU275" s="96"/>
      <c r="AV275" s="122"/>
      <c r="AW275" s="122"/>
      <c r="AX275" s="30"/>
      <c r="AY275" s="30"/>
      <c r="AZ275" s="30"/>
      <c r="BA275" s="30"/>
      <c r="BB275" s="26"/>
      <c r="BC275" s="26"/>
      <c r="BD275" s="26"/>
      <c r="BE275" s="26"/>
      <c r="BF275" s="26"/>
    </row>
    <row r="276" spans="1:58" ht="15.75" customHeight="1">
      <c r="A276" s="67"/>
      <c r="B276" s="67"/>
      <c r="C276" s="67"/>
      <c r="D276" s="68"/>
      <c r="E276" s="68"/>
      <c r="F276" s="68"/>
      <c r="G276" s="68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30"/>
      <c r="AO276" s="25"/>
      <c r="AP276" s="120"/>
      <c r="AQ276" s="120"/>
      <c r="AR276" s="121"/>
      <c r="AS276" s="96"/>
      <c r="AT276" s="122"/>
      <c r="AU276" s="96"/>
      <c r="AV276" s="122"/>
      <c r="AW276" s="122"/>
      <c r="AX276" s="30"/>
      <c r="AY276" s="30"/>
      <c r="AZ276" s="30"/>
      <c r="BA276" s="30"/>
      <c r="BB276" s="26"/>
      <c r="BC276" s="26"/>
      <c r="BD276" s="26"/>
      <c r="BE276" s="26"/>
      <c r="BF276" s="26"/>
    </row>
    <row r="277" spans="1:58" ht="15.75" customHeight="1">
      <c r="A277" s="67"/>
      <c r="B277" s="67"/>
      <c r="C277" s="67"/>
      <c r="D277" s="68"/>
      <c r="E277" s="68"/>
      <c r="F277" s="68"/>
      <c r="G277" s="68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30"/>
      <c r="AO277" s="25"/>
      <c r="AP277" s="120"/>
      <c r="AQ277" s="120"/>
      <c r="AR277" s="121"/>
      <c r="AS277" s="96"/>
      <c r="AT277" s="122"/>
      <c r="AU277" s="96"/>
      <c r="AV277" s="122"/>
      <c r="AW277" s="122"/>
      <c r="AX277" s="30"/>
      <c r="AY277" s="30"/>
      <c r="AZ277" s="30"/>
      <c r="BA277" s="30"/>
      <c r="BB277" s="26"/>
      <c r="BC277" s="26"/>
      <c r="BD277" s="26"/>
      <c r="BE277" s="26"/>
      <c r="BF277" s="26"/>
    </row>
    <row r="278" spans="1:58" ht="15.75" customHeight="1">
      <c r="A278" s="67"/>
      <c r="B278" s="67"/>
      <c r="C278" s="67"/>
      <c r="D278" s="68"/>
      <c r="E278" s="68"/>
      <c r="F278" s="68"/>
      <c r="G278" s="68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30"/>
      <c r="AO278" s="25"/>
      <c r="AP278" s="120"/>
      <c r="AQ278" s="120"/>
      <c r="AR278" s="121"/>
      <c r="AS278" s="96"/>
      <c r="AT278" s="122"/>
      <c r="AU278" s="96"/>
      <c r="AV278" s="122"/>
      <c r="AW278" s="122"/>
      <c r="AX278" s="30"/>
      <c r="AY278" s="30"/>
      <c r="AZ278" s="30"/>
      <c r="BA278" s="30"/>
      <c r="BB278" s="26"/>
      <c r="BC278" s="26"/>
      <c r="BD278" s="26"/>
      <c r="BE278" s="26"/>
      <c r="BF278" s="26"/>
    </row>
    <row r="279" spans="1:58" ht="15.75" customHeight="1">
      <c r="A279" s="67"/>
      <c r="B279" s="67"/>
      <c r="C279" s="67"/>
      <c r="D279" s="68"/>
      <c r="E279" s="68"/>
      <c r="F279" s="68"/>
      <c r="G279" s="68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30"/>
      <c r="AO279" s="25"/>
      <c r="AP279" s="120"/>
      <c r="AQ279" s="120"/>
      <c r="AR279" s="121"/>
      <c r="AS279" s="96"/>
      <c r="AT279" s="122"/>
      <c r="AU279" s="96"/>
      <c r="AV279" s="122"/>
      <c r="AW279" s="122"/>
      <c r="AX279" s="30"/>
      <c r="AY279" s="30"/>
      <c r="AZ279" s="30"/>
      <c r="BA279" s="30"/>
      <c r="BB279" s="26"/>
      <c r="BC279" s="26"/>
      <c r="BD279" s="26"/>
      <c r="BE279" s="26"/>
      <c r="BF279" s="26"/>
    </row>
    <row r="280" spans="1:58" ht="15.75" customHeight="1">
      <c r="A280" s="67"/>
      <c r="B280" s="67"/>
      <c r="C280" s="67"/>
      <c r="D280" s="68"/>
      <c r="E280" s="68"/>
      <c r="F280" s="68"/>
      <c r="G280" s="68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30"/>
      <c r="AO280" s="25"/>
      <c r="AP280" s="120"/>
      <c r="AQ280" s="120"/>
      <c r="AR280" s="121"/>
      <c r="AS280" s="96"/>
      <c r="AT280" s="122"/>
      <c r="AU280" s="96"/>
      <c r="AV280" s="122"/>
      <c r="AW280" s="122"/>
      <c r="AX280" s="30"/>
      <c r="AY280" s="30"/>
      <c r="AZ280" s="30"/>
      <c r="BA280" s="30"/>
      <c r="BB280" s="26"/>
      <c r="BC280" s="26"/>
      <c r="BD280" s="26"/>
      <c r="BE280" s="26"/>
      <c r="BF280" s="26"/>
    </row>
    <row r="281" spans="1:58" ht="15.75" customHeight="1">
      <c r="A281" s="67"/>
      <c r="B281" s="67"/>
      <c r="C281" s="67"/>
      <c r="D281" s="68"/>
      <c r="E281" s="68"/>
      <c r="F281" s="68"/>
      <c r="G281" s="68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30"/>
      <c r="AO281" s="25"/>
      <c r="AP281" s="120"/>
      <c r="AQ281" s="120"/>
      <c r="AR281" s="121"/>
      <c r="AS281" s="96"/>
      <c r="AT281" s="122"/>
      <c r="AU281" s="96"/>
      <c r="AV281" s="122"/>
      <c r="AW281" s="122"/>
      <c r="AX281" s="30"/>
      <c r="AY281" s="30"/>
      <c r="AZ281" s="30"/>
      <c r="BA281" s="30"/>
      <c r="BB281" s="26"/>
      <c r="BC281" s="26"/>
      <c r="BD281" s="26"/>
      <c r="BE281" s="26"/>
      <c r="BF281" s="26"/>
    </row>
    <row r="282" spans="1:58" ht="15.75" customHeight="1">
      <c r="A282" s="67"/>
      <c r="B282" s="67"/>
      <c r="C282" s="67"/>
      <c r="D282" s="68"/>
      <c r="E282" s="68"/>
      <c r="F282" s="68"/>
      <c r="G282" s="68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30"/>
      <c r="AO282" s="25"/>
      <c r="AP282" s="120"/>
      <c r="AQ282" s="120"/>
      <c r="AR282" s="121"/>
      <c r="AS282" s="96"/>
      <c r="AT282" s="122"/>
      <c r="AU282" s="96"/>
      <c r="AV282" s="122"/>
      <c r="AW282" s="122"/>
      <c r="AX282" s="30"/>
      <c r="AY282" s="30"/>
      <c r="AZ282" s="30"/>
      <c r="BA282" s="30"/>
      <c r="BB282" s="26"/>
      <c r="BC282" s="26"/>
      <c r="BD282" s="26"/>
      <c r="BE282" s="26"/>
      <c r="BF282" s="26"/>
    </row>
    <row r="283" spans="1:58" ht="15.75" customHeight="1">
      <c r="A283" s="67"/>
      <c r="B283" s="67"/>
      <c r="C283" s="67"/>
      <c r="D283" s="68"/>
      <c r="E283" s="68"/>
      <c r="F283" s="68"/>
      <c r="G283" s="68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30"/>
      <c r="AO283" s="25"/>
      <c r="AP283" s="120"/>
      <c r="AQ283" s="120"/>
      <c r="AR283" s="121"/>
      <c r="AS283" s="96"/>
      <c r="AT283" s="122"/>
      <c r="AU283" s="96"/>
      <c r="AV283" s="122"/>
      <c r="AW283" s="122"/>
      <c r="AX283" s="30"/>
      <c r="AY283" s="30"/>
      <c r="AZ283" s="30"/>
      <c r="BA283" s="30"/>
      <c r="BB283" s="26"/>
      <c r="BC283" s="26"/>
      <c r="BD283" s="26"/>
      <c r="BE283" s="26"/>
      <c r="BF283" s="26"/>
    </row>
    <row r="284" spans="1:58" ht="15.75" customHeight="1">
      <c r="A284" s="67"/>
      <c r="B284" s="67"/>
      <c r="C284" s="67"/>
      <c r="D284" s="68"/>
      <c r="E284" s="68"/>
      <c r="F284" s="68"/>
      <c r="G284" s="68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30"/>
      <c r="AO284" s="25"/>
      <c r="AP284" s="120"/>
      <c r="AQ284" s="120"/>
      <c r="AR284" s="121"/>
      <c r="AS284" s="96"/>
      <c r="AT284" s="122"/>
      <c r="AU284" s="96"/>
      <c r="AV284" s="122"/>
      <c r="AW284" s="122"/>
      <c r="AX284" s="30"/>
      <c r="AY284" s="30"/>
      <c r="AZ284" s="30"/>
      <c r="BA284" s="30"/>
      <c r="BB284" s="26"/>
      <c r="BC284" s="26"/>
      <c r="BD284" s="26"/>
      <c r="BE284" s="26"/>
      <c r="BF284" s="26"/>
    </row>
    <row r="285" spans="1:58" ht="15.75" customHeight="1">
      <c r="A285" s="67"/>
      <c r="B285" s="67"/>
      <c r="C285" s="67"/>
      <c r="D285" s="68"/>
      <c r="E285" s="68"/>
      <c r="F285" s="68"/>
      <c r="G285" s="68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30"/>
      <c r="AO285" s="25"/>
      <c r="AP285" s="120"/>
      <c r="AQ285" s="120"/>
      <c r="AR285" s="121"/>
      <c r="AS285" s="96"/>
      <c r="AT285" s="122"/>
      <c r="AU285" s="96"/>
      <c r="AV285" s="122"/>
      <c r="AW285" s="122"/>
      <c r="AX285" s="30"/>
      <c r="AY285" s="30"/>
      <c r="AZ285" s="30"/>
      <c r="BA285" s="30"/>
      <c r="BB285" s="26"/>
      <c r="BC285" s="26"/>
      <c r="BD285" s="26"/>
      <c r="BE285" s="26"/>
      <c r="BF285" s="26"/>
    </row>
    <row r="286" spans="1:58" ht="15.75" customHeight="1">
      <c r="A286" s="67"/>
      <c r="B286" s="67"/>
      <c r="C286" s="67"/>
      <c r="D286" s="68"/>
      <c r="E286" s="68"/>
      <c r="F286" s="68"/>
      <c r="G286" s="68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30"/>
      <c r="AO286" s="25"/>
      <c r="AP286" s="120"/>
      <c r="AQ286" s="120"/>
      <c r="AR286" s="121"/>
      <c r="AS286" s="96"/>
      <c r="AT286" s="122"/>
      <c r="AU286" s="96"/>
      <c r="AV286" s="122"/>
      <c r="AW286" s="122"/>
      <c r="AX286" s="30"/>
      <c r="AY286" s="30"/>
      <c r="AZ286" s="30"/>
      <c r="BA286" s="30"/>
      <c r="BB286" s="26"/>
      <c r="BC286" s="26"/>
      <c r="BD286" s="26"/>
      <c r="BE286" s="26"/>
      <c r="BF286" s="26"/>
    </row>
    <row r="287" spans="1:58" ht="15.75" customHeight="1">
      <c r="A287" s="67"/>
      <c r="B287" s="67"/>
      <c r="C287" s="67"/>
      <c r="D287" s="68"/>
      <c r="E287" s="68"/>
      <c r="F287" s="68"/>
      <c r="G287" s="68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30"/>
      <c r="AO287" s="25"/>
      <c r="AP287" s="120"/>
      <c r="AQ287" s="120"/>
      <c r="AR287" s="121"/>
      <c r="AS287" s="96"/>
      <c r="AT287" s="122"/>
      <c r="AU287" s="96"/>
      <c r="AV287" s="122"/>
      <c r="AW287" s="122"/>
      <c r="AX287" s="30"/>
      <c r="AY287" s="30"/>
      <c r="AZ287" s="30"/>
      <c r="BA287" s="30"/>
      <c r="BB287" s="26"/>
      <c r="BC287" s="26"/>
      <c r="BD287" s="26"/>
      <c r="BE287" s="26"/>
      <c r="BF287" s="26"/>
    </row>
    <row r="288" spans="1:58" ht="15.75" customHeight="1">
      <c r="A288" s="67"/>
      <c r="B288" s="67"/>
      <c r="C288" s="67"/>
      <c r="D288" s="68"/>
      <c r="E288" s="68"/>
      <c r="F288" s="68"/>
      <c r="G288" s="68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30"/>
      <c r="AO288" s="25"/>
      <c r="AP288" s="120"/>
      <c r="AQ288" s="120"/>
      <c r="AR288" s="121"/>
      <c r="AS288" s="96"/>
      <c r="AT288" s="122"/>
      <c r="AU288" s="96"/>
      <c r="AV288" s="122"/>
      <c r="AW288" s="122"/>
      <c r="AX288" s="30"/>
      <c r="AY288" s="30"/>
      <c r="AZ288" s="30"/>
      <c r="BA288" s="30"/>
      <c r="BB288" s="26"/>
      <c r="BC288" s="26"/>
      <c r="BD288" s="26"/>
      <c r="BE288" s="26"/>
      <c r="BF288" s="26"/>
    </row>
    <row r="289" spans="1:58" ht="15.75" customHeight="1">
      <c r="A289" s="67"/>
      <c r="B289" s="67"/>
      <c r="C289" s="67"/>
      <c r="D289" s="68"/>
      <c r="E289" s="68"/>
      <c r="F289" s="68"/>
      <c r="G289" s="68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30"/>
      <c r="AO289" s="25"/>
      <c r="AP289" s="120"/>
      <c r="AQ289" s="120"/>
      <c r="AR289" s="121"/>
      <c r="AS289" s="96"/>
      <c r="AT289" s="122"/>
      <c r="AU289" s="96"/>
      <c r="AV289" s="122"/>
      <c r="AW289" s="122"/>
      <c r="AX289" s="30"/>
      <c r="AY289" s="30"/>
      <c r="AZ289" s="30"/>
      <c r="BA289" s="30"/>
      <c r="BB289" s="26"/>
      <c r="BC289" s="26"/>
      <c r="BD289" s="26"/>
      <c r="BE289" s="26"/>
      <c r="BF289" s="26"/>
    </row>
    <row r="290" spans="1:58" ht="15.75" customHeight="1">
      <c r="A290" s="67"/>
      <c r="B290" s="67"/>
      <c r="C290" s="67"/>
      <c r="D290" s="68"/>
      <c r="E290" s="68"/>
      <c r="F290" s="68"/>
      <c r="G290" s="68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30"/>
      <c r="AO290" s="25"/>
      <c r="AP290" s="120"/>
      <c r="AQ290" s="120"/>
      <c r="AR290" s="121"/>
      <c r="AS290" s="96"/>
      <c r="AT290" s="122"/>
      <c r="AU290" s="96"/>
      <c r="AV290" s="122"/>
      <c r="AW290" s="122"/>
      <c r="AX290" s="30"/>
      <c r="AY290" s="30"/>
      <c r="AZ290" s="30"/>
      <c r="BA290" s="30"/>
      <c r="BB290" s="26"/>
      <c r="BC290" s="26"/>
      <c r="BD290" s="26"/>
      <c r="BE290" s="26"/>
      <c r="BF290" s="26"/>
    </row>
    <row r="291" spans="1:58" ht="15.75" customHeight="1">
      <c r="A291" s="67"/>
      <c r="B291" s="67"/>
      <c r="C291" s="67"/>
      <c r="D291" s="68"/>
      <c r="E291" s="68"/>
      <c r="F291" s="68"/>
      <c r="G291" s="68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30"/>
      <c r="AO291" s="25"/>
      <c r="AP291" s="120"/>
      <c r="AQ291" s="120"/>
      <c r="AR291" s="121"/>
      <c r="AS291" s="96"/>
      <c r="AT291" s="122"/>
      <c r="AU291" s="96"/>
      <c r="AV291" s="122"/>
      <c r="AW291" s="122"/>
      <c r="AX291" s="30"/>
      <c r="AY291" s="30"/>
      <c r="AZ291" s="30"/>
      <c r="BA291" s="30"/>
      <c r="BB291" s="26"/>
      <c r="BC291" s="26"/>
      <c r="BD291" s="26"/>
      <c r="BE291" s="26"/>
      <c r="BF291" s="26"/>
    </row>
    <row r="292" spans="1:58" ht="15.75" customHeight="1">
      <c r="A292" s="67"/>
      <c r="B292" s="67"/>
      <c r="C292" s="67"/>
      <c r="D292" s="68"/>
      <c r="E292" s="68"/>
      <c r="F292" s="68"/>
      <c r="G292" s="68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30"/>
      <c r="AO292" s="25"/>
      <c r="AP292" s="120"/>
      <c r="AQ292" s="120"/>
      <c r="AR292" s="121"/>
      <c r="AS292" s="96"/>
      <c r="AT292" s="122"/>
      <c r="AU292" s="96"/>
      <c r="AV292" s="122"/>
      <c r="AW292" s="122"/>
      <c r="AX292" s="30"/>
      <c r="AY292" s="30"/>
      <c r="AZ292" s="30"/>
      <c r="BA292" s="30"/>
      <c r="BB292" s="26"/>
      <c r="BC292" s="26"/>
      <c r="BD292" s="26"/>
      <c r="BE292" s="26"/>
      <c r="BF292" s="26"/>
    </row>
    <row r="293" spans="1:58" ht="15.75" customHeight="1">
      <c r="A293" s="67"/>
      <c r="B293" s="67"/>
      <c r="C293" s="67"/>
      <c r="D293" s="68"/>
      <c r="E293" s="68"/>
      <c r="F293" s="68"/>
      <c r="G293" s="68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30"/>
      <c r="AO293" s="25"/>
      <c r="AP293" s="120"/>
      <c r="AQ293" s="120"/>
      <c r="AR293" s="121"/>
      <c r="AS293" s="96"/>
      <c r="AT293" s="122"/>
      <c r="AU293" s="96"/>
      <c r="AV293" s="122"/>
      <c r="AW293" s="122"/>
      <c r="AX293" s="30"/>
      <c r="AY293" s="30"/>
      <c r="AZ293" s="30"/>
      <c r="BA293" s="30"/>
      <c r="BB293" s="26"/>
      <c r="BC293" s="26"/>
      <c r="BD293" s="26"/>
      <c r="BE293" s="26"/>
      <c r="BF293" s="26"/>
    </row>
    <row r="294" spans="1:58" ht="15.75" customHeight="1">
      <c r="A294" s="67"/>
      <c r="B294" s="67"/>
      <c r="C294" s="67"/>
      <c r="D294" s="68"/>
      <c r="E294" s="68"/>
      <c r="F294" s="68"/>
      <c r="G294" s="68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30"/>
      <c r="AO294" s="25"/>
      <c r="AP294" s="120"/>
      <c r="AQ294" s="120"/>
      <c r="AR294" s="121"/>
      <c r="AS294" s="96"/>
      <c r="AT294" s="122"/>
      <c r="AU294" s="96"/>
      <c r="AV294" s="122"/>
      <c r="AW294" s="122"/>
      <c r="AX294" s="30"/>
      <c r="AY294" s="30"/>
      <c r="AZ294" s="30"/>
      <c r="BA294" s="30"/>
      <c r="BB294" s="26"/>
      <c r="BC294" s="26"/>
      <c r="BD294" s="26"/>
      <c r="BE294" s="26"/>
      <c r="BF294" s="26"/>
    </row>
    <row r="295" spans="1:58" ht="15.75" customHeight="1">
      <c r="A295" s="67"/>
      <c r="B295" s="67"/>
      <c r="C295" s="67"/>
      <c r="D295" s="68"/>
      <c r="E295" s="68"/>
      <c r="F295" s="68"/>
      <c r="G295" s="68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30"/>
      <c r="AO295" s="25"/>
      <c r="AP295" s="120"/>
      <c r="AQ295" s="120"/>
      <c r="AR295" s="121"/>
      <c r="AS295" s="96"/>
      <c r="AT295" s="122"/>
      <c r="AU295" s="96"/>
      <c r="AV295" s="122"/>
      <c r="AW295" s="122"/>
      <c r="AX295" s="30"/>
      <c r="AY295" s="30"/>
      <c r="AZ295" s="30"/>
      <c r="BA295" s="30"/>
      <c r="BB295" s="26"/>
      <c r="BC295" s="26"/>
      <c r="BD295" s="26"/>
      <c r="BE295" s="26"/>
      <c r="BF295" s="26"/>
    </row>
    <row r="296" spans="1:58" ht="15.75" customHeight="1">
      <c r="A296" s="67"/>
      <c r="B296" s="67"/>
      <c r="C296" s="67"/>
      <c r="D296" s="68"/>
      <c r="E296" s="68"/>
      <c r="F296" s="68"/>
      <c r="G296" s="68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30"/>
      <c r="AO296" s="25"/>
      <c r="AP296" s="120"/>
      <c r="AQ296" s="120"/>
      <c r="AR296" s="121"/>
      <c r="AS296" s="96"/>
      <c r="AT296" s="122"/>
      <c r="AU296" s="96"/>
      <c r="AV296" s="122"/>
      <c r="AW296" s="122"/>
      <c r="AX296" s="30"/>
      <c r="AY296" s="30"/>
      <c r="AZ296" s="30"/>
      <c r="BA296" s="30"/>
      <c r="BB296" s="26"/>
      <c r="BC296" s="26"/>
      <c r="BD296" s="26"/>
      <c r="BE296" s="26"/>
      <c r="BF296" s="26"/>
    </row>
    <row r="297" spans="1:58" ht="15.75" customHeight="1">
      <c r="A297" s="67"/>
      <c r="B297" s="67"/>
      <c r="C297" s="67"/>
      <c r="D297" s="68"/>
      <c r="E297" s="68"/>
      <c r="F297" s="68"/>
      <c r="G297" s="68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30"/>
      <c r="AO297" s="25"/>
      <c r="AP297" s="120"/>
      <c r="AQ297" s="120"/>
      <c r="AR297" s="121"/>
      <c r="AS297" s="96"/>
      <c r="AT297" s="122"/>
      <c r="AU297" s="96"/>
      <c r="AV297" s="122"/>
      <c r="AW297" s="122"/>
      <c r="AX297" s="30"/>
      <c r="AY297" s="30"/>
      <c r="AZ297" s="30"/>
      <c r="BA297" s="30"/>
      <c r="BB297" s="26"/>
      <c r="BC297" s="26"/>
      <c r="BD297" s="26"/>
      <c r="BE297" s="26"/>
      <c r="BF297" s="26"/>
    </row>
    <row r="298" spans="1:58" ht="15.75" customHeight="1">
      <c r="A298" s="67"/>
      <c r="B298" s="67"/>
      <c r="C298" s="67"/>
      <c r="D298" s="68"/>
      <c r="E298" s="68"/>
      <c r="F298" s="68"/>
      <c r="G298" s="68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30"/>
      <c r="AO298" s="25"/>
      <c r="AP298" s="120"/>
      <c r="AQ298" s="120"/>
      <c r="AR298" s="121"/>
      <c r="AS298" s="96"/>
      <c r="AT298" s="122"/>
      <c r="AU298" s="96"/>
      <c r="AV298" s="122"/>
      <c r="AW298" s="122"/>
      <c r="AX298" s="30"/>
      <c r="AY298" s="30"/>
      <c r="AZ298" s="30"/>
      <c r="BA298" s="30"/>
      <c r="BB298" s="26"/>
      <c r="BC298" s="26"/>
      <c r="BD298" s="26"/>
      <c r="BE298" s="26"/>
      <c r="BF298" s="26"/>
    </row>
    <row r="299" spans="1:58" ht="15.75" customHeight="1">
      <c r="A299" s="67"/>
      <c r="B299" s="67"/>
      <c r="C299" s="67"/>
      <c r="D299" s="68"/>
      <c r="E299" s="68"/>
      <c r="F299" s="68"/>
      <c r="G299" s="68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30"/>
      <c r="AO299" s="25"/>
      <c r="AP299" s="120"/>
      <c r="AQ299" s="120"/>
      <c r="AR299" s="121"/>
      <c r="AS299" s="96"/>
      <c r="AT299" s="122"/>
      <c r="AU299" s="96"/>
      <c r="AV299" s="122"/>
      <c r="AW299" s="122"/>
      <c r="AX299" s="30"/>
      <c r="AY299" s="30"/>
      <c r="AZ299" s="30"/>
      <c r="BA299" s="30"/>
      <c r="BB299" s="26"/>
      <c r="BC299" s="26"/>
      <c r="BD299" s="26"/>
      <c r="BE299" s="26"/>
      <c r="BF299" s="26"/>
    </row>
    <row r="300" spans="1:58" ht="15.75" customHeight="1">
      <c r="A300" s="67"/>
      <c r="B300" s="67"/>
      <c r="C300" s="67"/>
      <c r="D300" s="68"/>
      <c r="E300" s="68"/>
      <c r="F300" s="68"/>
      <c r="G300" s="68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30"/>
      <c r="AO300" s="25"/>
      <c r="AP300" s="120"/>
      <c r="AQ300" s="120"/>
      <c r="AR300" s="121"/>
      <c r="AS300" s="96"/>
      <c r="AT300" s="122"/>
      <c r="AU300" s="96"/>
      <c r="AV300" s="122"/>
      <c r="AW300" s="122"/>
      <c r="AX300" s="30"/>
      <c r="AY300" s="30"/>
      <c r="AZ300" s="30"/>
      <c r="BA300" s="30"/>
      <c r="BB300" s="26"/>
      <c r="BC300" s="26"/>
      <c r="BD300" s="26"/>
      <c r="BE300" s="26"/>
      <c r="BF300" s="26"/>
    </row>
    <row r="301" spans="1:58" ht="15.75" customHeight="1">
      <c r="A301" s="67"/>
      <c r="B301" s="67"/>
      <c r="C301" s="67"/>
      <c r="D301" s="68"/>
      <c r="E301" s="68"/>
      <c r="F301" s="68"/>
      <c r="G301" s="68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30"/>
      <c r="AO301" s="25"/>
      <c r="AP301" s="120"/>
      <c r="AQ301" s="120"/>
      <c r="AR301" s="121"/>
      <c r="AS301" s="96"/>
      <c r="AT301" s="122"/>
      <c r="AU301" s="96"/>
      <c r="AV301" s="122"/>
      <c r="AW301" s="122"/>
      <c r="AX301" s="30"/>
      <c r="AY301" s="30"/>
      <c r="AZ301" s="30"/>
      <c r="BA301" s="30"/>
      <c r="BB301" s="26"/>
      <c r="BC301" s="26"/>
      <c r="BD301" s="26"/>
      <c r="BE301" s="26"/>
      <c r="BF301" s="26"/>
    </row>
    <row r="302" spans="1:58" ht="15.75" customHeight="1">
      <c r="A302" s="67"/>
      <c r="B302" s="67"/>
      <c r="C302" s="67"/>
      <c r="D302" s="68"/>
      <c r="E302" s="68"/>
      <c r="F302" s="68"/>
      <c r="G302" s="68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30"/>
      <c r="AO302" s="25"/>
      <c r="AP302" s="120"/>
      <c r="AQ302" s="120"/>
      <c r="AR302" s="121"/>
      <c r="AS302" s="96"/>
      <c r="AT302" s="122"/>
      <c r="AU302" s="96"/>
      <c r="AV302" s="122"/>
      <c r="AW302" s="122"/>
      <c r="AX302" s="30"/>
      <c r="AY302" s="30"/>
      <c r="AZ302" s="30"/>
      <c r="BA302" s="30"/>
      <c r="BB302" s="26"/>
      <c r="BC302" s="26"/>
      <c r="BD302" s="26"/>
      <c r="BE302" s="26"/>
      <c r="BF302" s="26"/>
    </row>
    <row r="303" spans="1:58" ht="15.75" customHeight="1">
      <c r="A303" s="67"/>
      <c r="B303" s="67"/>
      <c r="C303" s="67"/>
      <c r="D303" s="68"/>
      <c r="E303" s="68"/>
      <c r="F303" s="68"/>
      <c r="G303" s="68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30"/>
      <c r="AO303" s="25"/>
      <c r="AP303" s="120"/>
      <c r="AQ303" s="120"/>
      <c r="AR303" s="121"/>
      <c r="AS303" s="96"/>
      <c r="AT303" s="122"/>
      <c r="AU303" s="96"/>
      <c r="AV303" s="122"/>
      <c r="AW303" s="122"/>
      <c r="AX303" s="30"/>
      <c r="AY303" s="30"/>
      <c r="AZ303" s="30"/>
      <c r="BA303" s="30"/>
      <c r="BB303" s="26"/>
      <c r="BC303" s="26"/>
      <c r="BD303" s="26"/>
      <c r="BE303" s="26"/>
      <c r="BF303" s="26"/>
    </row>
    <row r="304" spans="1:58" ht="15.75" customHeight="1">
      <c r="A304" s="67"/>
      <c r="B304" s="67"/>
      <c r="C304" s="67"/>
      <c r="D304" s="68"/>
      <c r="E304" s="68"/>
      <c r="F304" s="68"/>
      <c r="G304" s="68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30"/>
      <c r="AO304" s="25"/>
      <c r="AP304" s="120"/>
      <c r="AQ304" s="120"/>
      <c r="AR304" s="121"/>
      <c r="AS304" s="96"/>
      <c r="AT304" s="122"/>
      <c r="AU304" s="96"/>
      <c r="AV304" s="122"/>
      <c r="AW304" s="122"/>
      <c r="AX304" s="30"/>
      <c r="AY304" s="30"/>
      <c r="AZ304" s="30"/>
      <c r="BA304" s="30"/>
      <c r="BB304" s="26"/>
      <c r="BC304" s="26"/>
      <c r="BD304" s="26"/>
      <c r="BE304" s="26"/>
      <c r="BF304" s="26"/>
    </row>
    <row r="305" spans="1:58" ht="15.75" customHeight="1">
      <c r="A305" s="67"/>
      <c r="B305" s="67"/>
      <c r="C305" s="67"/>
      <c r="D305" s="68"/>
      <c r="E305" s="68"/>
      <c r="F305" s="68"/>
      <c r="G305" s="68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30"/>
      <c r="AO305" s="25"/>
      <c r="AP305" s="120"/>
      <c r="AQ305" s="120"/>
      <c r="AR305" s="121"/>
      <c r="AS305" s="96"/>
      <c r="AT305" s="122"/>
      <c r="AU305" s="96"/>
      <c r="AV305" s="122"/>
      <c r="AW305" s="122"/>
      <c r="AX305" s="30"/>
      <c r="AY305" s="30"/>
      <c r="AZ305" s="30"/>
      <c r="BA305" s="30"/>
      <c r="BB305" s="26"/>
      <c r="BC305" s="26"/>
      <c r="BD305" s="26"/>
      <c r="BE305" s="26"/>
      <c r="BF305" s="26"/>
    </row>
    <row r="306" spans="1:58" ht="15.75" customHeight="1">
      <c r="A306" s="67"/>
      <c r="B306" s="67"/>
      <c r="C306" s="67"/>
      <c r="D306" s="68"/>
      <c r="E306" s="68"/>
      <c r="F306" s="68"/>
      <c r="G306" s="68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30"/>
      <c r="AO306" s="25"/>
      <c r="AP306" s="120"/>
      <c r="AQ306" s="120"/>
      <c r="AR306" s="121"/>
      <c r="AS306" s="96"/>
      <c r="AT306" s="122"/>
      <c r="AU306" s="96"/>
      <c r="AV306" s="122"/>
      <c r="AW306" s="122"/>
      <c r="AX306" s="30"/>
      <c r="AY306" s="30"/>
      <c r="AZ306" s="30"/>
      <c r="BA306" s="30"/>
      <c r="BB306" s="26"/>
      <c r="BC306" s="26"/>
      <c r="BD306" s="26"/>
      <c r="BE306" s="26"/>
      <c r="BF306" s="26"/>
    </row>
    <row r="307" spans="1:58" ht="15.75" customHeight="1">
      <c r="A307" s="67"/>
      <c r="B307" s="67"/>
      <c r="C307" s="67"/>
      <c r="D307" s="68"/>
      <c r="E307" s="68"/>
      <c r="F307" s="68"/>
      <c r="G307" s="68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30"/>
      <c r="AO307" s="25"/>
      <c r="AP307" s="120"/>
      <c r="AQ307" s="120"/>
      <c r="AR307" s="121"/>
      <c r="AS307" s="96"/>
      <c r="AT307" s="122"/>
      <c r="AU307" s="96"/>
      <c r="AV307" s="122"/>
      <c r="AW307" s="122"/>
      <c r="AX307" s="30"/>
      <c r="AY307" s="30"/>
      <c r="AZ307" s="30"/>
      <c r="BA307" s="30"/>
      <c r="BB307" s="26"/>
      <c r="BC307" s="26"/>
      <c r="BD307" s="26"/>
      <c r="BE307" s="26"/>
      <c r="BF307" s="26"/>
    </row>
    <row r="308" spans="1:58" ht="15.75" customHeight="1">
      <c r="A308" s="67"/>
      <c r="B308" s="67"/>
      <c r="C308" s="67"/>
      <c r="D308" s="68"/>
      <c r="E308" s="68"/>
      <c r="F308" s="68"/>
      <c r="G308" s="68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30"/>
      <c r="AO308" s="25"/>
      <c r="AP308" s="120"/>
      <c r="AQ308" s="120"/>
      <c r="AR308" s="121"/>
      <c r="AS308" s="96"/>
      <c r="AT308" s="122"/>
      <c r="AU308" s="96"/>
      <c r="AV308" s="122"/>
      <c r="AW308" s="122"/>
      <c r="AX308" s="30"/>
      <c r="AY308" s="30"/>
      <c r="AZ308" s="30"/>
      <c r="BA308" s="30"/>
      <c r="BB308" s="26"/>
      <c r="BC308" s="26"/>
      <c r="BD308" s="26"/>
      <c r="BE308" s="26"/>
      <c r="BF308" s="26"/>
    </row>
    <row r="309" spans="1:58" ht="15.75" customHeight="1">
      <c r="A309" s="67"/>
      <c r="B309" s="67"/>
      <c r="C309" s="67"/>
      <c r="D309" s="68"/>
      <c r="E309" s="68"/>
      <c r="F309" s="68"/>
      <c r="G309" s="68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30"/>
      <c r="AO309" s="25"/>
      <c r="AP309" s="120"/>
      <c r="AQ309" s="120"/>
      <c r="AR309" s="121"/>
      <c r="AS309" s="96"/>
      <c r="AT309" s="122"/>
      <c r="AU309" s="96"/>
      <c r="AV309" s="122"/>
      <c r="AW309" s="122"/>
      <c r="AX309" s="30"/>
      <c r="AY309" s="30"/>
      <c r="AZ309" s="30"/>
      <c r="BA309" s="30"/>
      <c r="BB309" s="26"/>
      <c r="BC309" s="26"/>
      <c r="BD309" s="26"/>
      <c r="BE309" s="26"/>
      <c r="BF309" s="26"/>
    </row>
    <row r="310" spans="1:58" ht="15.75" customHeight="1">
      <c r="A310" s="67"/>
      <c r="B310" s="67"/>
      <c r="C310" s="67"/>
      <c r="D310" s="68"/>
      <c r="E310" s="68"/>
      <c r="F310" s="68"/>
      <c r="G310" s="68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30"/>
      <c r="AO310" s="25"/>
      <c r="AP310" s="120"/>
      <c r="AQ310" s="120"/>
      <c r="AR310" s="121"/>
      <c r="AS310" s="96"/>
      <c r="AT310" s="122"/>
      <c r="AU310" s="96"/>
      <c r="AV310" s="122"/>
      <c r="AW310" s="122"/>
      <c r="AX310" s="30"/>
      <c r="AY310" s="30"/>
      <c r="AZ310" s="30"/>
      <c r="BA310" s="30"/>
      <c r="BB310" s="26"/>
      <c r="BC310" s="26"/>
      <c r="BD310" s="26"/>
      <c r="BE310" s="26"/>
      <c r="BF310" s="26"/>
    </row>
    <row r="311" spans="1:58" ht="15.75" customHeight="1">
      <c r="A311" s="67"/>
      <c r="B311" s="67"/>
      <c r="C311" s="67"/>
      <c r="D311" s="68"/>
      <c r="E311" s="68"/>
      <c r="F311" s="68"/>
      <c r="G311" s="68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30"/>
      <c r="AO311" s="25"/>
      <c r="AP311" s="120"/>
      <c r="AQ311" s="120"/>
      <c r="AR311" s="121"/>
      <c r="AS311" s="96"/>
      <c r="AT311" s="122"/>
      <c r="AU311" s="96"/>
      <c r="AV311" s="122"/>
      <c r="AW311" s="122"/>
      <c r="AX311" s="30"/>
      <c r="AY311" s="30"/>
      <c r="AZ311" s="30"/>
      <c r="BA311" s="30"/>
      <c r="BB311" s="26"/>
      <c r="BC311" s="26"/>
      <c r="BD311" s="26"/>
      <c r="BE311" s="26"/>
      <c r="BF311" s="26"/>
    </row>
    <row r="312" spans="1:58" ht="15.75" customHeight="1">
      <c r="A312" s="67"/>
      <c r="B312" s="67"/>
      <c r="C312" s="67"/>
      <c r="D312" s="68"/>
      <c r="E312" s="68"/>
      <c r="F312" s="68"/>
      <c r="G312" s="68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30"/>
      <c r="AO312" s="25"/>
      <c r="AP312" s="120"/>
      <c r="AQ312" s="120"/>
      <c r="AR312" s="121"/>
      <c r="AS312" s="96"/>
      <c r="AT312" s="122"/>
      <c r="AU312" s="96"/>
      <c r="AV312" s="122"/>
      <c r="AW312" s="122"/>
      <c r="AX312" s="30"/>
      <c r="AY312" s="30"/>
      <c r="AZ312" s="30"/>
      <c r="BA312" s="30"/>
      <c r="BB312" s="26"/>
      <c r="BC312" s="26"/>
      <c r="BD312" s="26"/>
      <c r="BE312" s="26"/>
      <c r="BF312" s="26"/>
    </row>
    <row r="313" spans="1:58" ht="15.75" customHeight="1">
      <c r="A313" s="67"/>
      <c r="B313" s="67"/>
      <c r="C313" s="67"/>
      <c r="D313" s="68"/>
      <c r="E313" s="68"/>
      <c r="F313" s="68"/>
      <c r="G313" s="68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30"/>
      <c r="AO313" s="25"/>
      <c r="AP313" s="120"/>
      <c r="AQ313" s="120"/>
      <c r="AR313" s="121"/>
      <c r="AS313" s="96"/>
      <c r="AT313" s="122"/>
      <c r="AU313" s="96"/>
      <c r="AV313" s="122"/>
      <c r="AW313" s="122"/>
      <c r="AX313" s="30"/>
      <c r="AY313" s="30"/>
      <c r="AZ313" s="30"/>
      <c r="BA313" s="30"/>
      <c r="BB313" s="26"/>
      <c r="BC313" s="26"/>
      <c r="BD313" s="26"/>
      <c r="BE313" s="26"/>
      <c r="BF313" s="26"/>
    </row>
    <row r="314" spans="1:58" ht="15.75" customHeight="1">
      <c r="A314" s="67"/>
      <c r="B314" s="67"/>
      <c r="C314" s="67"/>
      <c r="D314" s="68"/>
      <c r="E314" s="68"/>
      <c r="F314" s="68"/>
      <c r="G314" s="68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30"/>
      <c r="AO314" s="25"/>
      <c r="AP314" s="120"/>
      <c r="AQ314" s="120"/>
      <c r="AR314" s="121"/>
      <c r="AS314" s="96"/>
      <c r="AT314" s="122"/>
      <c r="AU314" s="96"/>
      <c r="AV314" s="122"/>
      <c r="AW314" s="122"/>
      <c r="AX314" s="30"/>
      <c r="AY314" s="30"/>
      <c r="AZ314" s="30"/>
      <c r="BA314" s="30"/>
      <c r="BB314" s="26"/>
      <c r="BC314" s="26"/>
      <c r="BD314" s="26"/>
      <c r="BE314" s="26"/>
      <c r="BF314" s="26"/>
    </row>
    <row r="315" spans="1:58" ht="15.75" customHeight="1">
      <c r="A315" s="67"/>
      <c r="B315" s="67"/>
      <c r="C315" s="67"/>
      <c r="D315" s="68"/>
      <c r="E315" s="68"/>
      <c r="F315" s="68"/>
      <c r="G315" s="68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30"/>
      <c r="AO315" s="25"/>
      <c r="AP315" s="120"/>
      <c r="AQ315" s="120"/>
      <c r="AR315" s="121"/>
      <c r="AS315" s="96"/>
      <c r="AT315" s="122"/>
      <c r="AU315" s="96"/>
      <c r="AV315" s="122"/>
      <c r="AW315" s="122"/>
      <c r="AX315" s="30"/>
      <c r="AY315" s="30"/>
      <c r="AZ315" s="30"/>
      <c r="BA315" s="30"/>
      <c r="BB315" s="26"/>
      <c r="BC315" s="26"/>
      <c r="BD315" s="26"/>
      <c r="BE315" s="26"/>
      <c r="BF315" s="26"/>
    </row>
    <row r="316" spans="1:58" ht="15.75" customHeight="1">
      <c r="A316" s="67"/>
      <c r="B316" s="67"/>
      <c r="C316" s="67"/>
      <c r="D316" s="68"/>
      <c r="E316" s="68"/>
      <c r="F316" s="68"/>
      <c r="G316" s="68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30"/>
      <c r="AO316" s="25"/>
      <c r="AP316" s="120"/>
      <c r="AQ316" s="120"/>
      <c r="AR316" s="121"/>
      <c r="AS316" s="96"/>
      <c r="AT316" s="122"/>
      <c r="AU316" s="96"/>
      <c r="AV316" s="122"/>
      <c r="AW316" s="122"/>
      <c r="AX316" s="30"/>
      <c r="AY316" s="30"/>
      <c r="AZ316" s="30"/>
      <c r="BA316" s="30"/>
      <c r="BB316" s="26"/>
      <c r="BC316" s="26"/>
      <c r="BD316" s="26"/>
      <c r="BE316" s="26"/>
      <c r="BF316" s="26"/>
    </row>
    <row r="317" spans="1:58" ht="15.75" customHeight="1">
      <c r="A317" s="67"/>
      <c r="B317" s="67"/>
      <c r="C317" s="67"/>
      <c r="D317" s="68"/>
      <c r="E317" s="68"/>
      <c r="F317" s="68"/>
      <c r="G317" s="68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30"/>
      <c r="AO317" s="25"/>
      <c r="AP317" s="120"/>
      <c r="AQ317" s="120"/>
      <c r="AR317" s="121"/>
      <c r="AS317" s="96"/>
      <c r="AT317" s="122"/>
      <c r="AU317" s="96"/>
      <c r="AV317" s="122"/>
      <c r="AW317" s="122"/>
      <c r="AX317" s="30"/>
      <c r="AY317" s="30"/>
      <c r="AZ317" s="30"/>
      <c r="BA317" s="30"/>
      <c r="BB317" s="26"/>
      <c r="BC317" s="26"/>
      <c r="BD317" s="26"/>
      <c r="BE317" s="26"/>
      <c r="BF317" s="26"/>
    </row>
    <row r="318" spans="1:58" ht="15.75" customHeight="1">
      <c r="A318" s="67"/>
      <c r="B318" s="67"/>
      <c r="C318" s="67"/>
      <c r="D318" s="68"/>
      <c r="E318" s="68"/>
      <c r="F318" s="68"/>
      <c r="G318" s="68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30"/>
      <c r="AO318" s="25"/>
      <c r="AP318" s="120"/>
      <c r="AQ318" s="120"/>
      <c r="AR318" s="121"/>
      <c r="AS318" s="96"/>
      <c r="AT318" s="122"/>
      <c r="AU318" s="96"/>
      <c r="AV318" s="122"/>
      <c r="AW318" s="122"/>
      <c r="AX318" s="30"/>
      <c r="AY318" s="30"/>
      <c r="AZ318" s="30"/>
      <c r="BA318" s="30"/>
      <c r="BB318" s="26"/>
      <c r="BC318" s="26"/>
      <c r="BD318" s="26"/>
      <c r="BE318" s="26"/>
      <c r="BF318" s="26"/>
    </row>
    <row r="319" spans="1:58" ht="15.75" customHeight="1">
      <c r="A319" s="67"/>
      <c r="B319" s="67"/>
      <c r="C319" s="67"/>
      <c r="D319" s="68"/>
      <c r="E319" s="68"/>
      <c r="F319" s="68"/>
      <c r="G319" s="68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30"/>
      <c r="AO319" s="25"/>
      <c r="AP319" s="120"/>
      <c r="AQ319" s="120"/>
      <c r="AR319" s="121"/>
      <c r="AS319" s="96"/>
      <c r="AT319" s="122"/>
      <c r="AU319" s="96"/>
      <c r="AV319" s="122"/>
      <c r="AW319" s="122"/>
      <c r="AX319" s="30"/>
      <c r="AY319" s="30"/>
      <c r="AZ319" s="30"/>
      <c r="BA319" s="30"/>
      <c r="BB319" s="26"/>
      <c r="BC319" s="26"/>
      <c r="BD319" s="26"/>
      <c r="BE319" s="26"/>
      <c r="BF319" s="26"/>
    </row>
    <row r="320" spans="1:58" ht="15.75" customHeight="1">
      <c r="A320" s="67"/>
      <c r="B320" s="67"/>
      <c r="C320" s="67"/>
      <c r="D320" s="68"/>
      <c r="E320" s="68"/>
      <c r="F320" s="68"/>
      <c r="G320" s="68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30"/>
      <c r="AO320" s="25"/>
      <c r="AP320" s="120"/>
      <c r="AQ320" s="120"/>
      <c r="AR320" s="121"/>
      <c r="AS320" s="96"/>
      <c r="AT320" s="122"/>
      <c r="AU320" s="96"/>
      <c r="AV320" s="122"/>
      <c r="AW320" s="122"/>
      <c r="AX320" s="30"/>
      <c r="AY320" s="30"/>
      <c r="AZ320" s="30"/>
      <c r="BA320" s="30"/>
      <c r="BB320" s="26"/>
      <c r="BC320" s="26"/>
      <c r="BD320" s="26"/>
      <c r="BE320" s="26"/>
      <c r="BF320" s="26"/>
    </row>
    <row r="321" spans="1:58" ht="15.75" customHeight="1">
      <c r="A321" s="67"/>
      <c r="B321" s="67"/>
      <c r="C321" s="67"/>
      <c r="D321" s="68"/>
      <c r="E321" s="68"/>
      <c r="F321" s="68"/>
      <c r="G321" s="68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30"/>
      <c r="AO321" s="25"/>
      <c r="AP321" s="120"/>
      <c r="AQ321" s="120"/>
      <c r="AR321" s="121"/>
      <c r="AS321" s="96"/>
      <c r="AT321" s="122"/>
      <c r="AU321" s="96"/>
      <c r="AV321" s="122"/>
      <c r="AW321" s="122"/>
      <c r="AX321" s="30"/>
      <c r="AY321" s="30"/>
      <c r="AZ321" s="30"/>
      <c r="BA321" s="30"/>
      <c r="BB321" s="26"/>
      <c r="BC321" s="26"/>
      <c r="BD321" s="26"/>
      <c r="BE321" s="26"/>
      <c r="BF321" s="26"/>
    </row>
    <row r="322" spans="1:58" ht="15.75" customHeight="1">
      <c r="A322" s="67"/>
      <c r="B322" s="67"/>
      <c r="C322" s="67"/>
      <c r="D322" s="68"/>
      <c r="E322" s="68"/>
      <c r="F322" s="68"/>
      <c r="G322" s="68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30"/>
      <c r="AO322" s="25"/>
      <c r="AP322" s="120"/>
      <c r="AQ322" s="120"/>
      <c r="AR322" s="121"/>
      <c r="AS322" s="96"/>
      <c r="AT322" s="122"/>
      <c r="AU322" s="96"/>
      <c r="AV322" s="122"/>
      <c r="AW322" s="122"/>
      <c r="AX322" s="30"/>
      <c r="AY322" s="30"/>
      <c r="AZ322" s="30"/>
      <c r="BA322" s="30"/>
      <c r="BB322" s="26"/>
      <c r="BC322" s="26"/>
      <c r="BD322" s="26"/>
      <c r="BE322" s="26"/>
      <c r="BF322" s="26"/>
    </row>
    <row r="323" spans="1:58" ht="15.75" customHeight="1">
      <c r="A323" s="67"/>
      <c r="B323" s="67"/>
      <c r="C323" s="67"/>
      <c r="D323" s="68"/>
      <c r="E323" s="68"/>
      <c r="F323" s="68"/>
      <c r="G323" s="68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30"/>
      <c r="AO323" s="25"/>
      <c r="AP323" s="120"/>
      <c r="AQ323" s="120"/>
      <c r="AR323" s="121"/>
      <c r="AS323" s="96"/>
      <c r="AT323" s="122"/>
      <c r="AU323" s="96"/>
      <c r="AV323" s="122"/>
      <c r="AW323" s="122"/>
      <c r="AX323" s="30"/>
      <c r="AY323" s="30"/>
      <c r="AZ323" s="30"/>
      <c r="BA323" s="30"/>
      <c r="BB323" s="26"/>
      <c r="BC323" s="26"/>
      <c r="BD323" s="26"/>
      <c r="BE323" s="26"/>
      <c r="BF323" s="26"/>
    </row>
    <row r="324" spans="1:58" ht="15.75" customHeight="1">
      <c r="A324" s="67"/>
      <c r="B324" s="67"/>
      <c r="C324" s="67"/>
      <c r="D324" s="68"/>
      <c r="E324" s="68"/>
      <c r="F324" s="68"/>
      <c r="G324" s="68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30"/>
      <c r="AO324" s="25"/>
      <c r="AP324" s="120"/>
      <c r="AQ324" s="120"/>
      <c r="AR324" s="121"/>
      <c r="AS324" s="96"/>
      <c r="AT324" s="122"/>
      <c r="AU324" s="96"/>
      <c r="AV324" s="122"/>
      <c r="AW324" s="122"/>
      <c r="AX324" s="30"/>
      <c r="AY324" s="30"/>
      <c r="AZ324" s="30"/>
      <c r="BA324" s="30"/>
      <c r="BB324" s="26"/>
      <c r="BC324" s="26"/>
      <c r="BD324" s="26"/>
      <c r="BE324" s="26"/>
      <c r="BF324" s="26"/>
    </row>
    <row r="325" spans="1:58" ht="15.75" customHeight="1">
      <c r="A325" s="67"/>
      <c r="B325" s="67"/>
      <c r="C325" s="67"/>
      <c r="D325" s="68"/>
      <c r="E325" s="68"/>
      <c r="F325" s="68"/>
      <c r="G325" s="68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30"/>
      <c r="AO325" s="25"/>
      <c r="AP325" s="120"/>
      <c r="AQ325" s="120"/>
      <c r="AR325" s="121"/>
      <c r="AS325" s="96"/>
      <c r="AT325" s="122"/>
      <c r="AU325" s="96"/>
      <c r="AV325" s="122"/>
      <c r="AW325" s="122"/>
      <c r="AX325" s="30"/>
      <c r="AY325" s="30"/>
      <c r="AZ325" s="30"/>
      <c r="BA325" s="30"/>
      <c r="BB325" s="26"/>
      <c r="BC325" s="26"/>
      <c r="BD325" s="26"/>
      <c r="BE325" s="26"/>
      <c r="BF325" s="26"/>
    </row>
    <row r="326" spans="1:58" ht="15.75" customHeight="1">
      <c r="A326" s="67"/>
      <c r="B326" s="67"/>
      <c r="C326" s="67"/>
      <c r="D326" s="68"/>
      <c r="E326" s="68"/>
      <c r="F326" s="68"/>
      <c r="G326" s="68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30"/>
      <c r="AO326" s="25"/>
      <c r="AP326" s="120"/>
      <c r="AQ326" s="120"/>
      <c r="AR326" s="121"/>
      <c r="AS326" s="96"/>
      <c r="AT326" s="122"/>
      <c r="AU326" s="96"/>
      <c r="AV326" s="122"/>
      <c r="AW326" s="122"/>
      <c r="AX326" s="30"/>
      <c r="AY326" s="30"/>
      <c r="AZ326" s="30"/>
      <c r="BA326" s="30"/>
      <c r="BB326" s="26"/>
      <c r="BC326" s="26"/>
      <c r="BD326" s="26"/>
      <c r="BE326" s="26"/>
      <c r="BF326" s="26"/>
    </row>
    <row r="327" spans="1:58" ht="15.75" customHeight="1">
      <c r="A327" s="67"/>
      <c r="B327" s="67"/>
      <c r="C327" s="67"/>
      <c r="D327" s="68"/>
      <c r="E327" s="68"/>
      <c r="F327" s="68"/>
      <c r="G327" s="68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30"/>
      <c r="AO327" s="25"/>
      <c r="AP327" s="120"/>
      <c r="AQ327" s="120"/>
      <c r="AR327" s="121"/>
      <c r="AS327" s="96"/>
      <c r="AT327" s="122"/>
      <c r="AU327" s="96"/>
      <c r="AV327" s="122"/>
      <c r="AW327" s="122"/>
      <c r="AX327" s="30"/>
      <c r="AY327" s="30"/>
      <c r="AZ327" s="30"/>
      <c r="BA327" s="30"/>
      <c r="BB327" s="26"/>
      <c r="BC327" s="26"/>
      <c r="BD327" s="26"/>
      <c r="BE327" s="26"/>
      <c r="BF327" s="26"/>
    </row>
    <row r="328" spans="1:58" ht="15.75" customHeight="1">
      <c r="A328" s="67"/>
      <c r="B328" s="67"/>
      <c r="C328" s="67"/>
      <c r="D328" s="68"/>
      <c r="E328" s="68"/>
      <c r="F328" s="68"/>
      <c r="G328" s="68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30"/>
      <c r="AO328" s="25"/>
      <c r="AP328" s="120"/>
      <c r="AQ328" s="120"/>
      <c r="AR328" s="121"/>
      <c r="AS328" s="96"/>
      <c r="AT328" s="122"/>
      <c r="AU328" s="96"/>
      <c r="AV328" s="122"/>
      <c r="AW328" s="122"/>
      <c r="AX328" s="30"/>
      <c r="AY328" s="30"/>
      <c r="AZ328" s="30"/>
      <c r="BA328" s="30"/>
      <c r="BB328" s="26"/>
      <c r="BC328" s="26"/>
      <c r="BD328" s="26"/>
      <c r="BE328" s="26"/>
      <c r="BF328" s="26"/>
    </row>
    <row r="329" spans="1:58" ht="15.75" customHeight="1">
      <c r="A329" s="67"/>
      <c r="B329" s="67"/>
      <c r="C329" s="67"/>
      <c r="D329" s="68"/>
      <c r="E329" s="68"/>
      <c r="F329" s="68"/>
      <c r="G329" s="68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30"/>
      <c r="AO329" s="25"/>
      <c r="AP329" s="120"/>
      <c r="AQ329" s="120"/>
      <c r="AR329" s="121"/>
      <c r="AS329" s="96"/>
      <c r="AT329" s="122"/>
      <c r="AU329" s="96"/>
      <c r="AV329" s="122"/>
      <c r="AW329" s="122"/>
      <c r="AX329" s="30"/>
      <c r="AY329" s="30"/>
      <c r="AZ329" s="30"/>
      <c r="BA329" s="30"/>
      <c r="BB329" s="26"/>
      <c r="BC329" s="26"/>
      <c r="BD329" s="26"/>
      <c r="BE329" s="26"/>
      <c r="BF329" s="26"/>
    </row>
    <row r="330" spans="1:58" ht="15.75" customHeight="1">
      <c r="A330" s="67"/>
      <c r="B330" s="67"/>
      <c r="C330" s="67"/>
      <c r="D330" s="68"/>
      <c r="E330" s="68"/>
      <c r="F330" s="68"/>
      <c r="G330" s="68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30"/>
      <c r="AO330" s="25"/>
      <c r="AP330" s="120"/>
      <c r="AQ330" s="120"/>
      <c r="AR330" s="121"/>
      <c r="AS330" s="96"/>
      <c r="AT330" s="122"/>
      <c r="AU330" s="96"/>
      <c r="AV330" s="122"/>
      <c r="AW330" s="122"/>
      <c r="AX330" s="30"/>
      <c r="AY330" s="30"/>
      <c r="AZ330" s="30"/>
      <c r="BA330" s="30"/>
      <c r="BB330" s="26"/>
      <c r="BC330" s="26"/>
      <c r="BD330" s="26"/>
      <c r="BE330" s="26"/>
      <c r="BF330" s="26"/>
    </row>
    <row r="331" spans="1:58" ht="15.75" customHeight="1">
      <c r="A331" s="67"/>
      <c r="B331" s="67"/>
      <c r="C331" s="67"/>
      <c r="D331" s="68"/>
      <c r="E331" s="68"/>
      <c r="F331" s="68"/>
      <c r="G331" s="68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30"/>
      <c r="AO331" s="25"/>
      <c r="AP331" s="120"/>
      <c r="AQ331" s="120"/>
      <c r="AR331" s="121"/>
      <c r="AS331" s="96"/>
      <c r="AT331" s="122"/>
      <c r="AU331" s="96"/>
      <c r="AV331" s="122"/>
      <c r="AW331" s="122"/>
      <c r="AX331" s="30"/>
      <c r="AY331" s="30"/>
      <c r="AZ331" s="30"/>
      <c r="BA331" s="30"/>
      <c r="BB331" s="26"/>
      <c r="BC331" s="26"/>
      <c r="BD331" s="26"/>
      <c r="BE331" s="26"/>
      <c r="BF331" s="26"/>
    </row>
    <row r="332" spans="1:58" ht="15.75" customHeight="1">
      <c r="A332" s="67"/>
      <c r="B332" s="67"/>
      <c r="C332" s="67"/>
      <c r="D332" s="68"/>
      <c r="E332" s="68"/>
      <c r="F332" s="68"/>
      <c r="G332" s="68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30"/>
      <c r="AO332" s="25"/>
      <c r="AP332" s="120"/>
      <c r="AQ332" s="120"/>
      <c r="AR332" s="121"/>
      <c r="AS332" s="96"/>
      <c r="AT332" s="122"/>
      <c r="AU332" s="96"/>
      <c r="AV332" s="122"/>
      <c r="AW332" s="122"/>
      <c r="AX332" s="30"/>
      <c r="AY332" s="30"/>
      <c r="AZ332" s="30"/>
      <c r="BA332" s="30"/>
      <c r="BB332" s="26"/>
      <c r="BC332" s="26"/>
      <c r="BD332" s="26"/>
      <c r="BE332" s="26"/>
      <c r="BF332" s="26"/>
    </row>
    <row r="333" spans="1:58" ht="15.75" customHeight="1">
      <c r="A333" s="67"/>
      <c r="B333" s="67"/>
      <c r="C333" s="67"/>
      <c r="D333" s="68"/>
      <c r="E333" s="68"/>
      <c r="F333" s="68"/>
      <c r="G333" s="68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30"/>
      <c r="AO333" s="25"/>
      <c r="AP333" s="120"/>
      <c r="AQ333" s="120"/>
      <c r="AR333" s="121"/>
      <c r="AS333" s="96"/>
      <c r="AT333" s="122"/>
      <c r="AU333" s="96"/>
      <c r="AV333" s="122"/>
      <c r="AW333" s="122"/>
      <c r="AX333" s="30"/>
      <c r="AY333" s="30"/>
      <c r="AZ333" s="30"/>
      <c r="BA333" s="30"/>
      <c r="BB333" s="26"/>
      <c r="BC333" s="26"/>
      <c r="BD333" s="26"/>
      <c r="BE333" s="26"/>
      <c r="BF333" s="26"/>
    </row>
    <row r="334" spans="1:58" ht="15.75" customHeight="1">
      <c r="A334" s="67"/>
      <c r="B334" s="67"/>
      <c r="C334" s="67"/>
      <c r="D334" s="68"/>
      <c r="E334" s="68"/>
      <c r="F334" s="68"/>
      <c r="G334" s="68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30"/>
      <c r="AO334" s="25"/>
      <c r="AP334" s="120"/>
      <c r="AQ334" s="120"/>
      <c r="AR334" s="121"/>
      <c r="AS334" s="96"/>
      <c r="AT334" s="122"/>
      <c r="AU334" s="96"/>
      <c r="AV334" s="122"/>
      <c r="AW334" s="122"/>
      <c r="AX334" s="30"/>
      <c r="AY334" s="30"/>
      <c r="AZ334" s="30"/>
      <c r="BA334" s="30"/>
      <c r="BB334" s="26"/>
      <c r="BC334" s="26"/>
      <c r="BD334" s="26"/>
      <c r="BE334" s="26"/>
      <c r="BF334" s="26"/>
    </row>
    <row r="335" spans="1:58" ht="15.75" customHeight="1">
      <c r="A335" s="67"/>
      <c r="B335" s="67"/>
      <c r="C335" s="67"/>
      <c r="D335" s="68"/>
      <c r="E335" s="68"/>
      <c r="F335" s="68"/>
      <c r="G335" s="68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30"/>
      <c r="AO335" s="25"/>
      <c r="AP335" s="120"/>
      <c r="AQ335" s="120"/>
      <c r="AR335" s="121"/>
      <c r="AS335" s="96"/>
      <c r="AT335" s="122"/>
      <c r="AU335" s="96"/>
      <c r="AV335" s="122"/>
      <c r="AW335" s="122"/>
      <c r="AX335" s="30"/>
      <c r="AY335" s="30"/>
      <c r="AZ335" s="30"/>
      <c r="BA335" s="30"/>
      <c r="BB335" s="26"/>
      <c r="BC335" s="26"/>
      <c r="BD335" s="26"/>
      <c r="BE335" s="26"/>
      <c r="BF335" s="26"/>
    </row>
    <row r="336" spans="1:58" ht="15.75" customHeight="1">
      <c r="A336" s="67"/>
      <c r="B336" s="67"/>
      <c r="C336" s="67"/>
      <c r="D336" s="68"/>
      <c r="E336" s="68"/>
      <c r="F336" s="68"/>
      <c r="G336" s="68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30"/>
      <c r="AO336" s="25"/>
      <c r="AP336" s="120"/>
      <c r="AQ336" s="120"/>
      <c r="AR336" s="121"/>
      <c r="AS336" s="96"/>
      <c r="AT336" s="122"/>
      <c r="AU336" s="96"/>
      <c r="AV336" s="122"/>
      <c r="AW336" s="122"/>
      <c r="AX336" s="30"/>
      <c r="AY336" s="30"/>
      <c r="AZ336" s="30"/>
      <c r="BA336" s="30"/>
      <c r="BB336" s="26"/>
      <c r="BC336" s="26"/>
      <c r="BD336" s="26"/>
      <c r="BE336" s="26"/>
      <c r="BF336" s="26"/>
    </row>
    <row r="337" spans="1:58" ht="15.75" customHeight="1">
      <c r="A337" s="67"/>
      <c r="B337" s="67"/>
      <c r="C337" s="67"/>
      <c r="D337" s="68"/>
      <c r="E337" s="68"/>
      <c r="F337" s="68"/>
      <c r="G337" s="68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30"/>
      <c r="AO337" s="25"/>
      <c r="AP337" s="120"/>
      <c r="AQ337" s="120"/>
      <c r="AR337" s="121"/>
      <c r="AS337" s="96"/>
      <c r="AT337" s="122"/>
      <c r="AU337" s="96"/>
      <c r="AV337" s="122"/>
      <c r="AW337" s="122"/>
      <c r="AX337" s="30"/>
      <c r="AY337" s="30"/>
      <c r="AZ337" s="30"/>
      <c r="BA337" s="30"/>
      <c r="BB337" s="26"/>
      <c r="BC337" s="26"/>
      <c r="BD337" s="26"/>
      <c r="BE337" s="26"/>
      <c r="BF337" s="26"/>
    </row>
    <row r="338" spans="1:58" ht="15.75" customHeight="1">
      <c r="A338" s="67"/>
      <c r="B338" s="67"/>
      <c r="C338" s="67"/>
      <c r="D338" s="68"/>
      <c r="E338" s="68"/>
      <c r="F338" s="68"/>
      <c r="G338" s="68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30"/>
      <c r="AO338" s="25"/>
      <c r="AP338" s="120"/>
      <c r="AQ338" s="120"/>
      <c r="AR338" s="121"/>
      <c r="AS338" s="96"/>
      <c r="AT338" s="122"/>
      <c r="AU338" s="96"/>
      <c r="AV338" s="122"/>
      <c r="AW338" s="122"/>
      <c r="AX338" s="30"/>
      <c r="AY338" s="30"/>
      <c r="AZ338" s="30"/>
      <c r="BA338" s="30"/>
      <c r="BB338" s="26"/>
      <c r="BC338" s="26"/>
      <c r="BD338" s="26"/>
      <c r="BE338" s="26"/>
      <c r="BF338" s="26"/>
    </row>
    <row r="339" spans="1:58" ht="15.75" customHeight="1">
      <c r="A339" s="67"/>
      <c r="B339" s="67"/>
      <c r="C339" s="67"/>
      <c r="D339" s="68"/>
      <c r="E339" s="68"/>
      <c r="F339" s="68"/>
      <c r="G339" s="68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30"/>
      <c r="AO339" s="25"/>
      <c r="AP339" s="120"/>
      <c r="AQ339" s="120"/>
      <c r="AR339" s="121"/>
      <c r="AS339" s="96"/>
      <c r="AT339" s="122"/>
      <c r="AU339" s="96"/>
      <c r="AV339" s="122"/>
      <c r="AW339" s="122"/>
      <c r="AX339" s="30"/>
      <c r="AY339" s="30"/>
      <c r="AZ339" s="30"/>
      <c r="BA339" s="30"/>
      <c r="BB339" s="26"/>
      <c r="BC339" s="26"/>
      <c r="BD339" s="26"/>
      <c r="BE339" s="26"/>
      <c r="BF339" s="26"/>
    </row>
    <row r="340" spans="1:58" ht="15.75" customHeight="1">
      <c r="A340" s="67"/>
      <c r="B340" s="67"/>
      <c r="C340" s="67"/>
      <c r="D340" s="68"/>
      <c r="E340" s="68"/>
      <c r="F340" s="68"/>
      <c r="G340" s="68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30"/>
      <c r="AO340" s="25"/>
      <c r="AP340" s="120"/>
      <c r="AQ340" s="120"/>
      <c r="AR340" s="121"/>
      <c r="AS340" s="96"/>
      <c r="AT340" s="122"/>
      <c r="AU340" s="96"/>
      <c r="AV340" s="122"/>
      <c r="AW340" s="122"/>
      <c r="AX340" s="30"/>
      <c r="AY340" s="30"/>
      <c r="AZ340" s="30"/>
      <c r="BA340" s="30"/>
      <c r="BB340" s="26"/>
      <c r="BC340" s="26"/>
      <c r="BD340" s="26"/>
      <c r="BE340" s="26"/>
      <c r="BF340" s="26"/>
    </row>
    <row r="341" spans="1:58" ht="15.75" customHeight="1">
      <c r="A341" s="67"/>
      <c r="B341" s="67"/>
      <c r="C341" s="67"/>
      <c r="D341" s="68"/>
      <c r="E341" s="68"/>
      <c r="F341" s="68"/>
      <c r="G341" s="68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30"/>
      <c r="AO341" s="25"/>
      <c r="AP341" s="120"/>
      <c r="AQ341" s="120"/>
      <c r="AR341" s="121"/>
      <c r="AS341" s="96"/>
      <c r="AT341" s="122"/>
      <c r="AU341" s="96"/>
      <c r="AV341" s="122"/>
      <c r="AW341" s="122"/>
      <c r="AX341" s="30"/>
      <c r="AY341" s="30"/>
      <c r="AZ341" s="30"/>
      <c r="BA341" s="30"/>
      <c r="BB341" s="26"/>
      <c r="BC341" s="26"/>
      <c r="BD341" s="26"/>
      <c r="BE341" s="26"/>
      <c r="BF341" s="26"/>
    </row>
    <row r="342" spans="1:58" ht="15.75" customHeight="1">
      <c r="A342" s="67"/>
      <c r="B342" s="67"/>
      <c r="C342" s="67"/>
      <c r="D342" s="68"/>
      <c r="E342" s="68"/>
      <c r="F342" s="68"/>
      <c r="G342" s="68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30"/>
      <c r="AO342" s="25"/>
      <c r="AP342" s="120"/>
      <c r="AQ342" s="120"/>
      <c r="AR342" s="121"/>
      <c r="AS342" s="96"/>
      <c r="AT342" s="122"/>
      <c r="AU342" s="96"/>
      <c r="AV342" s="122"/>
      <c r="AW342" s="122"/>
      <c r="AX342" s="30"/>
      <c r="AY342" s="30"/>
      <c r="AZ342" s="30"/>
      <c r="BA342" s="30"/>
      <c r="BB342" s="26"/>
      <c r="BC342" s="26"/>
      <c r="BD342" s="26"/>
      <c r="BE342" s="26"/>
      <c r="BF342" s="26"/>
    </row>
    <row r="343" spans="1:58" ht="15.75" customHeight="1">
      <c r="A343" s="67"/>
      <c r="B343" s="67"/>
      <c r="C343" s="67"/>
      <c r="D343" s="68"/>
      <c r="E343" s="68"/>
      <c r="F343" s="68"/>
      <c r="G343" s="68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30"/>
      <c r="AO343" s="25"/>
      <c r="AP343" s="120"/>
      <c r="AQ343" s="120"/>
      <c r="AR343" s="121"/>
      <c r="AS343" s="96"/>
      <c r="AT343" s="122"/>
      <c r="AU343" s="96"/>
      <c r="AV343" s="122"/>
      <c r="AW343" s="122"/>
      <c r="AX343" s="30"/>
      <c r="AY343" s="30"/>
      <c r="AZ343" s="30"/>
      <c r="BA343" s="30"/>
      <c r="BB343" s="26"/>
      <c r="BC343" s="26"/>
      <c r="BD343" s="26"/>
      <c r="BE343" s="26"/>
      <c r="BF343" s="26"/>
    </row>
    <row r="344" spans="1:58" ht="15.75" customHeight="1">
      <c r="A344" s="67"/>
      <c r="B344" s="67"/>
      <c r="C344" s="67"/>
      <c r="D344" s="68"/>
      <c r="E344" s="68"/>
      <c r="F344" s="68"/>
      <c r="G344" s="68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30"/>
      <c r="AO344" s="25"/>
      <c r="AP344" s="120"/>
      <c r="AQ344" s="120"/>
      <c r="AR344" s="121"/>
      <c r="AS344" s="96"/>
      <c r="AT344" s="122"/>
      <c r="AU344" s="96"/>
      <c r="AV344" s="122"/>
      <c r="AW344" s="122"/>
      <c r="AX344" s="30"/>
      <c r="AY344" s="30"/>
      <c r="AZ344" s="30"/>
      <c r="BA344" s="30"/>
      <c r="BB344" s="26"/>
      <c r="BC344" s="26"/>
      <c r="BD344" s="26"/>
      <c r="BE344" s="26"/>
      <c r="BF344" s="26"/>
    </row>
    <row r="345" spans="1:58" ht="15.75" customHeight="1">
      <c r="A345" s="67"/>
      <c r="B345" s="67"/>
      <c r="C345" s="67"/>
      <c r="D345" s="68"/>
      <c r="E345" s="68"/>
      <c r="F345" s="68"/>
      <c r="G345" s="68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30"/>
      <c r="AO345" s="25"/>
      <c r="AP345" s="120"/>
      <c r="AQ345" s="120"/>
      <c r="AR345" s="121"/>
      <c r="AS345" s="96"/>
      <c r="AT345" s="122"/>
      <c r="AU345" s="96"/>
      <c r="AV345" s="122"/>
      <c r="AW345" s="122"/>
      <c r="AX345" s="30"/>
      <c r="AY345" s="30"/>
      <c r="AZ345" s="30"/>
      <c r="BA345" s="30"/>
      <c r="BB345" s="26"/>
      <c r="BC345" s="26"/>
      <c r="BD345" s="26"/>
      <c r="BE345" s="26"/>
      <c r="BF345" s="26"/>
    </row>
    <row r="346" spans="1:58" ht="15.75" customHeight="1">
      <c r="A346" s="67"/>
      <c r="B346" s="67"/>
      <c r="C346" s="67"/>
      <c r="D346" s="68"/>
      <c r="E346" s="68"/>
      <c r="F346" s="68"/>
      <c r="G346" s="68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30"/>
      <c r="AO346" s="25"/>
      <c r="AP346" s="120"/>
      <c r="AQ346" s="120"/>
      <c r="AR346" s="121"/>
      <c r="AS346" s="96"/>
      <c r="AT346" s="122"/>
      <c r="AU346" s="96"/>
      <c r="AV346" s="122"/>
      <c r="AW346" s="122"/>
      <c r="AX346" s="30"/>
      <c r="AY346" s="30"/>
      <c r="AZ346" s="30"/>
      <c r="BA346" s="30"/>
      <c r="BB346" s="26"/>
      <c r="BC346" s="26"/>
      <c r="BD346" s="26"/>
      <c r="BE346" s="26"/>
      <c r="BF346" s="26"/>
    </row>
    <row r="347" spans="1:58" ht="15.75" customHeight="1">
      <c r="A347" s="67"/>
      <c r="B347" s="67"/>
      <c r="C347" s="67"/>
      <c r="D347" s="68"/>
      <c r="E347" s="68"/>
      <c r="F347" s="68"/>
      <c r="G347" s="68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30"/>
      <c r="AO347" s="25"/>
      <c r="AP347" s="120"/>
      <c r="AQ347" s="120"/>
      <c r="AR347" s="121"/>
      <c r="AS347" s="96"/>
      <c r="AT347" s="122"/>
      <c r="AU347" s="96"/>
      <c r="AV347" s="122"/>
      <c r="AW347" s="122"/>
      <c r="AX347" s="30"/>
      <c r="AY347" s="30"/>
      <c r="AZ347" s="30"/>
      <c r="BA347" s="30"/>
      <c r="BB347" s="26"/>
      <c r="BC347" s="26"/>
      <c r="BD347" s="26"/>
      <c r="BE347" s="26"/>
      <c r="BF347" s="26"/>
    </row>
    <row r="348" spans="1:58" ht="15.75" customHeight="1">
      <c r="A348" s="67"/>
      <c r="B348" s="67"/>
      <c r="C348" s="67"/>
      <c r="D348" s="68"/>
      <c r="E348" s="68"/>
      <c r="F348" s="68"/>
      <c r="G348" s="68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30"/>
      <c r="AO348" s="25"/>
      <c r="AP348" s="120"/>
      <c r="AQ348" s="120"/>
      <c r="AR348" s="121"/>
      <c r="AS348" s="96"/>
      <c r="AT348" s="122"/>
      <c r="AU348" s="96"/>
      <c r="AV348" s="122"/>
      <c r="AW348" s="122"/>
      <c r="AX348" s="30"/>
      <c r="AY348" s="30"/>
      <c r="AZ348" s="30"/>
      <c r="BA348" s="30"/>
      <c r="BB348" s="26"/>
      <c r="BC348" s="26"/>
      <c r="BD348" s="26"/>
      <c r="BE348" s="26"/>
      <c r="BF348" s="26"/>
    </row>
    <row r="349" spans="1:58" ht="15.75" customHeight="1">
      <c r="A349" s="67"/>
      <c r="B349" s="67"/>
      <c r="C349" s="67"/>
      <c r="D349" s="68"/>
      <c r="E349" s="68"/>
      <c r="F349" s="68"/>
      <c r="G349" s="68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30"/>
      <c r="AO349" s="25"/>
      <c r="AP349" s="120"/>
      <c r="AQ349" s="120"/>
      <c r="AR349" s="121"/>
      <c r="AS349" s="96"/>
      <c r="AT349" s="122"/>
      <c r="AU349" s="96"/>
      <c r="AV349" s="122"/>
      <c r="AW349" s="122"/>
      <c r="AX349" s="30"/>
      <c r="AY349" s="30"/>
      <c r="AZ349" s="30"/>
      <c r="BA349" s="30"/>
      <c r="BB349" s="26"/>
      <c r="BC349" s="26"/>
      <c r="BD349" s="26"/>
      <c r="BE349" s="26"/>
      <c r="BF349" s="26"/>
    </row>
    <row r="350" spans="1:58" ht="15.75" customHeight="1">
      <c r="A350" s="67"/>
      <c r="B350" s="67"/>
      <c r="C350" s="67"/>
      <c r="D350" s="68"/>
      <c r="E350" s="68"/>
      <c r="F350" s="68"/>
      <c r="G350" s="68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30"/>
      <c r="AO350" s="25"/>
      <c r="AP350" s="120"/>
      <c r="AQ350" s="120"/>
      <c r="AR350" s="121"/>
      <c r="AS350" s="96"/>
      <c r="AT350" s="122"/>
      <c r="AU350" s="96"/>
      <c r="AV350" s="122"/>
      <c r="AW350" s="122"/>
      <c r="AX350" s="30"/>
      <c r="AY350" s="30"/>
      <c r="AZ350" s="30"/>
      <c r="BA350" s="30"/>
      <c r="BB350" s="26"/>
      <c r="BC350" s="26"/>
      <c r="BD350" s="26"/>
      <c r="BE350" s="26"/>
      <c r="BF350" s="26"/>
    </row>
    <row r="351" spans="1:58" ht="15.75" customHeight="1">
      <c r="A351" s="67"/>
      <c r="B351" s="67"/>
      <c r="C351" s="67"/>
      <c r="D351" s="68"/>
      <c r="E351" s="68"/>
      <c r="F351" s="68"/>
      <c r="G351" s="68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30"/>
      <c r="AO351" s="25"/>
      <c r="AP351" s="120"/>
      <c r="AQ351" s="120"/>
      <c r="AR351" s="121"/>
      <c r="AS351" s="96"/>
      <c r="AT351" s="122"/>
      <c r="AU351" s="96"/>
      <c r="AV351" s="122"/>
      <c r="AW351" s="122"/>
      <c r="AX351" s="30"/>
      <c r="AY351" s="30"/>
      <c r="AZ351" s="30"/>
      <c r="BA351" s="30"/>
      <c r="BB351" s="26"/>
      <c r="BC351" s="26"/>
      <c r="BD351" s="26"/>
      <c r="BE351" s="26"/>
      <c r="BF351" s="26"/>
    </row>
    <row r="352" spans="1:58" ht="15.75" customHeight="1">
      <c r="A352" s="67"/>
      <c r="B352" s="67"/>
      <c r="C352" s="67"/>
      <c r="D352" s="68"/>
      <c r="E352" s="68"/>
      <c r="F352" s="68"/>
      <c r="G352" s="68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30"/>
      <c r="AO352" s="25"/>
      <c r="AP352" s="120"/>
      <c r="AQ352" s="120"/>
      <c r="AR352" s="121"/>
      <c r="AS352" s="96"/>
      <c r="AT352" s="122"/>
      <c r="AU352" s="96"/>
      <c r="AV352" s="122"/>
      <c r="AW352" s="122"/>
      <c r="AX352" s="30"/>
      <c r="AY352" s="30"/>
      <c r="AZ352" s="30"/>
      <c r="BA352" s="30"/>
      <c r="BB352" s="26"/>
      <c r="BC352" s="26"/>
      <c r="BD352" s="26"/>
      <c r="BE352" s="26"/>
      <c r="BF352" s="26"/>
    </row>
    <row r="353" spans="1:58" ht="15.75" customHeight="1">
      <c r="A353" s="67"/>
      <c r="B353" s="67"/>
      <c r="C353" s="67"/>
      <c r="D353" s="68"/>
      <c r="E353" s="68"/>
      <c r="F353" s="68"/>
      <c r="G353" s="68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30"/>
      <c r="AO353" s="25"/>
      <c r="AP353" s="120"/>
      <c r="AQ353" s="120"/>
      <c r="AR353" s="121"/>
      <c r="AS353" s="96"/>
      <c r="AT353" s="122"/>
      <c r="AU353" s="96"/>
      <c r="AV353" s="122"/>
      <c r="AW353" s="122"/>
      <c r="AX353" s="30"/>
      <c r="AY353" s="30"/>
      <c r="AZ353" s="30"/>
      <c r="BA353" s="30"/>
      <c r="BB353" s="26"/>
      <c r="BC353" s="26"/>
      <c r="BD353" s="26"/>
      <c r="BE353" s="26"/>
      <c r="BF353" s="26"/>
    </row>
    <row r="354" spans="1:58" ht="15.75" customHeight="1">
      <c r="A354" s="67"/>
      <c r="B354" s="67"/>
      <c r="C354" s="67"/>
      <c r="D354" s="68"/>
      <c r="E354" s="68"/>
      <c r="F354" s="68"/>
      <c r="G354" s="68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30"/>
      <c r="AO354" s="25"/>
      <c r="AP354" s="120"/>
      <c r="AQ354" s="120"/>
      <c r="AR354" s="121"/>
      <c r="AS354" s="96"/>
      <c r="AT354" s="122"/>
      <c r="AU354" s="96"/>
      <c r="AV354" s="122"/>
      <c r="AW354" s="122"/>
      <c r="AX354" s="30"/>
      <c r="AY354" s="30"/>
      <c r="AZ354" s="30"/>
      <c r="BA354" s="30"/>
      <c r="BB354" s="26"/>
      <c r="BC354" s="26"/>
      <c r="BD354" s="26"/>
      <c r="BE354" s="26"/>
      <c r="BF354" s="26"/>
    </row>
    <row r="355" spans="1:58" ht="15.75" customHeight="1">
      <c r="A355" s="67"/>
      <c r="B355" s="67"/>
      <c r="C355" s="67"/>
      <c r="D355" s="68"/>
      <c r="E355" s="68"/>
      <c r="F355" s="68"/>
      <c r="G355" s="68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30"/>
      <c r="AO355" s="25"/>
      <c r="AP355" s="120"/>
      <c r="AQ355" s="120"/>
      <c r="AR355" s="121"/>
      <c r="AS355" s="96"/>
      <c r="AT355" s="122"/>
      <c r="AU355" s="96"/>
      <c r="AV355" s="122"/>
      <c r="AW355" s="122"/>
      <c r="AX355" s="30"/>
      <c r="AY355" s="30"/>
      <c r="AZ355" s="30"/>
      <c r="BA355" s="30"/>
      <c r="BB355" s="26"/>
      <c r="BC355" s="26"/>
      <c r="BD355" s="26"/>
      <c r="BE355" s="26"/>
      <c r="BF355" s="26"/>
    </row>
    <row r="356" spans="1:58" ht="15.75" customHeight="1">
      <c r="A356" s="67"/>
      <c r="B356" s="67"/>
      <c r="C356" s="67"/>
      <c r="D356" s="68"/>
      <c r="E356" s="68"/>
      <c r="F356" s="68"/>
      <c r="G356" s="68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30"/>
      <c r="AO356" s="25"/>
      <c r="AP356" s="120"/>
      <c r="AQ356" s="120"/>
      <c r="AR356" s="121"/>
      <c r="AS356" s="96"/>
      <c r="AT356" s="122"/>
      <c r="AU356" s="96"/>
      <c r="AV356" s="122"/>
      <c r="AW356" s="122"/>
      <c r="AX356" s="30"/>
      <c r="AY356" s="30"/>
      <c r="AZ356" s="30"/>
      <c r="BA356" s="30"/>
      <c r="BB356" s="26"/>
      <c r="BC356" s="26"/>
      <c r="BD356" s="26"/>
      <c r="BE356" s="26"/>
      <c r="BF356" s="26"/>
    </row>
    <row r="357" spans="1:58" ht="15.75" customHeight="1">
      <c r="A357" s="67"/>
      <c r="B357" s="67"/>
      <c r="C357" s="67"/>
      <c r="D357" s="68"/>
      <c r="E357" s="68"/>
      <c r="F357" s="68"/>
      <c r="G357" s="68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30"/>
      <c r="AO357" s="25"/>
      <c r="AP357" s="120"/>
      <c r="AQ357" s="120"/>
      <c r="AR357" s="121"/>
      <c r="AS357" s="96"/>
      <c r="AT357" s="122"/>
      <c r="AU357" s="96"/>
      <c r="AV357" s="122"/>
      <c r="AW357" s="122"/>
      <c r="AX357" s="30"/>
      <c r="AY357" s="30"/>
      <c r="AZ357" s="30"/>
      <c r="BA357" s="30"/>
      <c r="BB357" s="26"/>
      <c r="BC357" s="26"/>
      <c r="BD357" s="26"/>
      <c r="BE357" s="26"/>
      <c r="BF357" s="26"/>
    </row>
    <row r="358" spans="1:58" ht="15.75" customHeight="1">
      <c r="A358" s="67"/>
      <c r="B358" s="67"/>
      <c r="C358" s="67"/>
      <c r="D358" s="68"/>
      <c r="E358" s="68"/>
      <c r="F358" s="68"/>
      <c r="G358" s="68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30"/>
      <c r="AO358" s="25"/>
      <c r="AP358" s="120"/>
      <c r="AQ358" s="120"/>
      <c r="AR358" s="121"/>
      <c r="AS358" s="96"/>
      <c r="AT358" s="122"/>
      <c r="AU358" s="96"/>
      <c r="AV358" s="122"/>
      <c r="AW358" s="122"/>
      <c r="AX358" s="30"/>
      <c r="AY358" s="30"/>
      <c r="AZ358" s="30"/>
      <c r="BA358" s="30"/>
      <c r="BB358" s="26"/>
      <c r="BC358" s="26"/>
      <c r="BD358" s="26"/>
      <c r="BE358" s="26"/>
      <c r="BF358" s="26"/>
    </row>
    <row r="359" spans="1:58" ht="15.75" customHeight="1">
      <c r="A359" s="67"/>
      <c r="B359" s="67"/>
      <c r="C359" s="67"/>
      <c r="D359" s="68"/>
      <c r="E359" s="68"/>
      <c r="F359" s="68"/>
      <c r="G359" s="68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30"/>
      <c r="AO359" s="25"/>
      <c r="AP359" s="120"/>
      <c r="AQ359" s="120"/>
      <c r="AR359" s="121"/>
      <c r="AS359" s="96"/>
      <c r="AT359" s="122"/>
      <c r="AU359" s="96"/>
      <c r="AV359" s="122"/>
      <c r="AW359" s="122"/>
      <c r="AX359" s="30"/>
      <c r="AY359" s="30"/>
      <c r="AZ359" s="30"/>
      <c r="BA359" s="30"/>
      <c r="BB359" s="26"/>
      <c r="BC359" s="26"/>
      <c r="BD359" s="26"/>
      <c r="BE359" s="26"/>
      <c r="BF359" s="26"/>
    </row>
    <row r="360" spans="1:58" ht="15.75" customHeight="1">
      <c r="A360" s="67"/>
      <c r="B360" s="67"/>
      <c r="C360" s="67"/>
      <c r="D360" s="68"/>
      <c r="E360" s="68"/>
      <c r="F360" s="68"/>
      <c r="G360" s="68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30"/>
      <c r="AO360" s="25"/>
      <c r="AP360" s="120"/>
      <c r="AQ360" s="120"/>
      <c r="AR360" s="121"/>
      <c r="AS360" s="96"/>
      <c r="AT360" s="122"/>
      <c r="AU360" s="96"/>
      <c r="AV360" s="122"/>
      <c r="AW360" s="122"/>
      <c r="AX360" s="30"/>
      <c r="AY360" s="30"/>
      <c r="AZ360" s="30"/>
      <c r="BA360" s="30"/>
      <c r="BB360" s="26"/>
      <c r="BC360" s="26"/>
      <c r="BD360" s="26"/>
      <c r="BE360" s="26"/>
      <c r="BF360" s="26"/>
    </row>
    <row r="361" spans="1:58" ht="15.75" customHeight="1">
      <c r="A361" s="67"/>
      <c r="B361" s="67"/>
      <c r="C361" s="67"/>
      <c r="D361" s="68"/>
      <c r="E361" s="68"/>
      <c r="F361" s="68"/>
      <c r="G361" s="68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30"/>
      <c r="AO361" s="25"/>
      <c r="AP361" s="120"/>
      <c r="AQ361" s="120"/>
      <c r="AR361" s="121"/>
      <c r="AS361" s="96"/>
      <c r="AT361" s="122"/>
      <c r="AU361" s="96"/>
      <c r="AV361" s="122"/>
      <c r="AW361" s="122"/>
      <c r="AX361" s="30"/>
      <c r="AY361" s="30"/>
      <c r="AZ361" s="30"/>
      <c r="BA361" s="30"/>
      <c r="BB361" s="26"/>
      <c r="BC361" s="26"/>
      <c r="BD361" s="26"/>
      <c r="BE361" s="26"/>
      <c r="BF361" s="26"/>
    </row>
    <row r="362" spans="1:58" ht="15.75" customHeight="1">
      <c r="A362" s="67"/>
      <c r="B362" s="67"/>
      <c r="C362" s="67"/>
      <c r="D362" s="68"/>
      <c r="E362" s="68"/>
      <c r="F362" s="68"/>
      <c r="G362" s="68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30"/>
      <c r="AO362" s="25"/>
      <c r="AP362" s="120"/>
      <c r="AQ362" s="120"/>
      <c r="AR362" s="121"/>
      <c r="AS362" s="96"/>
      <c r="AT362" s="122"/>
      <c r="AU362" s="96"/>
      <c r="AV362" s="122"/>
      <c r="AW362" s="122"/>
      <c r="AX362" s="30"/>
      <c r="AY362" s="30"/>
      <c r="AZ362" s="30"/>
      <c r="BA362" s="30"/>
      <c r="BB362" s="26"/>
      <c r="BC362" s="26"/>
      <c r="BD362" s="26"/>
      <c r="BE362" s="26"/>
      <c r="BF362" s="26"/>
    </row>
    <row r="363" spans="1:58" ht="15.75" customHeight="1">
      <c r="A363" s="67"/>
      <c r="B363" s="67"/>
      <c r="C363" s="67"/>
      <c r="D363" s="68"/>
      <c r="E363" s="68"/>
      <c r="F363" s="68"/>
      <c r="G363" s="68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30"/>
      <c r="AO363" s="25"/>
      <c r="AP363" s="120"/>
      <c r="AQ363" s="120"/>
      <c r="AR363" s="121"/>
      <c r="AS363" s="96"/>
      <c r="AT363" s="122"/>
      <c r="AU363" s="96"/>
      <c r="AV363" s="122"/>
      <c r="AW363" s="122"/>
      <c r="AX363" s="30"/>
      <c r="AY363" s="30"/>
      <c r="AZ363" s="30"/>
      <c r="BA363" s="30"/>
      <c r="BB363" s="26"/>
      <c r="BC363" s="26"/>
      <c r="BD363" s="26"/>
      <c r="BE363" s="26"/>
      <c r="BF363" s="26"/>
    </row>
    <row r="364" spans="1:58" ht="15.75" customHeight="1">
      <c r="A364" s="67"/>
      <c r="B364" s="67"/>
      <c r="C364" s="67"/>
      <c r="D364" s="68"/>
      <c r="E364" s="68"/>
      <c r="F364" s="68"/>
      <c r="G364" s="68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30"/>
      <c r="AO364" s="25"/>
      <c r="AP364" s="120"/>
      <c r="AQ364" s="120"/>
      <c r="AR364" s="121"/>
      <c r="AS364" s="96"/>
      <c r="AT364" s="122"/>
      <c r="AU364" s="96"/>
      <c r="AV364" s="122"/>
      <c r="AW364" s="122"/>
      <c r="AX364" s="30"/>
      <c r="AY364" s="30"/>
      <c r="AZ364" s="30"/>
      <c r="BA364" s="30"/>
      <c r="BB364" s="26"/>
      <c r="BC364" s="26"/>
      <c r="BD364" s="26"/>
      <c r="BE364" s="26"/>
      <c r="BF364" s="26"/>
    </row>
    <row r="365" spans="1:58" ht="15.75" customHeight="1">
      <c r="A365" s="67"/>
      <c r="B365" s="67"/>
      <c r="C365" s="67"/>
      <c r="D365" s="68"/>
      <c r="E365" s="68"/>
      <c r="F365" s="68"/>
      <c r="G365" s="68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30"/>
      <c r="AO365" s="25"/>
      <c r="AP365" s="120"/>
      <c r="AQ365" s="120"/>
      <c r="AR365" s="121"/>
      <c r="AS365" s="96"/>
      <c r="AT365" s="122"/>
      <c r="AU365" s="96"/>
      <c r="AV365" s="122"/>
      <c r="AW365" s="122"/>
      <c r="AX365" s="30"/>
      <c r="AY365" s="30"/>
      <c r="AZ365" s="30"/>
      <c r="BA365" s="30"/>
      <c r="BB365" s="26"/>
      <c r="BC365" s="26"/>
      <c r="BD365" s="26"/>
      <c r="BE365" s="26"/>
      <c r="BF365" s="26"/>
    </row>
    <row r="366" spans="1:58" ht="15.75" customHeight="1">
      <c r="A366" s="67"/>
      <c r="B366" s="67"/>
      <c r="C366" s="67"/>
      <c r="D366" s="68"/>
      <c r="E366" s="68"/>
      <c r="F366" s="68"/>
      <c r="G366" s="68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30"/>
      <c r="AO366" s="25"/>
      <c r="AP366" s="120"/>
      <c r="AQ366" s="120"/>
      <c r="AR366" s="121"/>
      <c r="AS366" s="96"/>
      <c r="AT366" s="122"/>
      <c r="AU366" s="96"/>
      <c r="AV366" s="122"/>
      <c r="AW366" s="122"/>
      <c r="AX366" s="30"/>
      <c r="AY366" s="30"/>
      <c r="AZ366" s="30"/>
      <c r="BA366" s="30"/>
      <c r="BB366" s="26"/>
      <c r="BC366" s="26"/>
      <c r="BD366" s="26"/>
      <c r="BE366" s="26"/>
      <c r="BF366" s="26"/>
    </row>
    <row r="367" spans="1:58" ht="15.75" customHeight="1">
      <c r="A367" s="67"/>
      <c r="B367" s="67"/>
      <c r="C367" s="67"/>
      <c r="D367" s="68"/>
      <c r="E367" s="68"/>
      <c r="F367" s="68"/>
      <c r="G367" s="68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30"/>
      <c r="AO367" s="25"/>
      <c r="AP367" s="120"/>
      <c r="AQ367" s="120"/>
      <c r="AR367" s="121"/>
      <c r="AS367" s="96"/>
      <c r="AT367" s="122"/>
      <c r="AU367" s="96"/>
      <c r="AV367" s="122"/>
      <c r="AW367" s="122"/>
      <c r="AX367" s="30"/>
      <c r="AY367" s="30"/>
      <c r="AZ367" s="30"/>
      <c r="BA367" s="30"/>
      <c r="BB367" s="26"/>
      <c r="BC367" s="26"/>
      <c r="BD367" s="26"/>
      <c r="BE367" s="26"/>
      <c r="BF367" s="26"/>
    </row>
    <row r="368" spans="1:58" ht="15.75" customHeight="1">
      <c r="A368" s="67"/>
      <c r="B368" s="67"/>
      <c r="C368" s="67"/>
      <c r="D368" s="68"/>
      <c r="E368" s="68"/>
      <c r="F368" s="68"/>
      <c r="G368" s="68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30"/>
      <c r="AO368" s="25"/>
      <c r="AP368" s="120"/>
      <c r="AQ368" s="120"/>
      <c r="AR368" s="121"/>
      <c r="AS368" s="96"/>
      <c r="AT368" s="122"/>
      <c r="AU368" s="96"/>
      <c r="AV368" s="122"/>
      <c r="AW368" s="122"/>
      <c r="AX368" s="30"/>
      <c r="AY368" s="30"/>
      <c r="AZ368" s="30"/>
      <c r="BA368" s="30"/>
      <c r="BB368" s="26"/>
      <c r="BC368" s="26"/>
      <c r="BD368" s="26"/>
      <c r="BE368" s="26"/>
      <c r="BF368" s="26"/>
    </row>
    <row r="369" spans="1:58" ht="15.75" customHeight="1">
      <c r="A369" s="67"/>
      <c r="B369" s="67"/>
      <c r="C369" s="67"/>
      <c r="D369" s="68"/>
      <c r="E369" s="68"/>
      <c r="F369" s="68"/>
      <c r="G369" s="68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30"/>
      <c r="AO369" s="25"/>
      <c r="AP369" s="120"/>
      <c r="AQ369" s="120"/>
      <c r="AR369" s="121"/>
      <c r="AS369" s="96"/>
      <c r="AT369" s="122"/>
      <c r="AU369" s="96"/>
      <c r="AV369" s="122"/>
      <c r="AW369" s="122"/>
      <c r="AX369" s="30"/>
      <c r="AY369" s="30"/>
      <c r="AZ369" s="30"/>
      <c r="BA369" s="30"/>
      <c r="BB369" s="26"/>
      <c r="BC369" s="26"/>
      <c r="BD369" s="26"/>
      <c r="BE369" s="26"/>
      <c r="BF369" s="26"/>
    </row>
    <row r="370" spans="1:58" ht="15.75" customHeight="1">
      <c r="A370" s="67"/>
      <c r="B370" s="67"/>
      <c r="C370" s="67"/>
      <c r="D370" s="68"/>
      <c r="E370" s="68"/>
      <c r="F370" s="68"/>
      <c r="G370" s="68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30"/>
      <c r="AO370" s="25"/>
      <c r="AP370" s="120"/>
      <c r="AQ370" s="120"/>
      <c r="AR370" s="121"/>
      <c r="AS370" s="96"/>
      <c r="AT370" s="122"/>
      <c r="AU370" s="96"/>
      <c r="AV370" s="122"/>
      <c r="AW370" s="122"/>
      <c r="AX370" s="30"/>
      <c r="AY370" s="30"/>
      <c r="AZ370" s="30"/>
      <c r="BA370" s="30"/>
      <c r="BB370" s="26"/>
      <c r="BC370" s="26"/>
      <c r="BD370" s="26"/>
      <c r="BE370" s="26"/>
      <c r="BF370" s="26"/>
    </row>
    <row r="371" spans="1:58" ht="15.75" customHeight="1">
      <c r="A371" s="67"/>
      <c r="B371" s="67"/>
      <c r="C371" s="67"/>
      <c r="D371" s="68"/>
      <c r="E371" s="68"/>
      <c r="F371" s="68"/>
      <c r="G371" s="68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30"/>
      <c r="AO371" s="25"/>
      <c r="AP371" s="120"/>
      <c r="AQ371" s="120"/>
      <c r="AR371" s="121"/>
      <c r="AS371" s="96"/>
      <c r="AT371" s="122"/>
      <c r="AU371" s="96"/>
      <c r="AV371" s="122"/>
      <c r="AW371" s="122"/>
      <c r="AX371" s="30"/>
      <c r="AY371" s="30"/>
      <c r="AZ371" s="30"/>
      <c r="BA371" s="30"/>
      <c r="BB371" s="26"/>
      <c r="BC371" s="26"/>
      <c r="BD371" s="26"/>
      <c r="BE371" s="26"/>
      <c r="BF371" s="26"/>
    </row>
    <row r="372" spans="1:58" ht="15.75" customHeight="1">
      <c r="A372" s="67"/>
      <c r="B372" s="67"/>
      <c r="C372" s="67"/>
      <c r="D372" s="68"/>
      <c r="E372" s="68"/>
      <c r="F372" s="68"/>
      <c r="G372" s="68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30"/>
      <c r="AO372" s="25"/>
      <c r="AP372" s="120"/>
      <c r="AQ372" s="120"/>
      <c r="AR372" s="121"/>
      <c r="AS372" s="96"/>
      <c r="AT372" s="122"/>
      <c r="AU372" s="96"/>
      <c r="AV372" s="122"/>
      <c r="AW372" s="122"/>
      <c r="AX372" s="30"/>
      <c r="AY372" s="30"/>
      <c r="AZ372" s="30"/>
      <c r="BA372" s="30"/>
      <c r="BB372" s="26"/>
      <c r="BC372" s="26"/>
      <c r="BD372" s="26"/>
      <c r="BE372" s="26"/>
      <c r="BF372" s="26"/>
    </row>
    <row r="373" spans="1:58" ht="15.75" customHeight="1">
      <c r="A373" s="67"/>
      <c r="B373" s="67"/>
      <c r="C373" s="67"/>
      <c r="D373" s="68"/>
      <c r="E373" s="68"/>
      <c r="F373" s="68"/>
      <c r="G373" s="68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30"/>
      <c r="AO373" s="25"/>
      <c r="AP373" s="120"/>
      <c r="AQ373" s="120"/>
      <c r="AR373" s="121"/>
      <c r="AS373" s="96"/>
      <c r="AT373" s="122"/>
      <c r="AU373" s="96"/>
      <c r="AV373" s="122"/>
      <c r="AW373" s="122"/>
      <c r="AX373" s="30"/>
      <c r="AY373" s="30"/>
      <c r="AZ373" s="30"/>
      <c r="BA373" s="30"/>
      <c r="BB373" s="26"/>
      <c r="BC373" s="26"/>
      <c r="BD373" s="26"/>
      <c r="BE373" s="26"/>
      <c r="BF373" s="26"/>
    </row>
    <row r="374" spans="1:58" ht="15.75" customHeight="1">
      <c r="A374" s="67"/>
      <c r="B374" s="67"/>
      <c r="C374" s="67"/>
      <c r="D374" s="68"/>
      <c r="E374" s="68"/>
      <c r="F374" s="68"/>
      <c r="G374" s="68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30"/>
      <c r="AO374" s="25"/>
      <c r="AP374" s="120"/>
      <c r="AQ374" s="120"/>
      <c r="AR374" s="121"/>
      <c r="AS374" s="96"/>
      <c r="AT374" s="122"/>
      <c r="AU374" s="96"/>
      <c r="AV374" s="122"/>
      <c r="AW374" s="122"/>
      <c r="AX374" s="30"/>
      <c r="AY374" s="30"/>
      <c r="AZ374" s="30"/>
      <c r="BA374" s="30"/>
      <c r="BB374" s="26"/>
      <c r="BC374" s="26"/>
      <c r="BD374" s="26"/>
      <c r="BE374" s="26"/>
      <c r="BF374" s="26"/>
    </row>
    <row r="375" spans="1:58" ht="15.75" customHeight="1">
      <c r="A375" s="67"/>
      <c r="B375" s="67"/>
      <c r="C375" s="67"/>
      <c r="D375" s="68"/>
      <c r="E375" s="68"/>
      <c r="F375" s="68"/>
      <c r="G375" s="68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30"/>
      <c r="AO375" s="25"/>
      <c r="AP375" s="120"/>
      <c r="AQ375" s="120"/>
      <c r="AR375" s="121"/>
      <c r="AS375" s="96"/>
      <c r="AT375" s="122"/>
      <c r="AU375" s="96"/>
      <c r="AV375" s="122"/>
      <c r="AW375" s="122"/>
      <c r="AX375" s="30"/>
      <c r="AY375" s="30"/>
      <c r="AZ375" s="30"/>
      <c r="BA375" s="30"/>
      <c r="BB375" s="26"/>
      <c r="BC375" s="26"/>
      <c r="BD375" s="26"/>
      <c r="BE375" s="26"/>
      <c r="BF375" s="26"/>
    </row>
    <row r="376" spans="1:58" ht="15.75" customHeight="1">
      <c r="A376" s="67"/>
      <c r="B376" s="67"/>
      <c r="C376" s="67"/>
      <c r="D376" s="68"/>
      <c r="E376" s="68"/>
      <c r="F376" s="68"/>
      <c r="G376" s="68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30"/>
      <c r="AO376" s="25"/>
      <c r="AP376" s="120"/>
      <c r="AQ376" s="120"/>
      <c r="AR376" s="121"/>
      <c r="AS376" s="96"/>
      <c r="AT376" s="122"/>
      <c r="AU376" s="96"/>
      <c r="AV376" s="122"/>
      <c r="AW376" s="122"/>
      <c r="AX376" s="30"/>
      <c r="AY376" s="30"/>
      <c r="AZ376" s="30"/>
      <c r="BA376" s="30"/>
      <c r="BB376" s="26"/>
      <c r="BC376" s="26"/>
      <c r="BD376" s="26"/>
      <c r="BE376" s="26"/>
      <c r="BF376" s="26"/>
    </row>
    <row r="377" spans="1:58" ht="15.75" customHeight="1">
      <c r="A377" s="67"/>
      <c r="B377" s="67"/>
      <c r="C377" s="67"/>
      <c r="D377" s="68"/>
      <c r="E377" s="68"/>
      <c r="F377" s="68"/>
      <c r="G377" s="68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30"/>
      <c r="AO377" s="25"/>
      <c r="AP377" s="120"/>
      <c r="AQ377" s="120"/>
      <c r="AR377" s="121"/>
      <c r="AS377" s="96"/>
      <c r="AT377" s="122"/>
      <c r="AU377" s="96"/>
      <c r="AV377" s="122"/>
      <c r="AW377" s="122"/>
      <c r="AX377" s="30"/>
      <c r="AY377" s="30"/>
      <c r="AZ377" s="30"/>
      <c r="BA377" s="30"/>
      <c r="BB377" s="26"/>
      <c r="BC377" s="26"/>
      <c r="BD377" s="26"/>
      <c r="BE377" s="26"/>
      <c r="BF377" s="26"/>
    </row>
    <row r="378" spans="1:58" ht="15.75" customHeight="1">
      <c r="A378" s="67"/>
      <c r="B378" s="67"/>
      <c r="C378" s="67"/>
      <c r="D378" s="68"/>
      <c r="E378" s="68"/>
      <c r="F378" s="68"/>
      <c r="G378" s="68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30"/>
      <c r="AO378" s="25"/>
      <c r="AP378" s="120"/>
      <c r="AQ378" s="120"/>
      <c r="AR378" s="121"/>
      <c r="AS378" s="96"/>
      <c r="AT378" s="122"/>
      <c r="AU378" s="96"/>
      <c r="AV378" s="122"/>
      <c r="AW378" s="122"/>
      <c r="AX378" s="30"/>
      <c r="AY378" s="30"/>
      <c r="AZ378" s="30"/>
      <c r="BA378" s="30"/>
      <c r="BB378" s="26"/>
      <c r="BC378" s="26"/>
      <c r="BD378" s="26"/>
      <c r="BE378" s="26"/>
      <c r="BF378" s="26"/>
    </row>
    <row r="379" spans="1:58" ht="15.75" customHeight="1">
      <c r="A379" s="67"/>
      <c r="B379" s="67"/>
      <c r="C379" s="67"/>
      <c r="D379" s="68"/>
      <c r="E379" s="68"/>
      <c r="F379" s="68"/>
      <c r="G379" s="68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30"/>
      <c r="AO379" s="25"/>
      <c r="AP379" s="120"/>
      <c r="AQ379" s="120"/>
      <c r="AR379" s="121"/>
      <c r="AS379" s="96"/>
      <c r="AT379" s="122"/>
      <c r="AU379" s="96"/>
      <c r="AV379" s="122"/>
      <c r="AW379" s="122"/>
      <c r="AX379" s="30"/>
      <c r="AY379" s="30"/>
      <c r="AZ379" s="30"/>
      <c r="BA379" s="30"/>
      <c r="BB379" s="26"/>
      <c r="BC379" s="26"/>
      <c r="BD379" s="26"/>
      <c r="BE379" s="26"/>
      <c r="BF379" s="26"/>
    </row>
    <row r="380" spans="1:58" ht="15.75" customHeight="1">
      <c r="A380" s="67"/>
      <c r="B380" s="67"/>
      <c r="C380" s="67"/>
      <c r="D380" s="68"/>
      <c r="E380" s="68"/>
      <c r="F380" s="68"/>
      <c r="G380" s="68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30"/>
      <c r="AO380" s="25"/>
      <c r="AP380" s="120"/>
      <c r="AQ380" s="120"/>
      <c r="AR380" s="121"/>
      <c r="AS380" s="96"/>
      <c r="AT380" s="122"/>
      <c r="AU380" s="96"/>
      <c r="AV380" s="122"/>
      <c r="AW380" s="122"/>
      <c r="AX380" s="30"/>
      <c r="AY380" s="30"/>
      <c r="AZ380" s="30"/>
      <c r="BA380" s="30"/>
      <c r="BB380" s="26"/>
      <c r="BC380" s="26"/>
      <c r="BD380" s="26"/>
      <c r="BE380" s="26"/>
      <c r="BF380" s="26"/>
    </row>
    <row r="381" spans="1:58" ht="15.75" customHeight="1">
      <c r="A381" s="67"/>
      <c r="B381" s="67"/>
      <c r="C381" s="67"/>
      <c r="D381" s="68"/>
      <c r="E381" s="68"/>
      <c r="F381" s="68"/>
      <c r="G381" s="68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30"/>
      <c r="AO381" s="25"/>
      <c r="AP381" s="120"/>
      <c r="AQ381" s="120"/>
      <c r="AR381" s="121"/>
      <c r="AS381" s="96"/>
      <c r="AT381" s="122"/>
      <c r="AU381" s="96"/>
      <c r="AV381" s="122"/>
      <c r="AW381" s="122"/>
      <c r="AX381" s="30"/>
      <c r="AY381" s="30"/>
      <c r="AZ381" s="30"/>
      <c r="BA381" s="30"/>
      <c r="BB381" s="26"/>
      <c r="BC381" s="26"/>
      <c r="BD381" s="26"/>
      <c r="BE381" s="26"/>
      <c r="BF381" s="26"/>
    </row>
    <row r="382" spans="1:58" ht="15.75" customHeight="1">
      <c r="A382" s="67"/>
      <c r="B382" s="67"/>
      <c r="C382" s="67"/>
      <c r="D382" s="68"/>
      <c r="E382" s="68"/>
      <c r="F382" s="68"/>
      <c r="G382" s="68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30"/>
      <c r="AO382" s="25"/>
      <c r="AP382" s="120"/>
      <c r="AQ382" s="120"/>
      <c r="AR382" s="121"/>
      <c r="AS382" s="96"/>
      <c r="AT382" s="122"/>
      <c r="AU382" s="96"/>
      <c r="AV382" s="122"/>
      <c r="AW382" s="122"/>
      <c r="AX382" s="30"/>
      <c r="AY382" s="30"/>
      <c r="AZ382" s="30"/>
      <c r="BA382" s="30"/>
      <c r="BB382" s="26"/>
      <c r="BC382" s="26"/>
      <c r="BD382" s="26"/>
      <c r="BE382" s="26"/>
      <c r="BF382" s="26"/>
    </row>
    <row r="383" spans="1:58" ht="15.75" customHeight="1">
      <c r="A383" s="67"/>
      <c r="B383" s="67"/>
      <c r="C383" s="67"/>
      <c r="D383" s="68"/>
      <c r="E383" s="68"/>
      <c r="F383" s="68"/>
      <c r="G383" s="68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30"/>
      <c r="AO383" s="25"/>
      <c r="AP383" s="120"/>
      <c r="AQ383" s="120"/>
      <c r="AR383" s="121"/>
      <c r="AS383" s="96"/>
      <c r="AT383" s="122"/>
      <c r="AU383" s="96"/>
      <c r="AV383" s="122"/>
      <c r="AW383" s="122"/>
      <c r="AX383" s="30"/>
      <c r="AY383" s="30"/>
      <c r="AZ383" s="30"/>
      <c r="BA383" s="30"/>
      <c r="BB383" s="26"/>
      <c r="BC383" s="26"/>
      <c r="BD383" s="26"/>
      <c r="BE383" s="26"/>
      <c r="BF383" s="26"/>
    </row>
    <row r="384" spans="1:58" ht="15.75" customHeight="1">
      <c r="A384" s="67"/>
      <c r="B384" s="67"/>
      <c r="C384" s="67"/>
      <c r="D384" s="68"/>
      <c r="E384" s="68"/>
      <c r="F384" s="68"/>
      <c r="G384" s="68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30"/>
      <c r="AO384" s="25"/>
      <c r="AP384" s="120"/>
      <c r="AQ384" s="120"/>
      <c r="AR384" s="121"/>
      <c r="AS384" s="96"/>
      <c r="AT384" s="122"/>
      <c r="AU384" s="96"/>
      <c r="AV384" s="122"/>
      <c r="AW384" s="122"/>
      <c r="AX384" s="30"/>
      <c r="AY384" s="30"/>
      <c r="AZ384" s="30"/>
      <c r="BA384" s="30"/>
      <c r="BB384" s="26"/>
      <c r="BC384" s="26"/>
      <c r="BD384" s="26"/>
      <c r="BE384" s="26"/>
      <c r="BF384" s="26"/>
    </row>
    <row r="385" spans="1:58" ht="15.75" customHeight="1">
      <c r="A385" s="67"/>
      <c r="B385" s="67"/>
      <c r="C385" s="67"/>
      <c r="D385" s="68"/>
      <c r="E385" s="68"/>
      <c r="F385" s="68"/>
      <c r="G385" s="68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30"/>
      <c r="AO385" s="25"/>
      <c r="AP385" s="120"/>
      <c r="AQ385" s="120"/>
      <c r="AR385" s="121"/>
      <c r="AS385" s="96"/>
      <c r="AT385" s="122"/>
      <c r="AU385" s="96"/>
      <c r="AV385" s="122"/>
      <c r="AW385" s="122"/>
      <c r="AX385" s="30"/>
      <c r="AY385" s="30"/>
      <c r="AZ385" s="30"/>
      <c r="BA385" s="30"/>
      <c r="BB385" s="26"/>
      <c r="BC385" s="26"/>
      <c r="BD385" s="26"/>
      <c r="BE385" s="26"/>
      <c r="BF385" s="26"/>
    </row>
    <row r="386" spans="1:58" ht="15.75" customHeight="1">
      <c r="A386" s="67"/>
      <c r="B386" s="67"/>
      <c r="C386" s="67"/>
      <c r="D386" s="68"/>
      <c r="E386" s="68"/>
      <c r="F386" s="68"/>
      <c r="G386" s="68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30"/>
      <c r="AO386" s="25"/>
      <c r="AP386" s="120"/>
      <c r="AQ386" s="120"/>
      <c r="AR386" s="121"/>
      <c r="AS386" s="96"/>
      <c r="AT386" s="122"/>
      <c r="AU386" s="96"/>
      <c r="AV386" s="122"/>
      <c r="AW386" s="122"/>
      <c r="AX386" s="30"/>
      <c r="AY386" s="30"/>
      <c r="AZ386" s="30"/>
      <c r="BA386" s="30"/>
      <c r="BB386" s="26"/>
      <c r="BC386" s="26"/>
      <c r="BD386" s="26"/>
      <c r="BE386" s="26"/>
      <c r="BF386" s="26"/>
    </row>
    <row r="387" spans="1:58" ht="15.75" customHeight="1">
      <c r="A387" s="67"/>
      <c r="B387" s="67"/>
      <c r="C387" s="67"/>
      <c r="D387" s="68"/>
      <c r="E387" s="68"/>
      <c r="F387" s="68"/>
      <c r="G387" s="68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30"/>
      <c r="AO387" s="25"/>
      <c r="AP387" s="120"/>
      <c r="AQ387" s="120"/>
      <c r="AR387" s="121"/>
      <c r="AS387" s="96"/>
      <c r="AT387" s="122"/>
      <c r="AU387" s="96"/>
      <c r="AV387" s="122"/>
      <c r="AW387" s="122"/>
      <c r="AX387" s="30"/>
      <c r="AY387" s="30"/>
      <c r="AZ387" s="30"/>
      <c r="BA387" s="30"/>
      <c r="BB387" s="26"/>
      <c r="BC387" s="26"/>
      <c r="BD387" s="26"/>
      <c r="BE387" s="26"/>
      <c r="BF387" s="26"/>
    </row>
    <row r="388" spans="1:58" ht="15.75" customHeight="1">
      <c r="A388" s="67"/>
      <c r="B388" s="67"/>
      <c r="C388" s="67"/>
      <c r="D388" s="68"/>
      <c r="E388" s="68"/>
      <c r="F388" s="68"/>
      <c r="G388" s="68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30"/>
      <c r="AO388" s="25"/>
      <c r="AP388" s="120"/>
      <c r="AQ388" s="120"/>
      <c r="AR388" s="121"/>
      <c r="AS388" s="96"/>
      <c r="AT388" s="122"/>
      <c r="AU388" s="96"/>
      <c r="AV388" s="122"/>
      <c r="AW388" s="122"/>
      <c r="AX388" s="30"/>
      <c r="AY388" s="30"/>
      <c r="AZ388" s="30"/>
      <c r="BA388" s="30"/>
      <c r="BB388" s="26"/>
      <c r="BC388" s="26"/>
      <c r="BD388" s="26"/>
      <c r="BE388" s="26"/>
      <c r="BF388" s="26"/>
    </row>
    <row r="389" spans="1:58" ht="15.75" customHeight="1">
      <c r="A389" s="67"/>
      <c r="B389" s="67"/>
      <c r="C389" s="67"/>
      <c r="D389" s="68"/>
      <c r="E389" s="68"/>
      <c r="F389" s="68"/>
      <c r="G389" s="68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30"/>
      <c r="AO389" s="25"/>
      <c r="AP389" s="120"/>
      <c r="AQ389" s="120"/>
      <c r="AR389" s="121"/>
      <c r="AS389" s="96"/>
      <c r="AT389" s="122"/>
      <c r="AU389" s="96"/>
      <c r="AV389" s="122"/>
      <c r="AW389" s="122"/>
      <c r="AX389" s="30"/>
      <c r="AY389" s="30"/>
      <c r="AZ389" s="30"/>
      <c r="BA389" s="30"/>
      <c r="BB389" s="26"/>
      <c r="BC389" s="26"/>
      <c r="BD389" s="26"/>
      <c r="BE389" s="26"/>
      <c r="BF389" s="26"/>
    </row>
    <row r="390" spans="1:58" ht="15.75" customHeight="1">
      <c r="A390" s="67"/>
      <c r="B390" s="67"/>
      <c r="C390" s="67"/>
      <c r="D390" s="68"/>
      <c r="E390" s="68"/>
      <c r="F390" s="68"/>
      <c r="G390" s="68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30"/>
      <c r="AO390" s="25"/>
      <c r="AP390" s="120"/>
      <c r="AQ390" s="120"/>
      <c r="AR390" s="121"/>
      <c r="AS390" s="96"/>
      <c r="AT390" s="122"/>
      <c r="AU390" s="96"/>
      <c r="AV390" s="122"/>
      <c r="AW390" s="122"/>
      <c r="AX390" s="30"/>
      <c r="AY390" s="30"/>
      <c r="AZ390" s="30"/>
      <c r="BA390" s="30"/>
      <c r="BB390" s="26"/>
      <c r="BC390" s="26"/>
      <c r="BD390" s="26"/>
      <c r="BE390" s="26"/>
      <c r="BF390" s="26"/>
    </row>
    <row r="391" spans="1:58" ht="15.75" customHeight="1">
      <c r="A391" s="67"/>
      <c r="B391" s="67"/>
      <c r="C391" s="67"/>
      <c r="D391" s="68"/>
      <c r="E391" s="68"/>
      <c r="F391" s="68"/>
      <c r="G391" s="68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30"/>
      <c r="AO391" s="25"/>
      <c r="AP391" s="120"/>
      <c r="AQ391" s="120"/>
      <c r="AR391" s="121"/>
      <c r="AS391" s="96"/>
      <c r="AT391" s="122"/>
      <c r="AU391" s="96"/>
      <c r="AV391" s="122"/>
      <c r="AW391" s="122"/>
      <c r="AX391" s="30"/>
      <c r="AY391" s="30"/>
      <c r="AZ391" s="30"/>
      <c r="BA391" s="30"/>
      <c r="BB391" s="26"/>
      <c r="BC391" s="26"/>
      <c r="BD391" s="26"/>
      <c r="BE391" s="26"/>
      <c r="BF391" s="26"/>
    </row>
    <row r="392" spans="1:58" ht="15.75" customHeight="1">
      <c r="A392" s="67"/>
      <c r="B392" s="67"/>
      <c r="C392" s="67"/>
      <c r="D392" s="68"/>
      <c r="E392" s="68"/>
      <c r="F392" s="68"/>
      <c r="G392" s="68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30"/>
      <c r="AO392" s="25"/>
      <c r="AP392" s="120"/>
      <c r="AQ392" s="120"/>
      <c r="AR392" s="121"/>
      <c r="AS392" s="96"/>
      <c r="AT392" s="122"/>
      <c r="AU392" s="96"/>
      <c r="AV392" s="122"/>
      <c r="AW392" s="122"/>
      <c r="AX392" s="30"/>
      <c r="AY392" s="30"/>
      <c r="AZ392" s="30"/>
      <c r="BA392" s="30"/>
      <c r="BB392" s="26"/>
      <c r="BC392" s="26"/>
      <c r="BD392" s="26"/>
      <c r="BE392" s="26"/>
      <c r="BF392" s="26"/>
    </row>
    <row r="393" spans="1:58" ht="15.75" customHeight="1">
      <c r="A393" s="67"/>
      <c r="B393" s="67"/>
      <c r="C393" s="67"/>
      <c r="D393" s="68"/>
      <c r="E393" s="68"/>
      <c r="F393" s="68"/>
      <c r="G393" s="68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30"/>
      <c r="AO393" s="25"/>
      <c r="AP393" s="120"/>
      <c r="AQ393" s="120"/>
      <c r="AR393" s="121"/>
      <c r="AS393" s="96"/>
      <c r="AT393" s="122"/>
      <c r="AU393" s="96"/>
      <c r="AV393" s="122"/>
      <c r="AW393" s="122"/>
      <c r="AX393" s="30"/>
      <c r="AY393" s="30"/>
      <c r="AZ393" s="30"/>
      <c r="BA393" s="30"/>
      <c r="BB393" s="26"/>
      <c r="BC393" s="26"/>
      <c r="BD393" s="26"/>
      <c r="BE393" s="26"/>
      <c r="BF393" s="26"/>
    </row>
    <row r="394" spans="1:58" ht="15.75" customHeight="1">
      <c r="A394" s="67"/>
      <c r="B394" s="67"/>
      <c r="C394" s="67"/>
      <c r="D394" s="68"/>
      <c r="E394" s="68"/>
      <c r="F394" s="68"/>
      <c r="G394" s="68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30"/>
      <c r="AO394" s="25"/>
      <c r="AP394" s="120"/>
      <c r="AQ394" s="120"/>
      <c r="AR394" s="121"/>
      <c r="AS394" s="96"/>
      <c r="AT394" s="122"/>
      <c r="AU394" s="96"/>
      <c r="AV394" s="122"/>
      <c r="AW394" s="122"/>
      <c r="AX394" s="30"/>
      <c r="AY394" s="30"/>
      <c r="AZ394" s="30"/>
      <c r="BA394" s="30"/>
      <c r="BB394" s="26"/>
      <c r="BC394" s="26"/>
      <c r="BD394" s="26"/>
      <c r="BE394" s="26"/>
      <c r="BF394" s="26"/>
    </row>
    <row r="395" spans="1:58" ht="15.75" customHeight="1">
      <c r="A395" s="67"/>
      <c r="B395" s="67"/>
      <c r="C395" s="67"/>
      <c r="D395" s="68"/>
      <c r="E395" s="68"/>
      <c r="F395" s="68"/>
      <c r="G395" s="68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30"/>
      <c r="AO395" s="25"/>
      <c r="AP395" s="120"/>
      <c r="AQ395" s="120"/>
      <c r="AR395" s="121"/>
      <c r="AS395" s="96"/>
      <c r="AT395" s="122"/>
      <c r="AU395" s="96"/>
      <c r="AV395" s="122"/>
      <c r="AW395" s="122"/>
      <c r="AX395" s="30"/>
      <c r="AY395" s="30"/>
      <c r="AZ395" s="30"/>
      <c r="BA395" s="30"/>
      <c r="BB395" s="26"/>
      <c r="BC395" s="26"/>
      <c r="BD395" s="26"/>
      <c r="BE395" s="26"/>
      <c r="BF395" s="26"/>
    </row>
    <row r="396" spans="1:58" ht="15.75" customHeight="1">
      <c r="A396" s="67"/>
      <c r="B396" s="67"/>
      <c r="C396" s="67"/>
      <c r="D396" s="68"/>
      <c r="E396" s="68"/>
      <c r="F396" s="68"/>
      <c r="G396" s="68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30"/>
      <c r="AO396" s="25"/>
      <c r="AP396" s="120"/>
      <c r="AQ396" s="120"/>
      <c r="AR396" s="121"/>
      <c r="AS396" s="96"/>
      <c r="AT396" s="122"/>
      <c r="AU396" s="96"/>
      <c r="AV396" s="122"/>
      <c r="AW396" s="122"/>
      <c r="AX396" s="30"/>
      <c r="AY396" s="30"/>
      <c r="AZ396" s="30"/>
      <c r="BA396" s="30"/>
      <c r="BB396" s="26"/>
      <c r="BC396" s="26"/>
      <c r="BD396" s="26"/>
      <c r="BE396" s="26"/>
      <c r="BF396" s="26"/>
    </row>
    <row r="397" spans="1:58" ht="15.75" customHeight="1">
      <c r="A397" s="67"/>
      <c r="B397" s="67"/>
      <c r="C397" s="67"/>
      <c r="D397" s="68"/>
      <c r="E397" s="68"/>
      <c r="F397" s="68"/>
      <c r="G397" s="68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30"/>
      <c r="AO397" s="25"/>
      <c r="AP397" s="120"/>
      <c r="AQ397" s="120"/>
      <c r="AR397" s="121"/>
      <c r="AS397" s="96"/>
      <c r="AT397" s="122"/>
      <c r="AU397" s="96"/>
      <c r="AV397" s="122"/>
      <c r="AW397" s="122"/>
      <c r="AX397" s="30"/>
      <c r="AY397" s="30"/>
      <c r="AZ397" s="30"/>
      <c r="BA397" s="30"/>
      <c r="BB397" s="26"/>
      <c r="BC397" s="26"/>
      <c r="BD397" s="26"/>
      <c r="BE397" s="26"/>
      <c r="BF397" s="26"/>
    </row>
    <row r="398" spans="1:58" ht="15.75" customHeight="1">
      <c r="A398" s="67"/>
      <c r="B398" s="67"/>
      <c r="C398" s="67"/>
      <c r="D398" s="68"/>
      <c r="E398" s="68"/>
      <c r="F398" s="68"/>
      <c r="G398" s="68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30"/>
      <c r="AO398" s="25"/>
      <c r="AP398" s="120"/>
      <c r="AQ398" s="120"/>
      <c r="AR398" s="121"/>
      <c r="AS398" s="96"/>
      <c r="AT398" s="122"/>
      <c r="AU398" s="96"/>
      <c r="AV398" s="122"/>
      <c r="AW398" s="122"/>
      <c r="AX398" s="30"/>
      <c r="AY398" s="30"/>
      <c r="AZ398" s="30"/>
      <c r="BA398" s="30"/>
      <c r="BB398" s="26"/>
      <c r="BC398" s="26"/>
      <c r="BD398" s="26"/>
      <c r="BE398" s="26"/>
      <c r="BF398" s="26"/>
    </row>
    <row r="399" spans="1:58" ht="15.75" customHeight="1">
      <c r="A399" s="67"/>
      <c r="B399" s="67"/>
      <c r="C399" s="67"/>
      <c r="D399" s="68"/>
      <c r="E399" s="68"/>
      <c r="F399" s="68"/>
      <c r="G399" s="68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30"/>
      <c r="AO399" s="25"/>
      <c r="AP399" s="120"/>
      <c r="AQ399" s="120"/>
      <c r="AR399" s="121"/>
      <c r="AS399" s="96"/>
      <c r="AT399" s="122"/>
      <c r="AU399" s="96"/>
      <c r="AV399" s="122"/>
      <c r="AW399" s="122"/>
      <c r="AX399" s="30"/>
      <c r="AY399" s="30"/>
      <c r="AZ399" s="30"/>
      <c r="BA399" s="30"/>
      <c r="BB399" s="26"/>
      <c r="BC399" s="26"/>
      <c r="BD399" s="26"/>
      <c r="BE399" s="26"/>
      <c r="BF399" s="26"/>
    </row>
    <row r="400" spans="1:58" ht="15.75" customHeight="1">
      <c r="A400" s="67"/>
      <c r="B400" s="67"/>
      <c r="C400" s="67"/>
      <c r="D400" s="68"/>
      <c r="E400" s="68"/>
      <c r="F400" s="68"/>
      <c r="G400" s="68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30"/>
      <c r="AO400" s="25"/>
      <c r="AP400" s="120"/>
      <c r="AQ400" s="120"/>
      <c r="AR400" s="121"/>
      <c r="AS400" s="96"/>
      <c r="AT400" s="122"/>
      <c r="AU400" s="96"/>
      <c r="AV400" s="122"/>
      <c r="AW400" s="122"/>
      <c r="AX400" s="30"/>
      <c r="AY400" s="30"/>
      <c r="AZ400" s="30"/>
      <c r="BA400" s="30"/>
      <c r="BB400" s="26"/>
      <c r="BC400" s="26"/>
      <c r="BD400" s="26"/>
      <c r="BE400" s="26"/>
      <c r="BF400" s="26"/>
    </row>
    <row r="401" spans="1:58" ht="15.75" customHeight="1">
      <c r="A401" s="67"/>
      <c r="B401" s="67"/>
      <c r="C401" s="67"/>
      <c r="D401" s="68"/>
      <c r="E401" s="68"/>
      <c r="F401" s="68"/>
      <c r="G401" s="68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30"/>
      <c r="AO401" s="25"/>
      <c r="AP401" s="120"/>
      <c r="AQ401" s="120"/>
      <c r="AR401" s="121"/>
      <c r="AS401" s="96"/>
      <c r="AT401" s="122"/>
      <c r="AU401" s="96"/>
      <c r="AV401" s="122"/>
      <c r="AW401" s="122"/>
      <c r="AX401" s="30"/>
      <c r="AY401" s="30"/>
      <c r="AZ401" s="30"/>
      <c r="BA401" s="30"/>
      <c r="BB401" s="26"/>
      <c r="BC401" s="26"/>
      <c r="BD401" s="26"/>
      <c r="BE401" s="26"/>
      <c r="BF401" s="26"/>
    </row>
    <row r="402" spans="1:58" ht="15.75" customHeight="1">
      <c r="A402" s="67"/>
      <c r="B402" s="67"/>
      <c r="C402" s="67"/>
      <c r="D402" s="68"/>
      <c r="E402" s="68"/>
      <c r="F402" s="68"/>
      <c r="G402" s="68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30"/>
      <c r="AO402" s="25"/>
      <c r="AP402" s="120"/>
      <c r="AQ402" s="120"/>
      <c r="AR402" s="121"/>
      <c r="AS402" s="96"/>
      <c r="AT402" s="122"/>
      <c r="AU402" s="96"/>
      <c r="AV402" s="122"/>
      <c r="AW402" s="122"/>
      <c r="AX402" s="30"/>
      <c r="AY402" s="30"/>
      <c r="AZ402" s="30"/>
      <c r="BA402" s="30"/>
      <c r="BB402" s="26"/>
      <c r="BC402" s="26"/>
      <c r="BD402" s="26"/>
      <c r="BE402" s="26"/>
      <c r="BF402" s="26"/>
    </row>
    <row r="403" spans="1:58" ht="15.75" customHeight="1">
      <c r="A403" s="67"/>
      <c r="B403" s="67"/>
      <c r="C403" s="67"/>
      <c r="D403" s="68"/>
      <c r="E403" s="68"/>
      <c r="F403" s="68"/>
      <c r="G403" s="68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30"/>
      <c r="AO403" s="25"/>
      <c r="AP403" s="120"/>
      <c r="AQ403" s="120"/>
      <c r="AR403" s="121"/>
      <c r="AS403" s="96"/>
      <c r="AT403" s="122"/>
      <c r="AU403" s="96"/>
      <c r="AV403" s="122"/>
      <c r="AW403" s="122"/>
      <c r="AX403" s="30"/>
      <c r="AY403" s="30"/>
      <c r="AZ403" s="30"/>
      <c r="BA403" s="30"/>
      <c r="BB403" s="26"/>
      <c r="BC403" s="26"/>
      <c r="BD403" s="26"/>
      <c r="BE403" s="26"/>
      <c r="BF403" s="26"/>
    </row>
    <row r="404" spans="1:58" ht="15.75" customHeight="1">
      <c r="A404" s="67"/>
      <c r="B404" s="67"/>
      <c r="C404" s="67"/>
      <c r="D404" s="68"/>
      <c r="E404" s="68"/>
      <c r="F404" s="68"/>
      <c r="G404" s="68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30"/>
      <c r="AO404" s="25"/>
      <c r="AP404" s="120"/>
      <c r="AQ404" s="120"/>
      <c r="AR404" s="121"/>
      <c r="AS404" s="96"/>
      <c r="AT404" s="122"/>
      <c r="AU404" s="96"/>
      <c r="AV404" s="122"/>
      <c r="AW404" s="122"/>
      <c r="AX404" s="30"/>
      <c r="AY404" s="30"/>
      <c r="AZ404" s="30"/>
      <c r="BA404" s="30"/>
      <c r="BB404" s="26"/>
      <c r="BC404" s="26"/>
      <c r="BD404" s="26"/>
      <c r="BE404" s="26"/>
      <c r="BF404" s="26"/>
    </row>
    <row r="405" spans="1:58" ht="15.75" customHeight="1">
      <c r="A405" s="67"/>
      <c r="B405" s="67"/>
      <c r="C405" s="67"/>
      <c r="D405" s="68"/>
      <c r="E405" s="68"/>
      <c r="F405" s="68"/>
      <c r="G405" s="68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30"/>
      <c r="AO405" s="25"/>
      <c r="AP405" s="120"/>
      <c r="AQ405" s="120"/>
      <c r="AR405" s="121"/>
      <c r="AS405" s="96"/>
      <c r="AT405" s="122"/>
      <c r="AU405" s="96"/>
      <c r="AV405" s="122"/>
      <c r="AW405" s="122"/>
      <c r="AX405" s="30"/>
      <c r="AY405" s="30"/>
      <c r="AZ405" s="30"/>
      <c r="BA405" s="30"/>
      <c r="BB405" s="26"/>
      <c r="BC405" s="26"/>
      <c r="BD405" s="26"/>
      <c r="BE405" s="26"/>
      <c r="BF405" s="26"/>
    </row>
    <row r="406" spans="1:58" ht="15.75" customHeight="1">
      <c r="A406" s="67"/>
      <c r="B406" s="67"/>
      <c r="C406" s="67"/>
      <c r="D406" s="68"/>
      <c r="E406" s="68"/>
      <c r="F406" s="68"/>
      <c r="G406" s="68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30"/>
      <c r="AO406" s="25"/>
      <c r="AP406" s="120"/>
      <c r="AQ406" s="120"/>
      <c r="AR406" s="121"/>
      <c r="AS406" s="96"/>
      <c r="AT406" s="122"/>
      <c r="AU406" s="96"/>
      <c r="AV406" s="122"/>
      <c r="AW406" s="122"/>
      <c r="AX406" s="30"/>
      <c r="AY406" s="30"/>
      <c r="AZ406" s="30"/>
      <c r="BA406" s="30"/>
      <c r="BB406" s="26"/>
      <c r="BC406" s="26"/>
      <c r="BD406" s="26"/>
      <c r="BE406" s="26"/>
      <c r="BF406" s="26"/>
    </row>
    <row r="407" spans="1:58" ht="15.75" customHeight="1">
      <c r="A407" s="67"/>
      <c r="B407" s="67"/>
      <c r="C407" s="67"/>
      <c r="D407" s="68"/>
      <c r="E407" s="68"/>
      <c r="F407" s="68"/>
      <c r="G407" s="68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30"/>
      <c r="AO407" s="25"/>
      <c r="AP407" s="120"/>
      <c r="AQ407" s="120"/>
      <c r="AR407" s="121"/>
      <c r="AS407" s="96"/>
      <c r="AT407" s="122"/>
      <c r="AU407" s="96"/>
      <c r="AV407" s="122"/>
      <c r="AW407" s="122"/>
      <c r="AX407" s="30"/>
      <c r="AY407" s="30"/>
      <c r="AZ407" s="30"/>
      <c r="BA407" s="30"/>
      <c r="BB407" s="26"/>
      <c r="BC407" s="26"/>
      <c r="BD407" s="26"/>
      <c r="BE407" s="26"/>
      <c r="BF407" s="26"/>
    </row>
    <row r="408" spans="1:58" ht="15.75" customHeight="1">
      <c r="A408" s="67"/>
      <c r="B408" s="67"/>
      <c r="C408" s="67"/>
      <c r="D408" s="68"/>
      <c r="E408" s="68"/>
      <c r="F408" s="68"/>
      <c r="G408" s="68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30"/>
      <c r="AO408" s="25"/>
      <c r="AP408" s="120"/>
      <c r="AQ408" s="120"/>
      <c r="AR408" s="121"/>
      <c r="AS408" s="96"/>
      <c r="AT408" s="122"/>
      <c r="AU408" s="96"/>
      <c r="AV408" s="122"/>
      <c r="AW408" s="122"/>
      <c r="AX408" s="30"/>
      <c r="AY408" s="30"/>
      <c r="AZ408" s="30"/>
      <c r="BA408" s="30"/>
      <c r="BB408" s="26"/>
      <c r="BC408" s="26"/>
      <c r="BD408" s="26"/>
      <c r="BE408" s="26"/>
      <c r="BF408" s="26"/>
    </row>
    <row r="409" spans="1:58" ht="15.75" customHeight="1">
      <c r="A409" s="67"/>
      <c r="B409" s="67"/>
      <c r="C409" s="67"/>
      <c r="D409" s="68"/>
      <c r="E409" s="68"/>
      <c r="F409" s="68"/>
      <c r="G409" s="68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30"/>
      <c r="AO409" s="25"/>
      <c r="AP409" s="120"/>
      <c r="AQ409" s="120"/>
      <c r="AR409" s="121"/>
      <c r="AS409" s="96"/>
      <c r="AT409" s="122"/>
      <c r="AU409" s="96"/>
      <c r="AV409" s="122"/>
      <c r="AW409" s="122"/>
      <c r="AX409" s="30"/>
      <c r="AY409" s="30"/>
      <c r="AZ409" s="30"/>
      <c r="BA409" s="30"/>
      <c r="BB409" s="26"/>
      <c r="BC409" s="26"/>
      <c r="BD409" s="26"/>
      <c r="BE409" s="26"/>
      <c r="BF409" s="26"/>
    </row>
    <row r="410" spans="1:58" ht="15.75" customHeight="1">
      <c r="A410" s="67"/>
      <c r="B410" s="67"/>
      <c r="C410" s="67"/>
      <c r="D410" s="68"/>
      <c r="E410" s="68"/>
      <c r="F410" s="68"/>
      <c r="G410" s="68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30"/>
      <c r="AO410" s="25"/>
      <c r="AP410" s="120"/>
      <c r="AQ410" s="120"/>
      <c r="AR410" s="121"/>
      <c r="AS410" s="96"/>
      <c r="AT410" s="122"/>
      <c r="AU410" s="96"/>
      <c r="AV410" s="122"/>
      <c r="AW410" s="122"/>
      <c r="AX410" s="30"/>
      <c r="AY410" s="30"/>
      <c r="AZ410" s="30"/>
      <c r="BA410" s="30"/>
      <c r="BB410" s="26"/>
      <c r="BC410" s="26"/>
      <c r="BD410" s="26"/>
      <c r="BE410" s="26"/>
      <c r="BF410" s="26"/>
    </row>
    <row r="411" spans="1:58" ht="15.75" customHeight="1">
      <c r="A411" s="67"/>
      <c r="B411" s="67"/>
      <c r="C411" s="67"/>
      <c r="D411" s="68"/>
      <c r="E411" s="68"/>
      <c r="F411" s="68"/>
      <c r="G411" s="68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30"/>
      <c r="AO411" s="25"/>
      <c r="AP411" s="120"/>
      <c r="AQ411" s="120"/>
      <c r="AR411" s="121"/>
      <c r="AS411" s="96"/>
      <c r="AT411" s="122"/>
      <c r="AU411" s="96"/>
      <c r="AV411" s="122"/>
      <c r="AW411" s="122"/>
      <c r="AX411" s="30"/>
      <c r="AY411" s="30"/>
      <c r="AZ411" s="30"/>
      <c r="BA411" s="30"/>
      <c r="BB411" s="26"/>
      <c r="BC411" s="26"/>
      <c r="BD411" s="26"/>
      <c r="BE411" s="26"/>
      <c r="BF411" s="26"/>
    </row>
    <row r="412" spans="1:58" ht="15.75" customHeight="1">
      <c r="A412" s="67"/>
      <c r="B412" s="67"/>
      <c r="C412" s="67"/>
      <c r="D412" s="68"/>
      <c r="E412" s="68"/>
      <c r="F412" s="68"/>
      <c r="G412" s="68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30"/>
      <c r="AO412" s="25"/>
      <c r="AP412" s="120"/>
      <c r="AQ412" s="120"/>
      <c r="AR412" s="121"/>
      <c r="AS412" s="96"/>
      <c r="AT412" s="122"/>
      <c r="AU412" s="96"/>
      <c r="AV412" s="122"/>
      <c r="AW412" s="122"/>
      <c r="AX412" s="30"/>
      <c r="AY412" s="30"/>
      <c r="AZ412" s="30"/>
      <c r="BA412" s="30"/>
      <c r="BB412" s="26"/>
      <c r="BC412" s="26"/>
      <c r="BD412" s="26"/>
      <c r="BE412" s="26"/>
      <c r="BF412" s="26"/>
    </row>
    <row r="413" spans="1:58" ht="15.75" customHeight="1">
      <c r="A413" s="67"/>
      <c r="B413" s="67"/>
      <c r="C413" s="67"/>
      <c r="D413" s="68"/>
      <c r="E413" s="68"/>
      <c r="F413" s="68"/>
      <c r="G413" s="68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30"/>
      <c r="AO413" s="25"/>
      <c r="AP413" s="120"/>
      <c r="AQ413" s="120"/>
      <c r="AR413" s="121"/>
      <c r="AS413" s="96"/>
      <c r="AT413" s="122"/>
      <c r="AU413" s="96"/>
      <c r="AV413" s="122"/>
      <c r="AW413" s="122"/>
      <c r="AX413" s="30"/>
      <c r="AY413" s="30"/>
      <c r="AZ413" s="30"/>
      <c r="BA413" s="30"/>
      <c r="BB413" s="26"/>
      <c r="BC413" s="26"/>
      <c r="BD413" s="26"/>
      <c r="BE413" s="26"/>
      <c r="BF413" s="26"/>
    </row>
    <row r="414" spans="1:58" ht="15.75" customHeight="1">
      <c r="A414" s="67"/>
      <c r="B414" s="67"/>
      <c r="C414" s="67"/>
      <c r="D414" s="68"/>
      <c r="E414" s="68"/>
      <c r="F414" s="68"/>
      <c r="G414" s="68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30"/>
      <c r="AO414" s="25"/>
      <c r="AP414" s="120"/>
      <c r="AQ414" s="120"/>
      <c r="AR414" s="121"/>
      <c r="AS414" s="96"/>
      <c r="AT414" s="122"/>
      <c r="AU414" s="96"/>
      <c r="AV414" s="122"/>
      <c r="AW414" s="122"/>
      <c r="AX414" s="30"/>
      <c r="AY414" s="30"/>
      <c r="AZ414" s="30"/>
      <c r="BA414" s="30"/>
      <c r="BB414" s="26"/>
      <c r="BC414" s="26"/>
      <c r="BD414" s="26"/>
      <c r="BE414" s="26"/>
      <c r="BF414" s="26"/>
    </row>
    <row r="415" spans="1:58" ht="15.75" customHeight="1">
      <c r="A415" s="67"/>
      <c r="B415" s="67"/>
      <c r="C415" s="67"/>
      <c r="D415" s="68"/>
      <c r="E415" s="68"/>
      <c r="F415" s="68"/>
      <c r="G415" s="68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30"/>
      <c r="AO415" s="25"/>
      <c r="AP415" s="120"/>
      <c r="AQ415" s="120"/>
      <c r="AR415" s="121"/>
      <c r="AS415" s="96"/>
      <c r="AT415" s="122"/>
      <c r="AU415" s="96"/>
      <c r="AV415" s="122"/>
      <c r="AW415" s="122"/>
      <c r="AX415" s="30"/>
      <c r="AY415" s="30"/>
      <c r="AZ415" s="30"/>
      <c r="BA415" s="30"/>
      <c r="BB415" s="26"/>
      <c r="BC415" s="26"/>
      <c r="BD415" s="26"/>
      <c r="BE415" s="26"/>
      <c r="BF415" s="26"/>
    </row>
    <row r="416" spans="1:58" ht="15.75" customHeight="1">
      <c r="A416" s="67"/>
      <c r="B416" s="67"/>
      <c r="C416" s="67"/>
      <c r="D416" s="68"/>
      <c r="E416" s="68"/>
      <c r="F416" s="68"/>
      <c r="G416" s="68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30"/>
      <c r="AO416" s="25"/>
      <c r="AP416" s="120"/>
      <c r="AQ416" s="120"/>
      <c r="AR416" s="121"/>
      <c r="AS416" s="96"/>
      <c r="AT416" s="122"/>
      <c r="AU416" s="96"/>
      <c r="AV416" s="122"/>
      <c r="AW416" s="122"/>
      <c r="AX416" s="30"/>
      <c r="AY416" s="30"/>
      <c r="AZ416" s="30"/>
      <c r="BA416" s="30"/>
      <c r="BB416" s="26"/>
      <c r="BC416" s="26"/>
      <c r="BD416" s="26"/>
      <c r="BE416" s="26"/>
      <c r="BF416" s="26"/>
    </row>
    <row r="417" spans="1:58" ht="15.75" customHeight="1">
      <c r="A417" s="67"/>
      <c r="B417" s="67"/>
      <c r="C417" s="67"/>
      <c r="D417" s="68"/>
      <c r="E417" s="68"/>
      <c r="F417" s="68"/>
      <c r="G417" s="68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30"/>
      <c r="AO417" s="25"/>
      <c r="AP417" s="120"/>
      <c r="AQ417" s="120"/>
      <c r="AR417" s="121"/>
      <c r="AS417" s="96"/>
      <c r="AT417" s="122"/>
      <c r="AU417" s="96"/>
      <c r="AV417" s="122"/>
      <c r="AW417" s="122"/>
      <c r="AX417" s="30"/>
      <c r="AY417" s="30"/>
      <c r="AZ417" s="30"/>
      <c r="BA417" s="30"/>
      <c r="BB417" s="26"/>
      <c r="BC417" s="26"/>
      <c r="BD417" s="26"/>
      <c r="BE417" s="26"/>
      <c r="BF417" s="26"/>
    </row>
    <row r="418" spans="1:58" ht="15.75" customHeight="1">
      <c r="A418" s="67"/>
      <c r="B418" s="67"/>
      <c r="C418" s="67"/>
      <c r="D418" s="68"/>
      <c r="E418" s="68"/>
      <c r="F418" s="68"/>
      <c r="G418" s="68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30"/>
      <c r="AO418" s="25"/>
      <c r="AP418" s="120"/>
      <c r="AQ418" s="120"/>
      <c r="AR418" s="121"/>
      <c r="AS418" s="96"/>
      <c r="AT418" s="122"/>
      <c r="AU418" s="96"/>
      <c r="AV418" s="122"/>
      <c r="AW418" s="122"/>
      <c r="AX418" s="30"/>
      <c r="AY418" s="30"/>
      <c r="AZ418" s="30"/>
      <c r="BA418" s="30"/>
      <c r="BB418" s="26"/>
      <c r="BC418" s="26"/>
      <c r="BD418" s="26"/>
      <c r="BE418" s="26"/>
      <c r="BF418" s="26"/>
    </row>
    <row r="419" spans="1:58" ht="15.75" customHeight="1">
      <c r="A419" s="67"/>
      <c r="B419" s="67"/>
      <c r="C419" s="67"/>
      <c r="D419" s="68"/>
      <c r="E419" s="68"/>
      <c r="F419" s="68"/>
      <c r="G419" s="68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30"/>
      <c r="AO419" s="25"/>
      <c r="AP419" s="120"/>
      <c r="AQ419" s="120"/>
      <c r="AR419" s="121"/>
      <c r="AS419" s="96"/>
      <c r="AT419" s="122"/>
      <c r="AU419" s="96"/>
      <c r="AV419" s="122"/>
      <c r="AW419" s="122"/>
      <c r="AX419" s="30"/>
      <c r="AY419" s="30"/>
      <c r="AZ419" s="30"/>
      <c r="BA419" s="30"/>
      <c r="BB419" s="26"/>
      <c r="BC419" s="26"/>
      <c r="BD419" s="26"/>
      <c r="BE419" s="26"/>
      <c r="BF419" s="26"/>
    </row>
    <row r="420" spans="1:58" ht="15.75" customHeight="1">
      <c r="A420" s="67"/>
      <c r="B420" s="67"/>
      <c r="C420" s="67"/>
      <c r="D420" s="68"/>
      <c r="E420" s="68"/>
      <c r="F420" s="68"/>
      <c r="G420" s="68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30"/>
      <c r="AO420" s="25"/>
      <c r="AP420" s="120"/>
      <c r="AQ420" s="120"/>
      <c r="AR420" s="121"/>
      <c r="AS420" s="96"/>
      <c r="AT420" s="122"/>
      <c r="AU420" s="96"/>
      <c r="AV420" s="122"/>
      <c r="AW420" s="122"/>
      <c r="AX420" s="30"/>
      <c r="AY420" s="30"/>
      <c r="AZ420" s="30"/>
      <c r="BA420" s="30"/>
      <c r="BB420" s="26"/>
      <c r="BC420" s="26"/>
      <c r="BD420" s="26"/>
      <c r="BE420" s="26"/>
      <c r="BF420" s="26"/>
    </row>
    <row r="421" spans="1:58" ht="15.75" customHeight="1">
      <c r="A421" s="67"/>
      <c r="B421" s="67"/>
      <c r="C421" s="67"/>
      <c r="D421" s="68"/>
      <c r="E421" s="68"/>
      <c r="F421" s="68"/>
      <c r="G421" s="68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30"/>
      <c r="AO421" s="25"/>
      <c r="AP421" s="120"/>
      <c r="AQ421" s="120"/>
      <c r="AR421" s="121"/>
      <c r="AS421" s="96"/>
      <c r="AT421" s="122"/>
      <c r="AU421" s="96"/>
      <c r="AV421" s="122"/>
      <c r="AW421" s="122"/>
      <c r="AX421" s="30"/>
      <c r="AY421" s="30"/>
      <c r="AZ421" s="30"/>
      <c r="BA421" s="30"/>
      <c r="BB421" s="26"/>
      <c r="BC421" s="26"/>
      <c r="BD421" s="26"/>
      <c r="BE421" s="26"/>
      <c r="BF421" s="26"/>
    </row>
    <row r="422" spans="1:58" ht="15.75" customHeight="1">
      <c r="A422" s="67"/>
      <c r="B422" s="67"/>
      <c r="C422" s="67"/>
      <c r="D422" s="68"/>
      <c r="E422" s="68"/>
      <c r="F422" s="68"/>
      <c r="G422" s="68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30"/>
      <c r="AO422" s="25"/>
      <c r="AP422" s="120"/>
      <c r="AQ422" s="120"/>
      <c r="AR422" s="121"/>
      <c r="AS422" s="96"/>
      <c r="AT422" s="122"/>
      <c r="AU422" s="96"/>
      <c r="AV422" s="122"/>
      <c r="AW422" s="122"/>
      <c r="AX422" s="30"/>
      <c r="AY422" s="30"/>
      <c r="AZ422" s="30"/>
      <c r="BA422" s="30"/>
      <c r="BB422" s="26"/>
      <c r="BC422" s="26"/>
      <c r="BD422" s="26"/>
      <c r="BE422" s="26"/>
      <c r="BF422" s="26"/>
    </row>
    <row r="423" spans="1:58" ht="15.75" customHeight="1">
      <c r="A423" s="67"/>
      <c r="B423" s="67"/>
      <c r="C423" s="67"/>
      <c r="D423" s="68"/>
      <c r="E423" s="68"/>
      <c r="F423" s="68"/>
      <c r="G423" s="68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30"/>
      <c r="AO423" s="25"/>
      <c r="AP423" s="120"/>
      <c r="AQ423" s="120"/>
      <c r="AR423" s="121"/>
      <c r="AS423" s="96"/>
      <c r="AT423" s="122"/>
      <c r="AU423" s="96"/>
      <c r="AV423" s="122"/>
      <c r="AW423" s="122"/>
      <c r="AX423" s="30"/>
      <c r="AY423" s="30"/>
      <c r="AZ423" s="30"/>
      <c r="BA423" s="30"/>
      <c r="BB423" s="26"/>
      <c r="BC423" s="26"/>
      <c r="BD423" s="26"/>
      <c r="BE423" s="26"/>
      <c r="BF423" s="26"/>
    </row>
    <row r="424" spans="1:58" ht="15.75" customHeight="1">
      <c r="A424" s="67"/>
      <c r="B424" s="67"/>
      <c r="C424" s="67"/>
      <c r="D424" s="68"/>
      <c r="E424" s="68"/>
      <c r="F424" s="68"/>
      <c r="G424" s="68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30"/>
      <c r="AO424" s="25"/>
      <c r="AP424" s="120"/>
      <c r="AQ424" s="120"/>
      <c r="AR424" s="121"/>
      <c r="AS424" s="96"/>
      <c r="AT424" s="122"/>
      <c r="AU424" s="96"/>
      <c r="AV424" s="122"/>
      <c r="AW424" s="122"/>
      <c r="AX424" s="30"/>
      <c r="AY424" s="30"/>
      <c r="AZ424" s="30"/>
      <c r="BA424" s="30"/>
      <c r="BB424" s="26"/>
      <c r="BC424" s="26"/>
      <c r="BD424" s="26"/>
      <c r="BE424" s="26"/>
      <c r="BF424" s="26"/>
    </row>
    <row r="425" spans="1:58" ht="15.75" customHeight="1">
      <c r="A425" s="67"/>
      <c r="B425" s="67"/>
      <c r="C425" s="67"/>
      <c r="D425" s="68"/>
      <c r="E425" s="68"/>
      <c r="F425" s="68"/>
      <c r="G425" s="68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30"/>
      <c r="AO425" s="25"/>
      <c r="AP425" s="120"/>
      <c r="AQ425" s="120"/>
      <c r="AR425" s="121"/>
      <c r="AS425" s="96"/>
      <c r="AT425" s="122"/>
      <c r="AU425" s="96"/>
      <c r="AV425" s="122"/>
      <c r="AW425" s="122"/>
      <c r="AX425" s="30"/>
      <c r="AY425" s="30"/>
      <c r="AZ425" s="30"/>
      <c r="BA425" s="30"/>
      <c r="BB425" s="26"/>
      <c r="BC425" s="26"/>
      <c r="BD425" s="26"/>
      <c r="BE425" s="26"/>
      <c r="BF425" s="26"/>
    </row>
    <row r="426" spans="1:58" ht="15.75" customHeight="1">
      <c r="A426" s="67"/>
      <c r="B426" s="67"/>
      <c r="C426" s="67"/>
      <c r="D426" s="68"/>
      <c r="E426" s="68"/>
      <c r="F426" s="68"/>
      <c r="G426" s="68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30"/>
      <c r="AO426" s="25"/>
      <c r="AP426" s="120"/>
      <c r="AQ426" s="120"/>
      <c r="AR426" s="121"/>
      <c r="AS426" s="96"/>
      <c r="AT426" s="122"/>
      <c r="AU426" s="96"/>
      <c r="AV426" s="122"/>
      <c r="AW426" s="122"/>
      <c r="AX426" s="30"/>
      <c r="AY426" s="30"/>
      <c r="AZ426" s="30"/>
      <c r="BA426" s="30"/>
      <c r="BB426" s="26"/>
      <c r="BC426" s="26"/>
      <c r="BD426" s="26"/>
      <c r="BE426" s="26"/>
      <c r="BF426" s="26"/>
    </row>
    <row r="427" spans="1:58" ht="15.75" customHeight="1">
      <c r="A427" s="67"/>
      <c r="B427" s="67"/>
      <c r="C427" s="67"/>
      <c r="D427" s="68"/>
      <c r="E427" s="68"/>
      <c r="F427" s="68"/>
      <c r="G427" s="68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30"/>
      <c r="AO427" s="25"/>
      <c r="AP427" s="120"/>
      <c r="AQ427" s="120"/>
      <c r="AR427" s="121"/>
      <c r="AS427" s="96"/>
      <c r="AT427" s="122"/>
      <c r="AU427" s="96"/>
      <c r="AV427" s="122"/>
      <c r="AW427" s="122"/>
      <c r="AX427" s="30"/>
      <c r="AY427" s="30"/>
      <c r="AZ427" s="30"/>
      <c r="BA427" s="30"/>
      <c r="BB427" s="26"/>
      <c r="BC427" s="26"/>
      <c r="BD427" s="26"/>
      <c r="BE427" s="26"/>
      <c r="BF427" s="26"/>
    </row>
    <row r="428" spans="1:58" ht="15.75" customHeight="1">
      <c r="A428" s="67"/>
      <c r="B428" s="67"/>
      <c r="C428" s="67"/>
      <c r="D428" s="68"/>
      <c r="E428" s="68"/>
      <c r="F428" s="68"/>
      <c r="G428" s="68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30"/>
      <c r="AO428" s="25"/>
      <c r="AP428" s="120"/>
      <c r="AQ428" s="120"/>
      <c r="AR428" s="121"/>
      <c r="AS428" s="96"/>
      <c r="AT428" s="122"/>
      <c r="AU428" s="96"/>
      <c r="AV428" s="122"/>
      <c r="AW428" s="122"/>
      <c r="AX428" s="30"/>
      <c r="AY428" s="30"/>
      <c r="AZ428" s="30"/>
      <c r="BA428" s="30"/>
      <c r="BB428" s="26"/>
      <c r="BC428" s="26"/>
      <c r="BD428" s="26"/>
      <c r="BE428" s="26"/>
      <c r="BF428" s="26"/>
    </row>
    <row r="429" spans="1:58" ht="15.75" customHeight="1">
      <c r="A429" s="67"/>
      <c r="B429" s="67"/>
      <c r="C429" s="67"/>
      <c r="D429" s="68"/>
      <c r="E429" s="68"/>
      <c r="F429" s="68"/>
      <c r="G429" s="68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30"/>
      <c r="AO429" s="25"/>
      <c r="AP429" s="120"/>
      <c r="AQ429" s="120"/>
      <c r="AR429" s="121"/>
      <c r="AS429" s="96"/>
      <c r="AT429" s="122"/>
      <c r="AU429" s="96"/>
      <c r="AV429" s="122"/>
      <c r="AW429" s="122"/>
      <c r="AX429" s="30"/>
      <c r="AY429" s="30"/>
      <c r="AZ429" s="30"/>
      <c r="BA429" s="30"/>
      <c r="BB429" s="26"/>
      <c r="BC429" s="26"/>
      <c r="BD429" s="26"/>
      <c r="BE429" s="26"/>
      <c r="BF429" s="26"/>
    </row>
    <row r="430" spans="1:58" ht="15.75" customHeight="1">
      <c r="A430" s="67"/>
      <c r="B430" s="67"/>
      <c r="C430" s="67"/>
      <c r="D430" s="68"/>
      <c r="E430" s="68"/>
      <c r="F430" s="68"/>
      <c r="G430" s="68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30"/>
      <c r="AO430" s="25"/>
      <c r="AP430" s="120"/>
      <c r="AQ430" s="120"/>
      <c r="AR430" s="121"/>
      <c r="AS430" s="96"/>
      <c r="AT430" s="122"/>
      <c r="AU430" s="96"/>
      <c r="AV430" s="122"/>
      <c r="AW430" s="122"/>
      <c r="AX430" s="30"/>
      <c r="AY430" s="30"/>
      <c r="AZ430" s="30"/>
      <c r="BA430" s="30"/>
      <c r="BB430" s="26"/>
      <c r="BC430" s="26"/>
      <c r="BD430" s="26"/>
      <c r="BE430" s="26"/>
      <c r="BF430" s="26"/>
    </row>
    <row r="431" spans="1:58" ht="15.75" customHeight="1">
      <c r="A431" s="67"/>
      <c r="B431" s="67"/>
      <c r="C431" s="67"/>
      <c r="D431" s="68"/>
      <c r="E431" s="68"/>
      <c r="F431" s="68"/>
      <c r="G431" s="68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30"/>
      <c r="AO431" s="25"/>
      <c r="AP431" s="120"/>
      <c r="AQ431" s="120"/>
      <c r="AR431" s="121"/>
      <c r="AS431" s="96"/>
      <c r="AT431" s="122"/>
      <c r="AU431" s="96"/>
      <c r="AV431" s="122"/>
      <c r="AW431" s="122"/>
      <c r="AX431" s="30"/>
      <c r="AY431" s="30"/>
      <c r="AZ431" s="30"/>
      <c r="BA431" s="30"/>
      <c r="BB431" s="26"/>
      <c r="BC431" s="26"/>
      <c r="BD431" s="26"/>
      <c r="BE431" s="26"/>
      <c r="BF431" s="26"/>
    </row>
    <row r="432" spans="1:58" ht="15.75" customHeight="1">
      <c r="A432" s="67"/>
      <c r="B432" s="67"/>
      <c r="C432" s="67"/>
      <c r="D432" s="68"/>
      <c r="E432" s="68"/>
      <c r="F432" s="68"/>
      <c r="G432" s="68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30"/>
      <c r="AO432" s="25"/>
      <c r="AP432" s="120"/>
      <c r="AQ432" s="120"/>
      <c r="AR432" s="121"/>
      <c r="AS432" s="96"/>
      <c r="AT432" s="122"/>
      <c r="AU432" s="96"/>
      <c r="AV432" s="122"/>
      <c r="AW432" s="122"/>
      <c r="AX432" s="30"/>
      <c r="AY432" s="30"/>
      <c r="AZ432" s="30"/>
      <c r="BA432" s="30"/>
      <c r="BB432" s="26"/>
      <c r="BC432" s="26"/>
      <c r="BD432" s="26"/>
      <c r="BE432" s="26"/>
      <c r="BF432" s="26"/>
    </row>
    <row r="433" spans="1:58" ht="15.75" customHeight="1">
      <c r="A433" s="67"/>
      <c r="B433" s="67"/>
      <c r="C433" s="67"/>
      <c r="D433" s="68"/>
      <c r="E433" s="68"/>
      <c r="F433" s="68"/>
      <c r="G433" s="68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30"/>
      <c r="AO433" s="25"/>
      <c r="AP433" s="120"/>
      <c r="AQ433" s="120"/>
      <c r="AR433" s="121"/>
      <c r="AS433" s="96"/>
      <c r="AT433" s="122"/>
      <c r="AU433" s="96"/>
      <c r="AV433" s="122"/>
      <c r="AW433" s="122"/>
      <c r="AX433" s="30"/>
      <c r="AY433" s="30"/>
      <c r="AZ433" s="30"/>
      <c r="BA433" s="30"/>
      <c r="BB433" s="26"/>
      <c r="BC433" s="26"/>
      <c r="BD433" s="26"/>
      <c r="BE433" s="26"/>
      <c r="BF433" s="26"/>
    </row>
    <row r="434" spans="1:58" ht="15.75" customHeight="1">
      <c r="A434" s="67"/>
      <c r="B434" s="67"/>
      <c r="C434" s="67"/>
      <c r="D434" s="68"/>
      <c r="E434" s="68"/>
      <c r="F434" s="68"/>
      <c r="G434" s="68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30"/>
      <c r="AO434" s="25"/>
      <c r="AP434" s="120"/>
      <c r="AQ434" s="120"/>
      <c r="AR434" s="121"/>
      <c r="AS434" s="96"/>
      <c r="AT434" s="122"/>
      <c r="AU434" s="96"/>
      <c r="AV434" s="122"/>
      <c r="AW434" s="122"/>
      <c r="AX434" s="30"/>
      <c r="AY434" s="30"/>
      <c r="AZ434" s="30"/>
      <c r="BA434" s="30"/>
      <c r="BB434" s="26"/>
      <c r="BC434" s="26"/>
      <c r="BD434" s="26"/>
      <c r="BE434" s="26"/>
      <c r="BF434" s="26"/>
    </row>
    <row r="435" spans="1:58" ht="15.75" customHeight="1">
      <c r="A435" s="67"/>
      <c r="B435" s="67"/>
      <c r="C435" s="67"/>
      <c r="D435" s="68"/>
      <c r="E435" s="68"/>
      <c r="F435" s="68"/>
      <c r="G435" s="68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30"/>
      <c r="AO435" s="25"/>
      <c r="AP435" s="120"/>
      <c r="AQ435" s="120"/>
      <c r="AR435" s="121"/>
      <c r="AS435" s="96"/>
      <c r="AT435" s="122"/>
      <c r="AU435" s="96"/>
      <c r="AV435" s="122"/>
      <c r="AW435" s="122"/>
      <c r="AX435" s="30"/>
      <c r="AY435" s="30"/>
      <c r="AZ435" s="30"/>
      <c r="BA435" s="30"/>
      <c r="BB435" s="26"/>
      <c r="BC435" s="26"/>
      <c r="BD435" s="26"/>
      <c r="BE435" s="26"/>
      <c r="BF435" s="26"/>
    </row>
    <row r="436" spans="1:58" ht="15.75" customHeight="1">
      <c r="A436" s="67"/>
      <c r="B436" s="67"/>
      <c r="C436" s="67"/>
      <c r="D436" s="68"/>
      <c r="E436" s="68"/>
      <c r="F436" s="68"/>
      <c r="G436" s="68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30"/>
      <c r="AO436" s="25"/>
      <c r="AP436" s="120"/>
      <c r="AQ436" s="120"/>
      <c r="AR436" s="121"/>
      <c r="AS436" s="96"/>
      <c r="AT436" s="122"/>
      <c r="AU436" s="96"/>
      <c r="AV436" s="122"/>
      <c r="AW436" s="122"/>
      <c r="AX436" s="30"/>
      <c r="AY436" s="30"/>
      <c r="AZ436" s="30"/>
      <c r="BA436" s="30"/>
      <c r="BB436" s="26"/>
      <c r="BC436" s="26"/>
      <c r="BD436" s="26"/>
      <c r="BE436" s="26"/>
      <c r="BF436" s="26"/>
    </row>
    <row r="437" spans="1:58" ht="15.75" customHeight="1">
      <c r="A437" s="67"/>
      <c r="B437" s="67"/>
      <c r="C437" s="67"/>
      <c r="D437" s="68"/>
      <c r="E437" s="68"/>
      <c r="F437" s="68"/>
      <c r="G437" s="68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30"/>
      <c r="AO437" s="25"/>
      <c r="AP437" s="120"/>
      <c r="AQ437" s="120"/>
      <c r="AR437" s="121"/>
      <c r="AS437" s="96"/>
      <c r="AT437" s="122"/>
      <c r="AU437" s="96"/>
      <c r="AV437" s="122"/>
      <c r="AW437" s="122"/>
      <c r="AX437" s="30"/>
      <c r="AY437" s="30"/>
      <c r="AZ437" s="30"/>
      <c r="BA437" s="30"/>
      <c r="BB437" s="26"/>
      <c r="BC437" s="26"/>
      <c r="BD437" s="26"/>
      <c r="BE437" s="26"/>
      <c r="BF437" s="26"/>
    </row>
    <row r="438" spans="1:58" ht="15.75" customHeight="1">
      <c r="A438" s="67"/>
      <c r="B438" s="67"/>
      <c r="C438" s="67"/>
      <c r="D438" s="68"/>
      <c r="E438" s="68"/>
      <c r="F438" s="68"/>
      <c r="G438" s="68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30"/>
      <c r="AO438" s="25"/>
      <c r="AP438" s="120"/>
      <c r="AQ438" s="120"/>
      <c r="AR438" s="121"/>
      <c r="AS438" s="96"/>
      <c r="AT438" s="122"/>
      <c r="AU438" s="96"/>
      <c r="AV438" s="122"/>
      <c r="AW438" s="122"/>
      <c r="AX438" s="30"/>
      <c r="AY438" s="30"/>
      <c r="AZ438" s="30"/>
      <c r="BA438" s="30"/>
      <c r="BB438" s="26"/>
      <c r="BC438" s="26"/>
      <c r="BD438" s="26"/>
      <c r="BE438" s="26"/>
      <c r="BF438" s="26"/>
    </row>
    <row r="439" spans="1:58" ht="15.75" customHeight="1">
      <c r="A439" s="67"/>
      <c r="B439" s="67"/>
      <c r="C439" s="67"/>
      <c r="D439" s="68"/>
      <c r="E439" s="68"/>
      <c r="F439" s="68"/>
      <c r="G439" s="68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30"/>
      <c r="AO439" s="25"/>
      <c r="AP439" s="120"/>
      <c r="AQ439" s="120"/>
      <c r="AR439" s="121"/>
      <c r="AS439" s="96"/>
      <c r="AT439" s="122"/>
      <c r="AU439" s="96"/>
      <c r="AV439" s="122"/>
      <c r="AW439" s="122"/>
      <c r="AX439" s="30"/>
      <c r="AY439" s="30"/>
      <c r="AZ439" s="30"/>
      <c r="BA439" s="30"/>
      <c r="BB439" s="26"/>
      <c r="BC439" s="26"/>
      <c r="BD439" s="26"/>
      <c r="BE439" s="26"/>
      <c r="BF439" s="26"/>
    </row>
    <row r="440" spans="1:58" ht="15.75" customHeight="1">
      <c r="A440" s="67"/>
      <c r="B440" s="67"/>
      <c r="C440" s="67"/>
      <c r="D440" s="68"/>
      <c r="E440" s="68"/>
      <c r="F440" s="68"/>
      <c r="G440" s="68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30"/>
      <c r="AO440" s="25"/>
      <c r="AP440" s="120"/>
      <c r="AQ440" s="120"/>
      <c r="AR440" s="121"/>
      <c r="AS440" s="96"/>
      <c r="AT440" s="122"/>
      <c r="AU440" s="96"/>
      <c r="AV440" s="122"/>
      <c r="AW440" s="122"/>
      <c r="AX440" s="30"/>
      <c r="AY440" s="30"/>
      <c r="AZ440" s="30"/>
      <c r="BA440" s="30"/>
      <c r="BB440" s="26"/>
      <c r="BC440" s="26"/>
      <c r="BD440" s="26"/>
      <c r="BE440" s="26"/>
      <c r="BF440" s="26"/>
    </row>
    <row r="441" spans="1:58" ht="15.75" customHeight="1">
      <c r="A441" s="67"/>
      <c r="B441" s="67"/>
      <c r="C441" s="67"/>
      <c r="D441" s="68"/>
      <c r="E441" s="68"/>
      <c r="F441" s="68"/>
      <c r="G441" s="68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30"/>
      <c r="AO441" s="25"/>
      <c r="AP441" s="120"/>
      <c r="AQ441" s="120"/>
      <c r="AR441" s="121"/>
      <c r="AS441" s="96"/>
      <c r="AT441" s="122"/>
      <c r="AU441" s="96"/>
      <c r="AV441" s="122"/>
      <c r="AW441" s="122"/>
      <c r="AX441" s="30"/>
      <c r="AY441" s="30"/>
      <c r="AZ441" s="30"/>
      <c r="BA441" s="30"/>
      <c r="BB441" s="26"/>
      <c r="BC441" s="26"/>
      <c r="BD441" s="26"/>
      <c r="BE441" s="26"/>
      <c r="BF441" s="26"/>
    </row>
    <row r="442" spans="1:58" ht="15.75" customHeight="1">
      <c r="A442" s="67"/>
      <c r="B442" s="67"/>
      <c r="C442" s="67"/>
      <c r="D442" s="68"/>
      <c r="E442" s="68"/>
      <c r="F442" s="68"/>
      <c r="G442" s="68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30"/>
      <c r="AO442" s="25"/>
      <c r="AP442" s="120"/>
      <c r="AQ442" s="120"/>
      <c r="AR442" s="121"/>
      <c r="AS442" s="96"/>
      <c r="AT442" s="122"/>
      <c r="AU442" s="96"/>
      <c r="AV442" s="122"/>
      <c r="AW442" s="122"/>
      <c r="AX442" s="30"/>
      <c r="AY442" s="30"/>
      <c r="AZ442" s="30"/>
      <c r="BA442" s="30"/>
      <c r="BB442" s="26"/>
      <c r="BC442" s="26"/>
      <c r="BD442" s="26"/>
      <c r="BE442" s="26"/>
      <c r="BF442" s="26"/>
    </row>
    <row r="443" spans="1:58" ht="15.75" customHeight="1">
      <c r="A443" s="67"/>
      <c r="B443" s="67"/>
      <c r="C443" s="67"/>
      <c r="D443" s="68"/>
      <c r="E443" s="68"/>
      <c r="F443" s="68"/>
      <c r="G443" s="68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30"/>
      <c r="AO443" s="25"/>
      <c r="AP443" s="120"/>
      <c r="AQ443" s="120"/>
      <c r="AR443" s="121"/>
      <c r="AS443" s="96"/>
      <c r="AT443" s="122"/>
      <c r="AU443" s="96"/>
      <c r="AV443" s="122"/>
      <c r="AW443" s="122"/>
      <c r="AX443" s="30"/>
      <c r="AY443" s="30"/>
      <c r="AZ443" s="30"/>
      <c r="BA443" s="30"/>
      <c r="BB443" s="26"/>
      <c r="BC443" s="26"/>
      <c r="BD443" s="26"/>
      <c r="BE443" s="26"/>
      <c r="BF443" s="26"/>
    </row>
    <row r="444" spans="1:58" ht="15.75" customHeight="1">
      <c r="A444" s="67"/>
      <c r="B444" s="67"/>
      <c r="C444" s="67"/>
      <c r="D444" s="68"/>
      <c r="E444" s="68"/>
      <c r="F444" s="68"/>
      <c r="G444" s="68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30"/>
      <c r="AO444" s="25"/>
      <c r="AP444" s="120"/>
      <c r="AQ444" s="120"/>
      <c r="AR444" s="121"/>
      <c r="AS444" s="96"/>
      <c r="AT444" s="122"/>
      <c r="AU444" s="96"/>
      <c r="AV444" s="122"/>
      <c r="AW444" s="122"/>
      <c r="AX444" s="30"/>
      <c r="AY444" s="30"/>
      <c r="AZ444" s="30"/>
      <c r="BA444" s="30"/>
      <c r="BB444" s="26"/>
      <c r="BC444" s="26"/>
      <c r="BD444" s="26"/>
      <c r="BE444" s="26"/>
      <c r="BF444" s="26"/>
    </row>
    <row r="445" spans="1:58" ht="15.75" customHeight="1">
      <c r="A445" s="67"/>
      <c r="B445" s="67"/>
      <c r="C445" s="67"/>
      <c r="D445" s="68"/>
      <c r="E445" s="68"/>
      <c r="F445" s="68"/>
      <c r="G445" s="68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30"/>
      <c r="AO445" s="25"/>
      <c r="AP445" s="120"/>
      <c r="AQ445" s="120"/>
      <c r="AR445" s="121"/>
      <c r="AS445" s="96"/>
      <c r="AT445" s="122"/>
      <c r="AU445" s="96"/>
      <c r="AV445" s="122"/>
      <c r="AW445" s="122"/>
      <c r="AX445" s="30"/>
      <c r="AY445" s="30"/>
      <c r="AZ445" s="30"/>
      <c r="BA445" s="30"/>
      <c r="BB445" s="26"/>
      <c r="BC445" s="26"/>
      <c r="BD445" s="26"/>
      <c r="BE445" s="26"/>
      <c r="BF445" s="26"/>
    </row>
    <row r="446" spans="1:58" ht="15.75" customHeight="1">
      <c r="A446" s="67"/>
      <c r="B446" s="67"/>
      <c r="C446" s="67"/>
      <c r="D446" s="68"/>
      <c r="E446" s="68"/>
      <c r="F446" s="68"/>
      <c r="G446" s="68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30"/>
      <c r="AO446" s="25"/>
      <c r="AP446" s="120"/>
      <c r="AQ446" s="120"/>
      <c r="AR446" s="121"/>
      <c r="AS446" s="96"/>
      <c r="AT446" s="122"/>
      <c r="AU446" s="96"/>
      <c r="AV446" s="122"/>
      <c r="AW446" s="122"/>
      <c r="AX446" s="30"/>
      <c r="AY446" s="30"/>
      <c r="AZ446" s="30"/>
      <c r="BA446" s="30"/>
      <c r="BB446" s="26"/>
      <c r="BC446" s="26"/>
      <c r="BD446" s="26"/>
      <c r="BE446" s="26"/>
      <c r="BF446" s="26"/>
    </row>
    <row r="447" spans="1:58" ht="15.75" customHeight="1">
      <c r="A447" s="67"/>
      <c r="B447" s="67"/>
      <c r="C447" s="67"/>
      <c r="D447" s="68"/>
      <c r="E447" s="68"/>
      <c r="F447" s="68"/>
      <c r="G447" s="68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30"/>
      <c r="AO447" s="25"/>
      <c r="AP447" s="120"/>
      <c r="AQ447" s="120"/>
      <c r="AR447" s="121"/>
      <c r="AS447" s="96"/>
      <c r="AT447" s="122"/>
      <c r="AU447" s="96"/>
      <c r="AV447" s="122"/>
      <c r="AW447" s="122"/>
      <c r="AX447" s="30"/>
      <c r="AY447" s="30"/>
      <c r="AZ447" s="30"/>
      <c r="BA447" s="30"/>
      <c r="BB447" s="26"/>
      <c r="BC447" s="26"/>
      <c r="BD447" s="26"/>
      <c r="BE447" s="26"/>
      <c r="BF447" s="26"/>
    </row>
    <row r="448" spans="1:58" ht="15.75" customHeight="1">
      <c r="A448" s="67"/>
      <c r="B448" s="67"/>
      <c r="C448" s="67"/>
      <c r="D448" s="68"/>
      <c r="E448" s="68"/>
      <c r="F448" s="68"/>
      <c r="G448" s="68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30"/>
      <c r="AO448" s="25"/>
      <c r="AP448" s="120"/>
      <c r="AQ448" s="120"/>
      <c r="AR448" s="121"/>
      <c r="AS448" s="96"/>
      <c r="AT448" s="122"/>
      <c r="AU448" s="96"/>
      <c r="AV448" s="122"/>
      <c r="AW448" s="122"/>
      <c r="AX448" s="30"/>
      <c r="AY448" s="30"/>
      <c r="AZ448" s="30"/>
      <c r="BA448" s="30"/>
      <c r="BB448" s="26"/>
      <c r="BC448" s="26"/>
      <c r="BD448" s="26"/>
      <c r="BE448" s="26"/>
      <c r="BF448" s="26"/>
    </row>
    <row r="449" spans="1:58" ht="15.75" customHeight="1">
      <c r="A449" s="67"/>
      <c r="B449" s="67"/>
      <c r="C449" s="67"/>
      <c r="D449" s="68"/>
      <c r="E449" s="68"/>
      <c r="F449" s="68"/>
      <c r="G449" s="68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30"/>
      <c r="AO449" s="25"/>
      <c r="AP449" s="120"/>
      <c r="AQ449" s="120"/>
      <c r="AR449" s="121"/>
      <c r="AS449" s="96"/>
      <c r="AT449" s="122"/>
      <c r="AU449" s="96"/>
      <c r="AV449" s="122"/>
      <c r="AW449" s="122"/>
      <c r="AX449" s="30"/>
      <c r="AY449" s="30"/>
      <c r="AZ449" s="30"/>
      <c r="BA449" s="30"/>
      <c r="BB449" s="26"/>
      <c r="BC449" s="26"/>
      <c r="BD449" s="26"/>
      <c r="BE449" s="26"/>
      <c r="BF449" s="26"/>
    </row>
    <row r="450" spans="1:58" ht="15.75" customHeight="1">
      <c r="A450" s="67"/>
      <c r="B450" s="67"/>
      <c r="C450" s="67"/>
      <c r="D450" s="68"/>
      <c r="E450" s="68"/>
      <c r="F450" s="68"/>
      <c r="G450" s="68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30"/>
      <c r="AO450" s="25"/>
      <c r="AP450" s="120"/>
      <c r="AQ450" s="120"/>
      <c r="AR450" s="121"/>
      <c r="AS450" s="96"/>
      <c r="AT450" s="122"/>
      <c r="AU450" s="96"/>
      <c r="AV450" s="122"/>
      <c r="AW450" s="122"/>
      <c r="AX450" s="30"/>
      <c r="AY450" s="30"/>
      <c r="AZ450" s="30"/>
      <c r="BA450" s="30"/>
      <c r="BB450" s="26"/>
      <c r="BC450" s="26"/>
      <c r="BD450" s="26"/>
      <c r="BE450" s="26"/>
      <c r="BF450" s="26"/>
    </row>
    <row r="451" spans="1:58" ht="15.75" customHeight="1">
      <c r="A451" s="67"/>
      <c r="B451" s="67"/>
      <c r="C451" s="67"/>
      <c r="D451" s="68"/>
      <c r="E451" s="68"/>
      <c r="F451" s="68"/>
      <c r="G451" s="68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30"/>
      <c r="AO451" s="25"/>
      <c r="AP451" s="120"/>
      <c r="AQ451" s="120"/>
      <c r="AR451" s="121"/>
      <c r="AS451" s="96"/>
      <c r="AT451" s="122"/>
      <c r="AU451" s="96"/>
      <c r="AV451" s="122"/>
      <c r="AW451" s="122"/>
      <c r="AX451" s="30"/>
      <c r="AY451" s="30"/>
      <c r="AZ451" s="30"/>
      <c r="BA451" s="30"/>
      <c r="BB451" s="26"/>
      <c r="BC451" s="26"/>
      <c r="BD451" s="26"/>
      <c r="BE451" s="26"/>
      <c r="BF451" s="26"/>
    </row>
    <row r="452" spans="1:58" ht="15.75" customHeight="1">
      <c r="A452" s="67"/>
      <c r="B452" s="67"/>
      <c r="C452" s="67"/>
      <c r="D452" s="68"/>
      <c r="E452" s="68"/>
      <c r="F452" s="68"/>
      <c r="G452" s="68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30"/>
      <c r="AO452" s="25"/>
      <c r="AP452" s="120"/>
      <c r="AQ452" s="120"/>
      <c r="AR452" s="121"/>
      <c r="AS452" s="96"/>
      <c r="AT452" s="122"/>
      <c r="AU452" s="96"/>
      <c r="AV452" s="122"/>
      <c r="AW452" s="122"/>
      <c r="AX452" s="30"/>
      <c r="AY452" s="30"/>
      <c r="AZ452" s="30"/>
      <c r="BA452" s="30"/>
      <c r="BB452" s="26"/>
      <c r="BC452" s="26"/>
      <c r="BD452" s="26"/>
      <c r="BE452" s="26"/>
      <c r="BF452" s="26"/>
    </row>
    <row r="453" spans="1:58" ht="15.75" customHeight="1">
      <c r="A453" s="67"/>
      <c r="B453" s="67"/>
      <c r="C453" s="67"/>
      <c r="D453" s="68"/>
      <c r="E453" s="68"/>
      <c r="F453" s="68"/>
      <c r="G453" s="68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30"/>
      <c r="AO453" s="25"/>
      <c r="AP453" s="120"/>
      <c r="AQ453" s="120"/>
      <c r="AR453" s="121"/>
      <c r="AS453" s="96"/>
      <c r="AT453" s="122"/>
      <c r="AU453" s="96"/>
      <c r="AV453" s="122"/>
      <c r="AW453" s="122"/>
      <c r="AX453" s="30"/>
      <c r="AY453" s="30"/>
      <c r="AZ453" s="30"/>
      <c r="BA453" s="30"/>
      <c r="BB453" s="26"/>
      <c r="BC453" s="26"/>
      <c r="BD453" s="26"/>
      <c r="BE453" s="26"/>
      <c r="BF453" s="26"/>
    </row>
    <row r="454" spans="1:58" ht="15.75" customHeight="1">
      <c r="A454" s="67"/>
      <c r="B454" s="67"/>
      <c r="C454" s="67"/>
      <c r="D454" s="68"/>
      <c r="E454" s="68"/>
      <c r="F454" s="68"/>
      <c r="G454" s="68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30"/>
      <c r="AO454" s="25"/>
      <c r="AP454" s="120"/>
      <c r="AQ454" s="120"/>
      <c r="AR454" s="121"/>
      <c r="AS454" s="96"/>
      <c r="AT454" s="122"/>
      <c r="AU454" s="96"/>
      <c r="AV454" s="122"/>
      <c r="AW454" s="122"/>
      <c r="AX454" s="30"/>
      <c r="AY454" s="30"/>
      <c r="AZ454" s="30"/>
      <c r="BA454" s="30"/>
      <c r="BB454" s="26"/>
      <c r="BC454" s="26"/>
      <c r="BD454" s="26"/>
      <c r="BE454" s="26"/>
      <c r="BF454" s="26"/>
    </row>
    <row r="455" spans="1:58" ht="15.75" customHeight="1">
      <c r="A455" s="67"/>
      <c r="B455" s="67"/>
      <c r="C455" s="67"/>
      <c r="D455" s="68"/>
      <c r="E455" s="68"/>
      <c r="F455" s="68"/>
      <c r="G455" s="68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30"/>
      <c r="AO455" s="25"/>
      <c r="AP455" s="120"/>
      <c r="AQ455" s="120"/>
      <c r="AR455" s="121"/>
      <c r="AS455" s="96"/>
      <c r="AT455" s="122"/>
      <c r="AU455" s="96"/>
      <c r="AV455" s="122"/>
      <c r="AW455" s="122"/>
      <c r="AX455" s="30"/>
      <c r="AY455" s="30"/>
      <c r="AZ455" s="30"/>
      <c r="BA455" s="30"/>
      <c r="BB455" s="26"/>
      <c r="BC455" s="26"/>
      <c r="BD455" s="26"/>
      <c r="BE455" s="26"/>
      <c r="BF455" s="26"/>
    </row>
    <row r="456" spans="1:58" ht="15.75" customHeight="1">
      <c r="A456" s="67"/>
      <c r="B456" s="67"/>
      <c r="C456" s="67"/>
      <c r="D456" s="68"/>
      <c r="E456" s="68"/>
      <c r="F456" s="68"/>
      <c r="G456" s="68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30"/>
      <c r="AO456" s="25"/>
      <c r="AP456" s="120"/>
      <c r="AQ456" s="120"/>
      <c r="AR456" s="121"/>
      <c r="AS456" s="96"/>
      <c r="AT456" s="122"/>
      <c r="AU456" s="96"/>
      <c r="AV456" s="122"/>
      <c r="AW456" s="122"/>
      <c r="AX456" s="30"/>
      <c r="AY456" s="30"/>
      <c r="AZ456" s="30"/>
      <c r="BA456" s="30"/>
      <c r="BB456" s="26"/>
      <c r="BC456" s="26"/>
      <c r="BD456" s="26"/>
      <c r="BE456" s="26"/>
      <c r="BF456" s="26"/>
    </row>
    <row r="457" spans="1:58" ht="15.75" customHeight="1">
      <c r="A457" s="67"/>
      <c r="B457" s="67"/>
      <c r="C457" s="67"/>
      <c r="D457" s="68"/>
      <c r="E457" s="68"/>
      <c r="F457" s="68"/>
      <c r="G457" s="68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30"/>
      <c r="AO457" s="25"/>
      <c r="AP457" s="120"/>
      <c r="AQ457" s="120"/>
      <c r="AR457" s="121"/>
      <c r="AS457" s="96"/>
      <c r="AT457" s="122"/>
      <c r="AU457" s="96"/>
      <c r="AV457" s="122"/>
      <c r="AW457" s="122"/>
      <c r="AX457" s="30"/>
      <c r="AY457" s="30"/>
      <c r="AZ457" s="30"/>
      <c r="BA457" s="30"/>
      <c r="BB457" s="26"/>
      <c r="BC457" s="26"/>
      <c r="BD457" s="26"/>
      <c r="BE457" s="26"/>
      <c r="BF457" s="26"/>
    </row>
    <row r="458" spans="1:58" ht="15.75" customHeight="1">
      <c r="A458" s="67"/>
      <c r="B458" s="67"/>
      <c r="C458" s="67"/>
      <c r="D458" s="68"/>
      <c r="E458" s="68"/>
      <c r="F458" s="68"/>
      <c r="G458" s="68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30"/>
      <c r="AO458" s="25"/>
      <c r="AP458" s="120"/>
      <c r="AQ458" s="120"/>
      <c r="AR458" s="121"/>
      <c r="AS458" s="96"/>
      <c r="AT458" s="122"/>
      <c r="AU458" s="96"/>
      <c r="AV458" s="122"/>
      <c r="AW458" s="122"/>
      <c r="AX458" s="30"/>
      <c r="AY458" s="30"/>
      <c r="AZ458" s="30"/>
      <c r="BA458" s="30"/>
      <c r="BB458" s="26"/>
      <c r="BC458" s="26"/>
      <c r="BD458" s="26"/>
      <c r="BE458" s="26"/>
      <c r="BF458" s="26"/>
    </row>
    <row r="459" spans="1:58" ht="15.75" customHeight="1">
      <c r="A459" s="67"/>
      <c r="B459" s="67"/>
      <c r="C459" s="67"/>
      <c r="D459" s="68"/>
      <c r="E459" s="68"/>
      <c r="F459" s="68"/>
      <c r="G459" s="68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30"/>
      <c r="AO459" s="25"/>
      <c r="AP459" s="120"/>
      <c r="AQ459" s="120"/>
      <c r="AR459" s="121"/>
      <c r="AS459" s="96"/>
      <c r="AT459" s="122"/>
      <c r="AU459" s="96"/>
      <c r="AV459" s="122"/>
      <c r="AW459" s="122"/>
      <c r="AX459" s="30"/>
      <c r="AY459" s="30"/>
      <c r="AZ459" s="30"/>
      <c r="BA459" s="30"/>
      <c r="BB459" s="26"/>
      <c r="BC459" s="26"/>
      <c r="BD459" s="26"/>
      <c r="BE459" s="26"/>
      <c r="BF459" s="26"/>
    </row>
    <row r="460" spans="1:58" ht="15.75" customHeight="1">
      <c r="A460" s="67"/>
      <c r="B460" s="67"/>
      <c r="C460" s="67"/>
      <c r="D460" s="68"/>
      <c r="E460" s="68"/>
      <c r="F460" s="68"/>
      <c r="G460" s="68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30"/>
      <c r="AO460" s="25"/>
      <c r="AP460" s="120"/>
      <c r="AQ460" s="120"/>
      <c r="AR460" s="121"/>
      <c r="AS460" s="96"/>
      <c r="AT460" s="122"/>
      <c r="AU460" s="96"/>
      <c r="AV460" s="122"/>
      <c r="AW460" s="122"/>
      <c r="AX460" s="30"/>
      <c r="AY460" s="30"/>
      <c r="AZ460" s="30"/>
      <c r="BA460" s="30"/>
      <c r="BB460" s="26"/>
      <c r="BC460" s="26"/>
      <c r="BD460" s="26"/>
      <c r="BE460" s="26"/>
      <c r="BF460" s="26"/>
    </row>
    <row r="461" spans="1:58" ht="15.75" customHeight="1">
      <c r="A461" s="67"/>
      <c r="B461" s="67"/>
      <c r="C461" s="67"/>
      <c r="D461" s="68"/>
      <c r="E461" s="68"/>
      <c r="F461" s="68"/>
      <c r="G461" s="68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30"/>
      <c r="AO461" s="25"/>
      <c r="AP461" s="120"/>
      <c r="AQ461" s="120"/>
      <c r="AR461" s="121"/>
      <c r="AS461" s="96"/>
      <c r="AT461" s="122"/>
      <c r="AU461" s="96"/>
      <c r="AV461" s="122"/>
      <c r="AW461" s="122"/>
      <c r="AX461" s="30"/>
      <c r="AY461" s="30"/>
      <c r="AZ461" s="30"/>
      <c r="BA461" s="30"/>
      <c r="BB461" s="26"/>
      <c r="BC461" s="26"/>
      <c r="BD461" s="26"/>
      <c r="BE461" s="26"/>
      <c r="BF461" s="26"/>
    </row>
    <row r="462" spans="1:58" ht="15.75" customHeight="1">
      <c r="A462" s="67"/>
      <c r="B462" s="67"/>
      <c r="C462" s="67"/>
      <c r="D462" s="68"/>
      <c r="E462" s="68"/>
      <c r="F462" s="68"/>
      <c r="G462" s="68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30"/>
      <c r="AO462" s="25"/>
      <c r="AP462" s="120"/>
      <c r="AQ462" s="120"/>
      <c r="AR462" s="121"/>
      <c r="AS462" s="96"/>
      <c r="AT462" s="122"/>
      <c r="AU462" s="96"/>
      <c r="AV462" s="122"/>
      <c r="AW462" s="122"/>
      <c r="AX462" s="30"/>
      <c r="AY462" s="30"/>
      <c r="AZ462" s="30"/>
      <c r="BA462" s="30"/>
      <c r="BB462" s="26"/>
      <c r="BC462" s="26"/>
      <c r="BD462" s="26"/>
      <c r="BE462" s="26"/>
      <c r="BF462" s="26"/>
    </row>
    <row r="463" spans="1:58" ht="15.75" customHeight="1">
      <c r="A463" s="67"/>
      <c r="B463" s="67"/>
      <c r="C463" s="67"/>
      <c r="D463" s="68"/>
      <c r="E463" s="68"/>
      <c r="F463" s="68"/>
      <c r="G463" s="68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30"/>
      <c r="AO463" s="25"/>
      <c r="AP463" s="120"/>
      <c r="AQ463" s="120"/>
      <c r="AR463" s="121"/>
      <c r="AS463" s="96"/>
      <c r="AT463" s="122"/>
      <c r="AU463" s="96"/>
      <c r="AV463" s="122"/>
      <c r="AW463" s="122"/>
      <c r="AX463" s="30"/>
      <c r="AY463" s="30"/>
      <c r="AZ463" s="30"/>
      <c r="BA463" s="30"/>
      <c r="BB463" s="26"/>
      <c r="BC463" s="26"/>
      <c r="BD463" s="26"/>
      <c r="BE463" s="26"/>
      <c r="BF463" s="26"/>
    </row>
    <row r="464" spans="1:58" ht="15.75" customHeight="1">
      <c r="A464" s="67"/>
      <c r="B464" s="67"/>
      <c r="C464" s="67"/>
      <c r="D464" s="68"/>
      <c r="E464" s="68"/>
      <c r="F464" s="68"/>
      <c r="G464" s="68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30"/>
      <c r="AO464" s="25"/>
      <c r="AP464" s="120"/>
      <c r="AQ464" s="120"/>
      <c r="AR464" s="121"/>
      <c r="AS464" s="96"/>
      <c r="AT464" s="122"/>
      <c r="AU464" s="96"/>
      <c r="AV464" s="122"/>
      <c r="AW464" s="122"/>
      <c r="AX464" s="30"/>
      <c r="AY464" s="30"/>
      <c r="AZ464" s="30"/>
      <c r="BA464" s="30"/>
      <c r="BB464" s="26"/>
      <c r="BC464" s="26"/>
      <c r="BD464" s="26"/>
      <c r="BE464" s="26"/>
      <c r="BF464" s="26"/>
    </row>
    <row r="465" spans="1:58" ht="15.75" customHeight="1">
      <c r="A465" s="67"/>
      <c r="B465" s="67"/>
      <c r="C465" s="67"/>
      <c r="D465" s="68"/>
      <c r="E465" s="68"/>
      <c r="F465" s="68"/>
      <c r="G465" s="68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30"/>
      <c r="AO465" s="25"/>
      <c r="AP465" s="120"/>
      <c r="AQ465" s="120"/>
      <c r="AR465" s="121"/>
      <c r="AS465" s="96"/>
      <c r="AT465" s="122"/>
      <c r="AU465" s="96"/>
      <c r="AV465" s="122"/>
      <c r="AW465" s="122"/>
      <c r="AX465" s="30"/>
      <c r="AY465" s="30"/>
      <c r="AZ465" s="30"/>
      <c r="BA465" s="30"/>
      <c r="BB465" s="26"/>
      <c r="BC465" s="26"/>
      <c r="BD465" s="26"/>
      <c r="BE465" s="26"/>
      <c r="BF465" s="26"/>
    </row>
    <row r="466" spans="1:58" ht="15.75" customHeight="1">
      <c r="A466" s="67"/>
      <c r="B466" s="67"/>
      <c r="C466" s="67"/>
      <c r="D466" s="68"/>
      <c r="E466" s="68"/>
      <c r="F466" s="68"/>
      <c r="G466" s="68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30"/>
      <c r="AO466" s="25"/>
      <c r="AP466" s="120"/>
      <c r="AQ466" s="120"/>
      <c r="AR466" s="121"/>
      <c r="AS466" s="96"/>
      <c r="AT466" s="122"/>
      <c r="AU466" s="96"/>
      <c r="AV466" s="122"/>
      <c r="AW466" s="122"/>
      <c r="AX466" s="30"/>
      <c r="AY466" s="30"/>
      <c r="AZ466" s="30"/>
      <c r="BA466" s="30"/>
      <c r="BB466" s="26"/>
      <c r="BC466" s="26"/>
      <c r="BD466" s="26"/>
      <c r="BE466" s="26"/>
      <c r="BF466" s="26"/>
    </row>
    <row r="467" spans="1:58" ht="15.75" customHeight="1">
      <c r="A467" s="67"/>
      <c r="B467" s="67"/>
      <c r="C467" s="67"/>
      <c r="D467" s="68"/>
      <c r="E467" s="68"/>
      <c r="F467" s="68"/>
      <c r="G467" s="68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30"/>
      <c r="AO467" s="25"/>
      <c r="AP467" s="120"/>
      <c r="AQ467" s="120"/>
      <c r="AR467" s="121"/>
      <c r="AS467" s="96"/>
      <c r="AT467" s="122"/>
      <c r="AU467" s="96"/>
      <c r="AV467" s="122"/>
      <c r="AW467" s="122"/>
      <c r="AX467" s="30"/>
      <c r="AY467" s="30"/>
      <c r="AZ467" s="30"/>
      <c r="BA467" s="30"/>
      <c r="BB467" s="26"/>
      <c r="BC467" s="26"/>
      <c r="BD467" s="26"/>
      <c r="BE467" s="26"/>
      <c r="BF467" s="26"/>
    </row>
    <row r="468" spans="1:58" ht="15.75" customHeight="1">
      <c r="A468" s="67"/>
      <c r="B468" s="67"/>
      <c r="C468" s="67"/>
      <c r="D468" s="68"/>
      <c r="E468" s="68"/>
      <c r="F468" s="68"/>
      <c r="G468" s="68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30"/>
      <c r="AO468" s="25"/>
      <c r="AP468" s="120"/>
      <c r="AQ468" s="120"/>
      <c r="AR468" s="121"/>
      <c r="AS468" s="96"/>
      <c r="AT468" s="122"/>
      <c r="AU468" s="96"/>
      <c r="AV468" s="122"/>
      <c r="AW468" s="122"/>
      <c r="AX468" s="30"/>
      <c r="AY468" s="30"/>
      <c r="AZ468" s="30"/>
      <c r="BA468" s="30"/>
      <c r="BB468" s="26"/>
      <c r="BC468" s="26"/>
      <c r="BD468" s="26"/>
      <c r="BE468" s="26"/>
      <c r="BF468" s="26"/>
    </row>
    <row r="469" spans="1:58" ht="15.75" customHeight="1">
      <c r="A469" s="67"/>
      <c r="B469" s="67"/>
      <c r="C469" s="67"/>
      <c r="D469" s="68"/>
      <c r="E469" s="68"/>
      <c r="F469" s="68"/>
      <c r="G469" s="68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30"/>
      <c r="AO469" s="25"/>
      <c r="AP469" s="120"/>
      <c r="AQ469" s="120"/>
      <c r="AR469" s="121"/>
      <c r="AS469" s="96"/>
      <c r="AT469" s="122"/>
      <c r="AU469" s="96"/>
      <c r="AV469" s="122"/>
      <c r="AW469" s="122"/>
      <c r="AX469" s="30"/>
      <c r="AY469" s="30"/>
      <c r="AZ469" s="30"/>
      <c r="BA469" s="30"/>
      <c r="BB469" s="26"/>
      <c r="BC469" s="26"/>
      <c r="BD469" s="26"/>
      <c r="BE469" s="26"/>
      <c r="BF469" s="26"/>
    </row>
    <row r="470" spans="1:58" ht="15.75" customHeight="1">
      <c r="A470" s="67"/>
      <c r="B470" s="67"/>
      <c r="C470" s="67"/>
      <c r="D470" s="68"/>
      <c r="E470" s="68"/>
      <c r="F470" s="68"/>
      <c r="G470" s="68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30"/>
      <c r="AO470" s="25"/>
      <c r="AP470" s="120"/>
      <c r="AQ470" s="120"/>
      <c r="AR470" s="121"/>
      <c r="AS470" s="96"/>
      <c r="AT470" s="122"/>
      <c r="AU470" s="96"/>
      <c r="AV470" s="122"/>
      <c r="AW470" s="122"/>
      <c r="AX470" s="30"/>
      <c r="AY470" s="30"/>
      <c r="AZ470" s="30"/>
      <c r="BA470" s="30"/>
      <c r="BB470" s="26"/>
      <c r="BC470" s="26"/>
      <c r="BD470" s="26"/>
      <c r="BE470" s="26"/>
      <c r="BF470" s="26"/>
    </row>
    <row r="471" spans="1:58" ht="15.75" customHeight="1">
      <c r="A471" s="67"/>
      <c r="B471" s="67"/>
      <c r="C471" s="67"/>
      <c r="D471" s="68"/>
      <c r="E471" s="68"/>
      <c r="F471" s="68"/>
      <c r="G471" s="68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30"/>
      <c r="AO471" s="25"/>
      <c r="AP471" s="120"/>
      <c r="AQ471" s="120"/>
      <c r="AR471" s="121"/>
      <c r="AS471" s="96"/>
      <c r="AT471" s="122"/>
      <c r="AU471" s="96"/>
      <c r="AV471" s="122"/>
      <c r="AW471" s="122"/>
      <c r="AX471" s="30"/>
      <c r="AY471" s="30"/>
      <c r="AZ471" s="30"/>
      <c r="BA471" s="30"/>
      <c r="BB471" s="26"/>
      <c r="BC471" s="26"/>
      <c r="BD471" s="26"/>
      <c r="BE471" s="26"/>
      <c r="BF471" s="26"/>
    </row>
    <row r="472" spans="1:58" ht="15.75" customHeight="1">
      <c r="A472" s="67"/>
      <c r="B472" s="67"/>
      <c r="C472" s="67"/>
      <c r="D472" s="68"/>
      <c r="E472" s="68"/>
      <c r="F472" s="68"/>
      <c r="G472" s="68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30"/>
      <c r="AO472" s="25"/>
      <c r="AP472" s="120"/>
      <c r="AQ472" s="120"/>
      <c r="AR472" s="121"/>
      <c r="AS472" s="96"/>
      <c r="AT472" s="122"/>
      <c r="AU472" s="96"/>
      <c r="AV472" s="122"/>
      <c r="AW472" s="122"/>
      <c r="AX472" s="30"/>
      <c r="AY472" s="30"/>
      <c r="AZ472" s="30"/>
      <c r="BA472" s="30"/>
      <c r="BB472" s="26"/>
      <c r="BC472" s="26"/>
      <c r="BD472" s="26"/>
      <c r="BE472" s="26"/>
      <c r="BF472" s="26"/>
    </row>
    <row r="473" spans="1:58" ht="15.75" customHeight="1">
      <c r="A473" s="67"/>
      <c r="B473" s="67"/>
      <c r="C473" s="67"/>
      <c r="D473" s="68"/>
      <c r="E473" s="68"/>
      <c r="F473" s="68"/>
      <c r="G473" s="68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30"/>
      <c r="AO473" s="25"/>
      <c r="AP473" s="120"/>
      <c r="AQ473" s="120"/>
      <c r="AR473" s="121"/>
      <c r="AS473" s="96"/>
      <c r="AT473" s="122"/>
      <c r="AU473" s="96"/>
      <c r="AV473" s="122"/>
      <c r="AW473" s="122"/>
      <c r="AX473" s="30"/>
      <c r="AY473" s="30"/>
      <c r="AZ473" s="30"/>
      <c r="BA473" s="30"/>
      <c r="BB473" s="26"/>
      <c r="BC473" s="26"/>
      <c r="BD473" s="26"/>
      <c r="BE473" s="26"/>
      <c r="BF473" s="26"/>
    </row>
    <row r="474" spans="1:58" ht="15.75" customHeight="1">
      <c r="A474" s="67"/>
      <c r="B474" s="67"/>
      <c r="C474" s="67"/>
      <c r="D474" s="68"/>
      <c r="E474" s="68"/>
      <c r="F474" s="68"/>
      <c r="G474" s="68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30"/>
      <c r="AO474" s="25"/>
      <c r="AP474" s="120"/>
      <c r="AQ474" s="120"/>
      <c r="AR474" s="121"/>
      <c r="AS474" s="96"/>
      <c r="AT474" s="122"/>
      <c r="AU474" s="96"/>
      <c r="AV474" s="122"/>
      <c r="AW474" s="122"/>
      <c r="AX474" s="30"/>
      <c r="AY474" s="30"/>
      <c r="AZ474" s="30"/>
      <c r="BA474" s="30"/>
      <c r="BB474" s="26"/>
      <c r="BC474" s="26"/>
      <c r="BD474" s="26"/>
      <c r="BE474" s="26"/>
      <c r="BF474" s="26"/>
    </row>
    <row r="475" spans="1:58" ht="15.75" customHeight="1">
      <c r="A475" s="67"/>
      <c r="B475" s="67"/>
      <c r="C475" s="67"/>
      <c r="D475" s="68"/>
      <c r="E475" s="68"/>
      <c r="F475" s="68"/>
      <c r="G475" s="68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30"/>
      <c r="AO475" s="25"/>
      <c r="AP475" s="120"/>
      <c r="AQ475" s="120"/>
      <c r="AR475" s="121"/>
      <c r="AS475" s="96"/>
      <c r="AT475" s="122"/>
      <c r="AU475" s="96"/>
      <c r="AV475" s="122"/>
      <c r="AW475" s="122"/>
      <c r="AX475" s="30"/>
      <c r="AY475" s="30"/>
      <c r="AZ475" s="30"/>
      <c r="BA475" s="30"/>
      <c r="BB475" s="26"/>
      <c r="BC475" s="26"/>
      <c r="BD475" s="26"/>
      <c r="BE475" s="26"/>
      <c r="BF475" s="26"/>
    </row>
    <row r="476" spans="1:58" ht="15.75" customHeight="1">
      <c r="A476" s="67"/>
      <c r="B476" s="67"/>
      <c r="C476" s="67"/>
      <c r="D476" s="68"/>
      <c r="E476" s="68"/>
      <c r="F476" s="68"/>
      <c r="G476" s="68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30"/>
      <c r="AO476" s="25"/>
      <c r="AP476" s="120"/>
      <c r="AQ476" s="120"/>
      <c r="AR476" s="121"/>
      <c r="AS476" s="96"/>
      <c r="AT476" s="122"/>
      <c r="AU476" s="96"/>
      <c r="AV476" s="122"/>
      <c r="AW476" s="122"/>
      <c r="AX476" s="30"/>
      <c r="AY476" s="30"/>
      <c r="AZ476" s="30"/>
      <c r="BA476" s="30"/>
      <c r="BB476" s="26"/>
      <c r="BC476" s="26"/>
      <c r="BD476" s="26"/>
      <c r="BE476" s="26"/>
      <c r="BF476" s="26"/>
    </row>
    <row r="477" spans="1:58" ht="15.75" customHeight="1">
      <c r="A477" s="67"/>
      <c r="B477" s="67"/>
      <c r="C477" s="67"/>
      <c r="D477" s="68"/>
      <c r="E477" s="68"/>
      <c r="F477" s="68"/>
      <c r="G477" s="68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30"/>
      <c r="AO477" s="25"/>
      <c r="AP477" s="120"/>
      <c r="AQ477" s="120"/>
      <c r="AR477" s="121"/>
      <c r="AS477" s="96"/>
      <c r="AT477" s="122"/>
      <c r="AU477" s="96"/>
      <c r="AV477" s="122"/>
      <c r="AW477" s="122"/>
      <c r="AX477" s="30"/>
      <c r="AY477" s="30"/>
      <c r="AZ477" s="30"/>
      <c r="BA477" s="30"/>
      <c r="BB477" s="26"/>
      <c r="BC477" s="26"/>
      <c r="BD477" s="26"/>
      <c r="BE477" s="26"/>
      <c r="BF477" s="26"/>
    </row>
    <row r="478" spans="1:58" ht="15.75" customHeight="1">
      <c r="A478" s="67"/>
      <c r="B478" s="67"/>
      <c r="C478" s="67"/>
      <c r="D478" s="68"/>
      <c r="E478" s="68"/>
      <c r="F478" s="68"/>
      <c r="G478" s="68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30"/>
      <c r="AO478" s="25"/>
      <c r="AP478" s="120"/>
      <c r="AQ478" s="120"/>
      <c r="AR478" s="121"/>
      <c r="AS478" s="96"/>
      <c r="AT478" s="122"/>
      <c r="AU478" s="96"/>
      <c r="AV478" s="122"/>
      <c r="AW478" s="122"/>
      <c r="AX478" s="30"/>
      <c r="AY478" s="30"/>
      <c r="AZ478" s="30"/>
      <c r="BA478" s="30"/>
      <c r="BB478" s="26"/>
      <c r="BC478" s="26"/>
      <c r="BD478" s="26"/>
      <c r="BE478" s="26"/>
      <c r="BF478" s="26"/>
    </row>
    <row r="479" spans="1:58" ht="15.75" customHeight="1">
      <c r="A479" s="67"/>
      <c r="B479" s="67"/>
      <c r="C479" s="67"/>
      <c r="D479" s="68"/>
      <c r="E479" s="68"/>
      <c r="F479" s="68"/>
      <c r="G479" s="68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30"/>
      <c r="AO479" s="25"/>
      <c r="AP479" s="120"/>
      <c r="AQ479" s="120"/>
      <c r="AR479" s="121"/>
      <c r="AS479" s="96"/>
      <c r="AT479" s="122"/>
      <c r="AU479" s="96"/>
      <c r="AV479" s="122"/>
      <c r="AW479" s="122"/>
      <c r="AX479" s="30"/>
      <c r="AY479" s="30"/>
      <c r="AZ479" s="30"/>
      <c r="BA479" s="30"/>
      <c r="BB479" s="26"/>
      <c r="BC479" s="26"/>
      <c r="BD479" s="26"/>
      <c r="BE479" s="26"/>
      <c r="BF479" s="26"/>
    </row>
    <row r="480" spans="1:58" ht="15.75" customHeight="1">
      <c r="A480" s="67"/>
      <c r="B480" s="67"/>
      <c r="C480" s="67"/>
      <c r="D480" s="68"/>
      <c r="E480" s="68"/>
      <c r="F480" s="68"/>
      <c r="G480" s="68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30"/>
      <c r="AO480" s="25"/>
      <c r="AP480" s="120"/>
      <c r="AQ480" s="120"/>
      <c r="AR480" s="121"/>
      <c r="AS480" s="96"/>
      <c r="AT480" s="122"/>
      <c r="AU480" s="96"/>
      <c r="AV480" s="122"/>
      <c r="AW480" s="122"/>
      <c r="AX480" s="30"/>
      <c r="AY480" s="30"/>
      <c r="AZ480" s="30"/>
      <c r="BA480" s="30"/>
      <c r="BB480" s="26"/>
      <c r="BC480" s="26"/>
      <c r="BD480" s="26"/>
      <c r="BE480" s="26"/>
      <c r="BF480" s="26"/>
    </row>
    <row r="481" spans="1:58" ht="15.75" customHeight="1">
      <c r="A481" s="67"/>
      <c r="B481" s="67"/>
      <c r="C481" s="67"/>
      <c r="D481" s="68"/>
      <c r="E481" s="68"/>
      <c r="F481" s="68"/>
      <c r="G481" s="68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30"/>
      <c r="AO481" s="25"/>
      <c r="AP481" s="120"/>
      <c r="AQ481" s="120"/>
      <c r="AR481" s="121"/>
      <c r="AS481" s="96"/>
      <c r="AT481" s="122"/>
      <c r="AU481" s="96"/>
      <c r="AV481" s="122"/>
      <c r="AW481" s="122"/>
      <c r="AX481" s="30"/>
      <c r="AY481" s="30"/>
      <c r="AZ481" s="30"/>
      <c r="BA481" s="30"/>
      <c r="BB481" s="26"/>
      <c r="BC481" s="26"/>
      <c r="BD481" s="26"/>
      <c r="BE481" s="26"/>
      <c r="BF481" s="26"/>
    </row>
    <row r="482" spans="1:58" ht="15.75" customHeight="1">
      <c r="A482" s="67"/>
      <c r="B482" s="67"/>
      <c r="C482" s="67"/>
      <c r="D482" s="68"/>
      <c r="E482" s="68"/>
      <c r="F482" s="68"/>
      <c r="G482" s="68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30"/>
      <c r="AO482" s="25"/>
      <c r="AP482" s="120"/>
      <c r="AQ482" s="120"/>
      <c r="AR482" s="121"/>
      <c r="AS482" s="96"/>
      <c r="AT482" s="122"/>
      <c r="AU482" s="96"/>
      <c r="AV482" s="122"/>
      <c r="AW482" s="122"/>
      <c r="AX482" s="30"/>
      <c r="AY482" s="30"/>
      <c r="AZ482" s="30"/>
      <c r="BA482" s="30"/>
      <c r="BB482" s="26"/>
      <c r="BC482" s="26"/>
      <c r="BD482" s="26"/>
      <c r="BE482" s="26"/>
      <c r="BF482" s="26"/>
    </row>
    <row r="483" spans="1:58" ht="15.75" customHeight="1">
      <c r="A483" s="67"/>
      <c r="B483" s="67"/>
      <c r="C483" s="67"/>
      <c r="D483" s="68"/>
      <c r="E483" s="68"/>
      <c r="F483" s="68"/>
      <c r="G483" s="68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30"/>
      <c r="AO483" s="25"/>
      <c r="AP483" s="120"/>
      <c r="AQ483" s="120"/>
      <c r="AR483" s="121"/>
      <c r="AS483" s="96"/>
      <c r="AT483" s="122"/>
      <c r="AU483" s="96"/>
      <c r="AV483" s="122"/>
      <c r="AW483" s="122"/>
      <c r="AX483" s="30"/>
      <c r="AY483" s="30"/>
      <c r="AZ483" s="30"/>
      <c r="BA483" s="30"/>
      <c r="BB483" s="26"/>
      <c r="BC483" s="26"/>
      <c r="BD483" s="26"/>
      <c r="BE483" s="26"/>
      <c r="BF483" s="26"/>
    </row>
    <row r="484" spans="1:58" ht="15.75" customHeight="1">
      <c r="A484" s="67"/>
      <c r="B484" s="67"/>
      <c r="C484" s="67"/>
      <c r="D484" s="68"/>
      <c r="E484" s="68"/>
      <c r="F484" s="68"/>
      <c r="G484" s="68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30"/>
      <c r="AO484" s="25"/>
      <c r="AP484" s="120"/>
      <c r="AQ484" s="120"/>
      <c r="AR484" s="121"/>
      <c r="AS484" s="96"/>
      <c r="AT484" s="122"/>
      <c r="AU484" s="96"/>
      <c r="AV484" s="122"/>
      <c r="AW484" s="122"/>
      <c r="AX484" s="30"/>
      <c r="AY484" s="30"/>
      <c r="AZ484" s="30"/>
      <c r="BA484" s="30"/>
      <c r="BB484" s="26"/>
      <c r="BC484" s="26"/>
      <c r="BD484" s="26"/>
      <c r="BE484" s="26"/>
      <c r="BF484" s="26"/>
    </row>
    <row r="485" spans="1:58" ht="15.75" customHeight="1">
      <c r="A485" s="67"/>
      <c r="B485" s="67"/>
      <c r="C485" s="67"/>
      <c r="D485" s="68"/>
      <c r="E485" s="68"/>
      <c r="F485" s="68"/>
      <c r="G485" s="68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30"/>
      <c r="AO485" s="25"/>
      <c r="AP485" s="120"/>
      <c r="AQ485" s="120"/>
      <c r="AR485" s="121"/>
      <c r="AS485" s="96"/>
      <c r="AT485" s="122"/>
      <c r="AU485" s="96"/>
      <c r="AV485" s="122"/>
      <c r="AW485" s="122"/>
      <c r="AX485" s="30"/>
      <c r="AY485" s="30"/>
      <c r="AZ485" s="30"/>
      <c r="BA485" s="30"/>
      <c r="BB485" s="26"/>
      <c r="BC485" s="26"/>
      <c r="BD485" s="26"/>
      <c r="BE485" s="26"/>
      <c r="BF485" s="26"/>
    </row>
    <row r="486" spans="1:58" ht="15.75" customHeight="1">
      <c r="A486" s="67"/>
      <c r="B486" s="67"/>
      <c r="C486" s="67"/>
      <c r="D486" s="68"/>
      <c r="E486" s="68"/>
      <c r="F486" s="68"/>
      <c r="G486" s="68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30"/>
      <c r="AO486" s="25"/>
      <c r="AP486" s="120"/>
      <c r="AQ486" s="120"/>
      <c r="AR486" s="121"/>
      <c r="AS486" s="96"/>
      <c r="AT486" s="122"/>
      <c r="AU486" s="96"/>
      <c r="AV486" s="122"/>
      <c r="AW486" s="122"/>
      <c r="AX486" s="30"/>
      <c r="AY486" s="30"/>
      <c r="AZ486" s="30"/>
      <c r="BA486" s="30"/>
      <c r="BB486" s="26"/>
      <c r="BC486" s="26"/>
      <c r="BD486" s="26"/>
      <c r="BE486" s="26"/>
      <c r="BF486" s="26"/>
    </row>
    <row r="487" spans="1:58" ht="15.75" customHeight="1">
      <c r="A487" s="67"/>
      <c r="B487" s="67"/>
      <c r="C487" s="67"/>
      <c r="D487" s="68"/>
      <c r="E487" s="68"/>
      <c r="F487" s="68"/>
      <c r="G487" s="68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30"/>
      <c r="AO487" s="25"/>
      <c r="AP487" s="120"/>
      <c r="AQ487" s="120"/>
      <c r="AR487" s="121"/>
      <c r="AS487" s="96"/>
      <c r="AT487" s="122"/>
      <c r="AU487" s="96"/>
      <c r="AV487" s="122"/>
      <c r="AW487" s="122"/>
      <c r="AX487" s="30"/>
      <c r="AY487" s="30"/>
      <c r="AZ487" s="30"/>
      <c r="BA487" s="30"/>
      <c r="BB487" s="26"/>
      <c r="BC487" s="26"/>
      <c r="BD487" s="26"/>
      <c r="BE487" s="26"/>
      <c r="BF487" s="26"/>
    </row>
    <row r="488" spans="1:58" ht="15.75" customHeight="1">
      <c r="A488" s="67"/>
      <c r="B488" s="67"/>
      <c r="C488" s="67"/>
      <c r="D488" s="68"/>
      <c r="E488" s="68"/>
      <c r="F488" s="68"/>
      <c r="G488" s="68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30"/>
      <c r="AO488" s="25"/>
      <c r="AP488" s="120"/>
      <c r="AQ488" s="120"/>
      <c r="AR488" s="121"/>
      <c r="AS488" s="96"/>
      <c r="AT488" s="122"/>
      <c r="AU488" s="96"/>
      <c r="AV488" s="122"/>
      <c r="AW488" s="122"/>
      <c r="AX488" s="30"/>
      <c r="AY488" s="30"/>
      <c r="AZ488" s="30"/>
      <c r="BA488" s="30"/>
      <c r="BB488" s="26"/>
      <c r="BC488" s="26"/>
      <c r="BD488" s="26"/>
      <c r="BE488" s="26"/>
      <c r="BF488" s="26"/>
    </row>
    <row r="489" spans="1:58" ht="15.75" customHeight="1">
      <c r="A489" s="67"/>
      <c r="B489" s="67"/>
      <c r="C489" s="67"/>
      <c r="D489" s="68"/>
      <c r="E489" s="68"/>
      <c r="F489" s="68"/>
      <c r="G489" s="68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30"/>
      <c r="AO489" s="25"/>
      <c r="AP489" s="120"/>
      <c r="AQ489" s="120"/>
      <c r="AR489" s="121"/>
      <c r="AS489" s="96"/>
      <c r="AT489" s="122"/>
      <c r="AU489" s="96"/>
      <c r="AV489" s="122"/>
      <c r="AW489" s="122"/>
      <c r="AX489" s="30"/>
      <c r="AY489" s="30"/>
      <c r="AZ489" s="30"/>
      <c r="BA489" s="30"/>
      <c r="BB489" s="26"/>
      <c r="BC489" s="26"/>
      <c r="BD489" s="26"/>
      <c r="BE489" s="26"/>
      <c r="BF489" s="26"/>
    </row>
    <row r="490" spans="1:58" ht="15.75" customHeight="1">
      <c r="A490" s="67"/>
      <c r="B490" s="67"/>
      <c r="C490" s="67"/>
      <c r="D490" s="68"/>
      <c r="E490" s="68"/>
      <c r="F490" s="68"/>
      <c r="G490" s="68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30"/>
      <c r="AO490" s="25"/>
      <c r="AP490" s="120"/>
      <c r="AQ490" s="120"/>
      <c r="AR490" s="121"/>
      <c r="AS490" s="96"/>
      <c r="AT490" s="122"/>
      <c r="AU490" s="96"/>
      <c r="AV490" s="122"/>
      <c r="AW490" s="122"/>
      <c r="AX490" s="30"/>
      <c r="AY490" s="30"/>
      <c r="AZ490" s="30"/>
      <c r="BA490" s="30"/>
      <c r="BB490" s="26"/>
      <c r="BC490" s="26"/>
      <c r="BD490" s="26"/>
      <c r="BE490" s="26"/>
      <c r="BF490" s="26"/>
    </row>
    <row r="491" spans="1:58" ht="15.75" customHeight="1">
      <c r="A491" s="67"/>
      <c r="B491" s="67"/>
      <c r="C491" s="67"/>
      <c r="D491" s="68"/>
      <c r="E491" s="68"/>
      <c r="F491" s="68"/>
      <c r="G491" s="68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30"/>
      <c r="AO491" s="25"/>
      <c r="AP491" s="120"/>
      <c r="AQ491" s="120"/>
      <c r="AR491" s="121"/>
      <c r="AS491" s="96"/>
      <c r="AT491" s="122"/>
      <c r="AU491" s="96"/>
      <c r="AV491" s="122"/>
      <c r="AW491" s="122"/>
      <c r="AX491" s="30"/>
      <c r="AY491" s="30"/>
      <c r="AZ491" s="30"/>
      <c r="BA491" s="30"/>
      <c r="BB491" s="26"/>
      <c r="BC491" s="26"/>
      <c r="BD491" s="26"/>
      <c r="BE491" s="26"/>
      <c r="BF491" s="26"/>
    </row>
    <row r="492" spans="1:58" ht="15.75" customHeight="1">
      <c r="A492" s="67"/>
      <c r="B492" s="67"/>
      <c r="C492" s="67"/>
      <c r="D492" s="68"/>
      <c r="E492" s="68"/>
      <c r="F492" s="68"/>
      <c r="G492" s="68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30"/>
      <c r="AO492" s="25"/>
      <c r="AP492" s="120"/>
      <c r="AQ492" s="120"/>
      <c r="AR492" s="121"/>
      <c r="AS492" s="96"/>
      <c r="AT492" s="122"/>
      <c r="AU492" s="96"/>
      <c r="AV492" s="122"/>
      <c r="AW492" s="122"/>
      <c r="AX492" s="30"/>
      <c r="AY492" s="30"/>
      <c r="AZ492" s="30"/>
      <c r="BA492" s="30"/>
      <c r="BB492" s="26"/>
      <c r="BC492" s="26"/>
      <c r="BD492" s="26"/>
      <c r="BE492" s="26"/>
      <c r="BF492" s="26"/>
    </row>
    <row r="493" spans="1:58" ht="15.75" customHeight="1">
      <c r="A493" s="67"/>
      <c r="B493" s="67"/>
      <c r="C493" s="67"/>
      <c r="D493" s="68"/>
      <c r="E493" s="68"/>
      <c r="F493" s="68"/>
      <c r="G493" s="68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30"/>
      <c r="AO493" s="25"/>
      <c r="AP493" s="120"/>
      <c r="AQ493" s="120"/>
      <c r="AR493" s="121"/>
      <c r="AS493" s="96"/>
      <c r="AT493" s="122"/>
      <c r="AU493" s="96"/>
      <c r="AV493" s="122"/>
      <c r="AW493" s="122"/>
      <c r="AX493" s="30"/>
      <c r="AY493" s="30"/>
      <c r="AZ493" s="30"/>
      <c r="BA493" s="30"/>
      <c r="BB493" s="26"/>
      <c r="BC493" s="26"/>
      <c r="BD493" s="26"/>
      <c r="BE493" s="26"/>
      <c r="BF493" s="26"/>
    </row>
    <row r="494" spans="1:58" ht="15.75" customHeight="1">
      <c r="A494" s="67"/>
      <c r="B494" s="67"/>
      <c r="C494" s="67"/>
      <c r="D494" s="68"/>
      <c r="E494" s="68"/>
      <c r="F494" s="68"/>
      <c r="G494" s="68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30"/>
      <c r="AO494" s="25"/>
      <c r="AP494" s="120"/>
      <c r="AQ494" s="120"/>
      <c r="AR494" s="121"/>
      <c r="AS494" s="96"/>
      <c r="AT494" s="122"/>
      <c r="AU494" s="96"/>
      <c r="AV494" s="122"/>
      <c r="AW494" s="122"/>
      <c r="AX494" s="30"/>
      <c r="AY494" s="30"/>
      <c r="AZ494" s="30"/>
      <c r="BA494" s="30"/>
      <c r="BB494" s="26"/>
      <c r="BC494" s="26"/>
      <c r="BD494" s="26"/>
      <c r="BE494" s="26"/>
      <c r="BF494" s="26"/>
    </row>
    <row r="495" spans="1:58" ht="15.75" customHeight="1">
      <c r="A495" s="67"/>
      <c r="B495" s="67"/>
      <c r="C495" s="67"/>
      <c r="D495" s="68"/>
      <c r="E495" s="68"/>
      <c r="F495" s="68"/>
      <c r="G495" s="68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30"/>
      <c r="AO495" s="25"/>
      <c r="AP495" s="120"/>
      <c r="AQ495" s="120"/>
      <c r="AR495" s="121"/>
      <c r="AS495" s="96"/>
      <c r="AT495" s="122"/>
      <c r="AU495" s="96"/>
      <c r="AV495" s="122"/>
      <c r="AW495" s="122"/>
      <c r="AX495" s="30"/>
      <c r="AY495" s="30"/>
      <c r="AZ495" s="30"/>
      <c r="BA495" s="30"/>
      <c r="BB495" s="26"/>
      <c r="BC495" s="26"/>
      <c r="BD495" s="26"/>
      <c r="BE495" s="26"/>
      <c r="BF495" s="26"/>
    </row>
    <row r="496" spans="1:58" ht="15.75" customHeight="1">
      <c r="A496" s="67"/>
      <c r="B496" s="67"/>
      <c r="C496" s="67"/>
      <c r="D496" s="68"/>
      <c r="E496" s="68"/>
      <c r="F496" s="68"/>
      <c r="G496" s="68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30"/>
      <c r="AO496" s="25"/>
      <c r="AP496" s="120"/>
      <c r="AQ496" s="120"/>
      <c r="AR496" s="121"/>
      <c r="AS496" s="96"/>
      <c r="AT496" s="122"/>
      <c r="AU496" s="96"/>
      <c r="AV496" s="122"/>
      <c r="AW496" s="122"/>
      <c r="AX496" s="30"/>
      <c r="AY496" s="30"/>
      <c r="AZ496" s="30"/>
      <c r="BA496" s="30"/>
      <c r="BB496" s="26"/>
      <c r="BC496" s="26"/>
      <c r="BD496" s="26"/>
      <c r="BE496" s="26"/>
      <c r="BF496" s="26"/>
    </row>
    <row r="497" spans="1:58" ht="15.75" customHeight="1">
      <c r="A497" s="67"/>
      <c r="B497" s="67"/>
      <c r="C497" s="67"/>
      <c r="D497" s="68"/>
      <c r="E497" s="68"/>
      <c r="F497" s="68"/>
      <c r="G497" s="68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30"/>
      <c r="AO497" s="25"/>
      <c r="AP497" s="120"/>
      <c r="AQ497" s="120"/>
      <c r="AR497" s="121"/>
      <c r="AS497" s="96"/>
      <c r="AT497" s="122"/>
      <c r="AU497" s="96"/>
      <c r="AV497" s="122"/>
      <c r="AW497" s="122"/>
      <c r="AX497" s="30"/>
      <c r="AY497" s="30"/>
      <c r="AZ497" s="30"/>
      <c r="BA497" s="30"/>
      <c r="BB497" s="26"/>
      <c r="BC497" s="26"/>
      <c r="BD497" s="26"/>
      <c r="BE497" s="26"/>
      <c r="BF497" s="26"/>
    </row>
    <row r="498" spans="1:58" ht="15.75" customHeight="1">
      <c r="A498" s="67"/>
      <c r="B498" s="67"/>
      <c r="C498" s="67"/>
      <c r="D498" s="68"/>
      <c r="E498" s="68"/>
      <c r="F498" s="68"/>
      <c r="G498" s="68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30"/>
      <c r="AO498" s="25"/>
      <c r="AP498" s="120"/>
      <c r="AQ498" s="120"/>
      <c r="AR498" s="121"/>
      <c r="AS498" s="96"/>
      <c r="AT498" s="122"/>
      <c r="AU498" s="96"/>
      <c r="AV498" s="122"/>
      <c r="AW498" s="122"/>
      <c r="AX498" s="30"/>
      <c r="AY498" s="30"/>
      <c r="AZ498" s="30"/>
      <c r="BA498" s="30"/>
      <c r="BB498" s="26"/>
      <c r="BC498" s="26"/>
      <c r="BD498" s="26"/>
      <c r="BE498" s="26"/>
      <c r="BF498" s="26"/>
    </row>
    <row r="499" spans="1:58" ht="15.75" customHeight="1">
      <c r="A499" s="67"/>
      <c r="B499" s="67"/>
      <c r="C499" s="67"/>
      <c r="D499" s="68"/>
      <c r="E499" s="68"/>
      <c r="F499" s="68"/>
      <c r="G499" s="68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30"/>
      <c r="AO499" s="25"/>
      <c r="AP499" s="120"/>
      <c r="AQ499" s="120"/>
      <c r="AR499" s="121"/>
      <c r="AS499" s="96"/>
      <c r="AT499" s="122"/>
      <c r="AU499" s="96"/>
      <c r="AV499" s="122"/>
      <c r="AW499" s="122"/>
      <c r="AX499" s="30"/>
      <c r="AY499" s="30"/>
      <c r="AZ499" s="30"/>
      <c r="BA499" s="30"/>
      <c r="BB499" s="26"/>
      <c r="BC499" s="26"/>
      <c r="BD499" s="26"/>
      <c r="BE499" s="26"/>
      <c r="BF499" s="26"/>
    </row>
    <row r="500" spans="1:58" ht="15.75" customHeight="1">
      <c r="A500" s="67"/>
      <c r="B500" s="67"/>
      <c r="C500" s="67"/>
      <c r="D500" s="68"/>
      <c r="E500" s="68"/>
      <c r="F500" s="68"/>
      <c r="G500" s="68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30"/>
      <c r="AO500" s="25"/>
      <c r="AP500" s="120"/>
      <c r="AQ500" s="120"/>
      <c r="AR500" s="121"/>
      <c r="AS500" s="96"/>
      <c r="AT500" s="122"/>
      <c r="AU500" s="96"/>
      <c r="AV500" s="122"/>
      <c r="AW500" s="122"/>
      <c r="AX500" s="30"/>
      <c r="AY500" s="30"/>
      <c r="AZ500" s="30"/>
      <c r="BA500" s="30"/>
      <c r="BB500" s="26"/>
      <c r="BC500" s="26"/>
      <c r="BD500" s="26"/>
      <c r="BE500" s="26"/>
      <c r="BF500" s="26"/>
    </row>
    <row r="501" spans="1:58" ht="15.75" customHeight="1">
      <c r="A501" s="67"/>
      <c r="B501" s="67"/>
      <c r="C501" s="67"/>
      <c r="D501" s="68"/>
      <c r="E501" s="68"/>
      <c r="F501" s="68"/>
      <c r="G501" s="68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30"/>
      <c r="AO501" s="25"/>
      <c r="AP501" s="120"/>
      <c r="AQ501" s="120"/>
      <c r="AR501" s="121"/>
      <c r="AS501" s="96"/>
      <c r="AT501" s="122"/>
      <c r="AU501" s="96"/>
      <c r="AV501" s="122"/>
      <c r="AW501" s="122"/>
      <c r="AX501" s="30"/>
      <c r="AY501" s="30"/>
      <c r="AZ501" s="30"/>
      <c r="BA501" s="30"/>
      <c r="BB501" s="26"/>
      <c r="BC501" s="26"/>
      <c r="BD501" s="26"/>
      <c r="BE501" s="26"/>
      <c r="BF501" s="26"/>
    </row>
    <row r="502" spans="1:58" ht="15.75" customHeight="1">
      <c r="A502" s="67"/>
      <c r="B502" s="67"/>
      <c r="C502" s="67"/>
      <c r="D502" s="68"/>
      <c r="E502" s="68"/>
      <c r="F502" s="68"/>
      <c r="G502" s="68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30"/>
      <c r="AO502" s="25"/>
      <c r="AP502" s="120"/>
      <c r="AQ502" s="120"/>
      <c r="AR502" s="121"/>
      <c r="AS502" s="96"/>
      <c r="AT502" s="122"/>
      <c r="AU502" s="96"/>
      <c r="AV502" s="122"/>
      <c r="AW502" s="122"/>
      <c r="AX502" s="30"/>
      <c r="AY502" s="30"/>
      <c r="AZ502" s="30"/>
      <c r="BA502" s="30"/>
      <c r="BB502" s="26"/>
      <c r="BC502" s="26"/>
      <c r="BD502" s="26"/>
      <c r="BE502" s="26"/>
      <c r="BF502" s="26"/>
    </row>
    <row r="503" spans="1:58" ht="15.75" customHeight="1">
      <c r="A503" s="67"/>
      <c r="B503" s="67"/>
      <c r="C503" s="67"/>
      <c r="D503" s="68"/>
      <c r="E503" s="68"/>
      <c r="F503" s="68"/>
      <c r="G503" s="68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30"/>
      <c r="AO503" s="25"/>
      <c r="AP503" s="120"/>
      <c r="AQ503" s="120"/>
      <c r="AR503" s="121"/>
      <c r="AS503" s="96"/>
      <c r="AT503" s="122"/>
      <c r="AU503" s="96"/>
      <c r="AV503" s="122"/>
      <c r="AW503" s="122"/>
      <c r="AX503" s="30"/>
      <c r="AY503" s="30"/>
      <c r="AZ503" s="30"/>
      <c r="BA503" s="30"/>
      <c r="BB503" s="26"/>
      <c r="BC503" s="26"/>
      <c r="BD503" s="26"/>
      <c r="BE503" s="26"/>
      <c r="BF503" s="26"/>
    </row>
    <row r="504" spans="1:58" ht="15.75" customHeight="1">
      <c r="A504" s="67"/>
      <c r="B504" s="67"/>
      <c r="C504" s="67"/>
      <c r="D504" s="68"/>
      <c r="E504" s="68"/>
      <c r="F504" s="68"/>
      <c r="G504" s="68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30"/>
      <c r="AO504" s="25"/>
      <c r="AP504" s="120"/>
      <c r="AQ504" s="120"/>
      <c r="AR504" s="121"/>
      <c r="AS504" s="96"/>
      <c r="AT504" s="122"/>
      <c r="AU504" s="96"/>
      <c r="AV504" s="122"/>
      <c r="AW504" s="122"/>
      <c r="AX504" s="30"/>
      <c r="AY504" s="30"/>
      <c r="AZ504" s="30"/>
      <c r="BA504" s="30"/>
      <c r="BB504" s="26"/>
      <c r="BC504" s="26"/>
      <c r="BD504" s="26"/>
      <c r="BE504" s="26"/>
      <c r="BF504" s="26"/>
    </row>
    <row r="505" spans="1:58" ht="15.75" customHeight="1">
      <c r="A505" s="67"/>
      <c r="B505" s="67"/>
      <c r="C505" s="67"/>
      <c r="D505" s="68"/>
      <c r="E505" s="68"/>
      <c r="F505" s="68"/>
      <c r="G505" s="68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30"/>
      <c r="AO505" s="25"/>
      <c r="AP505" s="120"/>
      <c r="AQ505" s="120"/>
      <c r="AR505" s="121"/>
      <c r="AS505" s="96"/>
      <c r="AT505" s="122"/>
      <c r="AU505" s="96"/>
      <c r="AV505" s="122"/>
      <c r="AW505" s="122"/>
      <c r="AX505" s="30"/>
      <c r="AY505" s="30"/>
      <c r="AZ505" s="30"/>
      <c r="BA505" s="30"/>
      <c r="BB505" s="26"/>
      <c r="BC505" s="26"/>
      <c r="BD505" s="26"/>
      <c r="BE505" s="26"/>
      <c r="BF505" s="26"/>
    </row>
    <row r="506" spans="1:58" ht="15.75" customHeight="1">
      <c r="A506" s="67"/>
      <c r="B506" s="67"/>
      <c r="C506" s="67"/>
      <c r="D506" s="68"/>
      <c r="E506" s="68"/>
      <c r="F506" s="68"/>
      <c r="G506" s="68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30"/>
      <c r="AO506" s="25"/>
      <c r="AP506" s="120"/>
      <c r="AQ506" s="120"/>
      <c r="AR506" s="121"/>
      <c r="AS506" s="96"/>
      <c r="AT506" s="122"/>
      <c r="AU506" s="96"/>
      <c r="AV506" s="122"/>
      <c r="AW506" s="122"/>
      <c r="AX506" s="30"/>
      <c r="AY506" s="30"/>
      <c r="AZ506" s="30"/>
      <c r="BA506" s="30"/>
      <c r="BB506" s="26"/>
      <c r="BC506" s="26"/>
      <c r="BD506" s="26"/>
      <c r="BE506" s="26"/>
      <c r="BF506" s="26"/>
    </row>
    <row r="507" spans="1:58" ht="15.75" customHeight="1">
      <c r="A507" s="67"/>
      <c r="B507" s="67"/>
      <c r="C507" s="67"/>
      <c r="D507" s="68"/>
      <c r="E507" s="68"/>
      <c r="F507" s="68"/>
      <c r="G507" s="68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30"/>
      <c r="AO507" s="25"/>
      <c r="AP507" s="120"/>
      <c r="AQ507" s="120"/>
      <c r="AR507" s="121"/>
      <c r="AS507" s="96"/>
      <c r="AT507" s="122"/>
      <c r="AU507" s="96"/>
      <c r="AV507" s="122"/>
      <c r="AW507" s="122"/>
      <c r="AX507" s="30"/>
      <c r="AY507" s="30"/>
      <c r="AZ507" s="30"/>
      <c r="BA507" s="30"/>
      <c r="BB507" s="26"/>
      <c r="BC507" s="26"/>
      <c r="BD507" s="26"/>
      <c r="BE507" s="26"/>
      <c r="BF507" s="26"/>
    </row>
    <row r="508" spans="1:58" ht="15.75" customHeight="1">
      <c r="A508" s="67"/>
      <c r="B508" s="67"/>
      <c r="C508" s="67"/>
      <c r="D508" s="68"/>
      <c r="E508" s="68"/>
      <c r="F508" s="68"/>
      <c r="G508" s="68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30"/>
      <c r="AO508" s="25"/>
      <c r="AP508" s="120"/>
      <c r="AQ508" s="120"/>
      <c r="AR508" s="121"/>
      <c r="AS508" s="96"/>
      <c r="AT508" s="122"/>
      <c r="AU508" s="96"/>
      <c r="AV508" s="122"/>
      <c r="AW508" s="122"/>
      <c r="AX508" s="30"/>
      <c r="AY508" s="30"/>
      <c r="AZ508" s="30"/>
      <c r="BA508" s="30"/>
      <c r="BB508" s="26"/>
      <c r="BC508" s="26"/>
      <c r="BD508" s="26"/>
      <c r="BE508" s="26"/>
      <c r="BF508" s="26"/>
    </row>
    <row r="509" spans="1:58" ht="15.75" customHeight="1">
      <c r="A509" s="67"/>
      <c r="B509" s="67"/>
      <c r="C509" s="67"/>
      <c r="D509" s="68"/>
      <c r="E509" s="68"/>
      <c r="F509" s="68"/>
      <c r="G509" s="68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30"/>
      <c r="AO509" s="25"/>
      <c r="AP509" s="120"/>
      <c r="AQ509" s="120"/>
      <c r="AR509" s="121"/>
      <c r="AS509" s="96"/>
      <c r="AT509" s="122"/>
      <c r="AU509" s="96"/>
      <c r="AV509" s="122"/>
      <c r="AW509" s="122"/>
      <c r="AX509" s="30"/>
      <c r="AY509" s="30"/>
      <c r="AZ509" s="30"/>
      <c r="BA509" s="30"/>
      <c r="BB509" s="26"/>
      <c r="BC509" s="26"/>
      <c r="BD509" s="26"/>
      <c r="BE509" s="26"/>
      <c r="BF509" s="26"/>
    </row>
    <row r="510" spans="1:58" ht="15.75" customHeight="1">
      <c r="A510" s="67"/>
      <c r="B510" s="67"/>
      <c r="C510" s="67"/>
      <c r="D510" s="68"/>
      <c r="E510" s="68"/>
      <c r="F510" s="68"/>
      <c r="G510" s="68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30"/>
      <c r="AO510" s="25"/>
      <c r="AP510" s="120"/>
      <c r="AQ510" s="120"/>
      <c r="AR510" s="121"/>
      <c r="AS510" s="96"/>
      <c r="AT510" s="122"/>
      <c r="AU510" s="96"/>
      <c r="AV510" s="122"/>
      <c r="AW510" s="122"/>
      <c r="AX510" s="30"/>
      <c r="AY510" s="30"/>
      <c r="AZ510" s="30"/>
      <c r="BA510" s="30"/>
      <c r="BB510" s="26"/>
      <c r="BC510" s="26"/>
      <c r="BD510" s="26"/>
      <c r="BE510" s="26"/>
      <c r="BF510" s="26"/>
    </row>
    <row r="511" spans="1:58" ht="15.75" customHeight="1">
      <c r="A511" s="67"/>
      <c r="B511" s="67"/>
      <c r="C511" s="67"/>
      <c r="D511" s="68"/>
      <c r="E511" s="68"/>
      <c r="F511" s="68"/>
      <c r="G511" s="68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30"/>
      <c r="AO511" s="25"/>
      <c r="AP511" s="120"/>
      <c r="AQ511" s="120"/>
      <c r="AR511" s="121"/>
      <c r="AS511" s="96"/>
      <c r="AT511" s="122"/>
      <c r="AU511" s="96"/>
      <c r="AV511" s="122"/>
      <c r="AW511" s="122"/>
      <c r="AX511" s="30"/>
      <c r="AY511" s="30"/>
      <c r="AZ511" s="30"/>
      <c r="BA511" s="30"/>
      <c r="BB511" s="26"/>
      <c r="BC511" s="26"/>
      <c r="BD511" s="26"/>
      <c r="BE511" s="26"/>
      <c r="BF511" s="26"/>
    </row>
    <row r="512" spans="1:58" ht="15.75" customHeight="1">
      <c r="A512" s="67"/>
      <c r="B512" s="67"/>
      <c r="C512" s="67"/>
      <c r="D512" s="68"/>
      <c r="E512" s="68"/>
      <c r="F512" s="68"/>
      <c r="G512" s="68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30"/>
      <c r="AO512" s="25"/>
      <c r="AP512" s="120"/>
      <c r="AQ512" s="120"/>
      <c r="AR512" s="121"/>
      <c r="AS512" s="96"/>
      <c r="AT512" s="122"/>
      <c r="AU512" s="96"/>
      <c r="AV512" s="122"/>
      <c r="AW512" s="122"/>
      <c r="AX512" s="30"/>
      <c r="AY512" s="30"/>
      <c r="AZ512" s="30"/>
      <c r="BA512" s="30"/>
      <c r="BB512" s="26"/>
      <c r="BC512" s="26"/>
      <c r="BD512" s="26"/>
      <c r="BE512" s="26"/>
      <c r="BF512" s="26"/>
    </row>
    <row r="513" spans="1:58" ht="15.75" customHeight="1">
      <c r="A513" s="67"/>
      <c r="B513" s="67"/>
      <c r="C513" s="67"/>
      <c r="D513" s="68"/>
      <c r="E513" s="68"/>
      <c r="F513" s="68"/>
      <c r="G513" s="68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30"/>
      <c r="AO513" s="25"/>
      <c r="AP513" s="120"/>
      <c r="AQ513" s="120"/>
      <c r="AR513" s="121"/>
      <c r="AS513" s="96"/>
      <c r="AT513" s="122"/>
      <c r="AU513" s="96"/>
      <c r="AV513" s="122"/>
      <c r="AW513" s="122"/>
      <c r="AX513" s="30"/>
      <c r="AY513" s="30"/>
      <c r="AZ513" s="30"/>
      <c r="BA513" s="30"/>
      <c r="BB513" s="26"/>
      <c r="BC513" s="26"/>
      <c r="BD513" s="26"/>
      <c r="BE513" s="26"/>
      <c r="BF513" s="26"/>
    </row>
    <row r="514" spans="1:58" ht="15.75" customHeight="1">
      <c r="A514" s="67"/>
      <c r="B514" s="67"/>
      <c r="C514" s="67"/>
      <c r="D514" s="68"/>
      <c r="E514" s="68"/>
      <c r="F514" s="68"/>
      <c r="G514" s="68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30"/>
      <c r="AO514" s="25"/>
      <c r="AP514" s="120"/>
      <c r="AQ514" s="120"/>
      <c r="AR514" s="121"/>
      <c r="AS514" s="96"/>
      <c r="AT514" s="122"/>
      <c r="AU514" s="96"/>
      <c r="AV514" s="122"/>
      <c r="AW514" s="122"/>
      <c r="AX514" s="30"/>
      <c r="AY514" s="30"/>
      <c r="AZ514" s="30"/>
      <c r="BA514" s="30"/>
      <c r="BB514" s="26"/>
      <c r="BC514" s="26"/>
      <c r="BD514" s="26"/>
      <c r="BE514" s="26"/>
      <c r="BF514" s="26"/>
    </row>
    <row r="515" spans="1:58" ht="15.75" customHeight="1">
      <c r="A515" s="67"/>
      <c r="B515" s="67"/>
      <c r="C515" s="67"/>
      <c r="D515" s="68"/>
      <c r="E515" s="68"/>
      <c r="F515" s="68"/>
      <c r="G515" s="68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30"/>
      <c r="AO515" s="25"/>
      <c r="AP515" s="120"/>
      <c r="AQ515" s="120"/>
      <c r="AR515" s="121"/>
      <c r="AS515" s="96"/>
      <c r="AT515" s="122"/>
      <c r="AU515" s="96"/>
      <c r="AV515" s="122"/>
      <c r="AW515" s="122"/>
      <c r="AX515" s="30"/>
      <c r="AY515" s="30"/>
      <c r="AZ515" s="30"/>
      <c r="BA515" s="30"/>
      <c r="BB515" s="26"/>
      <c r="BC515" s="26"/>
      <c r="BD515" s="26"/>
      <c r="BE515" s="26"/>
      <c r="BF515" s="26"/>
    </row>
    <row r="516" spans="1:58" ht="15.75" customHeight="1">
      <c r="A516" s="67"/>
      <c r="B516" s="67"/>
      <c r="C516" s="67"/>
      <c r="D516" s="68"/>
      <c r="E516" s="68"/>
      <c r="F516" s="68"/>
      <c r="G516" s="68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30"/>
      <c r="AO516" s="25"/>
      <c r="AP516" s="120"/>
      <c r="AQ516" s="120"/>
      <c r="AR516" s="121"/>
      <c r="AS516" s="96"/>
      <c r="AT516" s="122"/>
      <c r="AU516" s="96"/>
      <c r="AV516" s="122"/>
      <c r="AW516" s="122"/>
      <c r="AX516" s="30"/>
      <c r="AY516" s="30"/>
      <c r="AZ516" s="30"/>
      <c r="BA516" s="30"/>
      <c r="BB516" s="26"/>
      <c r="BC516" s="26"/>
      <c r="BD516" s="26"/>
      <c r="BE516" s="26"/>
      <c r="BF516" s="26"/>
    </row>
    <row r="517" spans="1:58" ht="15.75" customHeight="1">
      <c r="A517" s="67"/>
      <c r="B517" s="67"/>
      <c r="C517" s="67"/>
      <c r="D517" s="68"/>
      <c r="E517" s="68"/>
      <c r="F517" s="68"/>
      <c r="G517" s="68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30"/>
      <c r="AO517" s="25"/>
      <c r="AP517" s="120"/>
      <c r="AQ517" s="120"/>
      <c r="AR517" s="121"/>
      <c r="AS517" s="96"/>
      <c r="AT517" s="122"/>
      <c r="AU517" s="96"/>
      <c r="AV517" s="122"/>
      <c r="AW517" s="122"/>
      <c r="AX517" s="30"/>
      <c r="AY517" s="30"/>
      <c r="AZ517" s="30"/>
      <c r="BA517" s="30"/>
      <c r="BB517" s="26"/>
      <c r="BC517" s="26"/>
      <c r="BD517" s="26"/>
      <c r="BE517" s="26"/>
      <c r="BF517" s="26"/>
    </row>
    <row r="518" spans="1:58" ht="15.75" customHeight="1">
      <c r="A518" s="67"/>
      <c r="B518" s="67"/>
      <c r="C518" s="67"/>
      <c r="D518" s="68"/>
      <c r="E518" s="68"/>
      <c r="F518" s="68"/>
      <c r="G518" s="68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30"/>
      <c r="AO518" s="25"/>
      <c r="AP518" s="120"/>
      <c r="AQ518" s="120"/>
      <c r="AR518" s="121"/>
      <c r="AS518" s="96"/>
      <c r="AT518" s="122"/>
      <c r="AU518" s="96"/>
      <c r="AV518" s="122"/>
      <c r="AW518" s="122"/>
      <c r="AX518" s="30"/>
      <c r="AY518" s="30"/>
      <c r="AZ518" s="30"/>
      <c r="BA518" s="30"/>
      <c r="BB518" s="26"/>
      <c r="BC518" s="26"/>
      <c r="BD518" s="26"/>
      <c r="BE518" s="26"/>
      <c r="BF518" s="26"/>
    </row>
    <row r="519" spans="1:58" ht="15.75" customHeight="1">
      <c r="A519" s="67"/>
      <c r="B519" s="67"/>
      <c r="C519" s="67"/>
      <c r="D519" s="68"/>
      <c r="E519" s="68"/>
      <c r="F519" s="68"/>
      <c r="G519" s="68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30"/>
      <c r="AO519" s="25"/>
      <c r="AP519" s="120"/>
      <c r="AQ519" s="120"/>
      <c r="AR519" s="121"/>
      <c r="AS519" s="96"/>
      <c r="AT519" s="122"/>
      <c r="AU519" s="96"/>
      <c r="AV519" s="122"/>
      <c r="AW519" s="122"/>
      <c r="AX519" s="30"/>
      <c r="AY519" s="30"/>
      <c r="AZ519" s="30"/>
      <c r="BA519" s="30"/>
      <c r="BB519" s="26"/>
      <c r="BC519" s="26"/>
      <c r="BD519" s="26"/>
      <c r="BE519" s="26"/>
      <c r="BF519" s="26"/>
    </row>
    <row r="520" spans="1:58" ht="15.75" customHeight="1">
      <c r="A520" s="67"/>
      <c r="B520" s="67"/>
      <c r="C520" s="67"/>
      <c r="D520" s="68"/>
      <c r="E520" s="68"/>
      <c r="F520" s="68"/>
      <c r="G520" s="68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30"/>
      <c r="AO520" s="25"/>
      <c r="AP520" s="120"/>
      <c r="AQ520" s="120"/>
      <c r="AR520" s="121"/>
      <c r="AS520" s="96"/>
      <c r="AT520" s="122"/>
      <c r="AU520" s="96"/>
      <c r="AV520" s="122"/>
      <c r="AW520" s="122"/>
      <c r="AX520" s="30"/>
      <c r="AY520" s="30"/>
      <c r="AZ520" s="30"/>
      <c r="BA520" s="30"/>
      <c r="BB520" s="26"/>
      <c r="BC520" s="26"/>
      <c r="BD520" s="26"/>
      <c r="BE520" s="26"/>
      <c r="BF520" s="26"/>
    </row>
    <row r="521" spans="1:58" ht="15.75" customHeight="1">
      <c r="A521" s="67"/>
      <c r="B521" s="67"/>
      <c r="C521" s="67"/>
      <c r="D521" s="68"/>
      <c r="E521" s="68"/>
      <c r="F521" s="68"/>
      <c r="G521" s="68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30"/>
      <c r="AO521" s="25"/>
      <c r="AP521" s="120"/>
      <c r="AQ521" s="120"/>
      <c r="AR521" s="121"/>
      <c r="AS521" s="96"/>
      <c r="AT521" s="122"/>
      <c r="AU521" s="96"/>
      <c r="AV521" s="122"/>
      <c r="AW521" s="122"/>
      <c r="AX521" s="30"/>
      <c r="AY521" s="30"/>
      <c r="AZ521" s="30"/>
      <c r="BA521" s="30"/>
      <c r="BB521" s="26"/>
      <c r="BC521" s="26"/>
      <c r="BD521" s="26"/>
      <c r="BE521" s="26"/>
      <c r="BF521" s="26"/>
    </row>
    <row r="522" spans="1:58" ht="15.75" customHeight="1">
      <c r="A522" s="67"/>
      <c r="B522" s="67"/>
      <c r="C522" s="67"/>
      <c r="D522" s="68"/>
      <c r="E522" s="68"/>
      <c r="F522" s="68"/>
      <c r="G522" s="68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30"/>
      <c r="AO522" s="25"/>
      <c r="AP522" s="120"/>
      <c r="AQ522" s="120"/>
      <c r="AR522" s="121"/>
      <c r="AS522" s="96"/>
      <c r="AT522" s="122"/>
      <c r="AU522" s="96"/>
      <c r="AV522" s="122"/>
      <c r="AW522" s="122"/>
      <c r="AX522" s="30"/>
      <c r="AY522" s="30"/>
      <c r="AZ522" s="30"/>
      <c r="BA522" s="30"/>
      <c r="BB522" s="26"/>
      <c r="BC522" s="26"/>
      <c r="BD522" s="26"/>
      <c r="BE522" s="26"/>
      <c r="BF522" s="26"/>
    </row>
    <row r="523" spans="1:58" ht="15.75" customHeight="1">
      <c r="A523" s="67"/>
      <c r="B523" s="67"/>
      <c r="C523" s="67"/>
      <c r="D523" s="68"/>
      <c r="E523" s="68"/>
      <c r="F523" s="68"/>
      <c r="G523" s="68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30"/>
      <c r="AO523" s="25"/>
      <c r="AP523" s="120"/>
      <c r="AQ523" s="120"/>
      <c r="AR523" s="121"/>
      <c r="AS523" s="96"/>
      <c r="AT523" s="122"/>
      <c r="AU523" s="96"/>
      <c r="AV523" s="122"/>
      <c r="AW523" s="122"/>
      <c r="AX523" s="30"/>
      <c r="AY523" s="30"/>
      <c r="AZ523" s="30"/>
      <c r="BA523" s="30"/>
      <c r="BB523" s="26"/>
      <c r="BC523" s="26"/>
      <c r="BD523" s="26"/>
      <c r="BE523" s="26"/>
      <c r="BF523" s="26"/>
    </row>
    <row r="524" spans="1:58" ht="15.75" customHeight="1">
      <c r="A524" s="67"/>
      <c r="B524" s="67"/>
      <c r="C524" s="67"/>
      <c r="D524" s="68"/>
      <c r="E524" s="68"/>
      <c r="F524" s="68"/>
      <c r="G524" s="68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30"/>
      <c r="AO524" s="25"/>
      <c r="AP524" s="120"/>
      <c r="AQ524" s="120"/>
      <c r="AR524" s="121"/>
      <c r="AS524" s="96"/>
      <c r="AT524" s="122"/>
      <c r="AU524" s="96"/>
      <c r="AV524" s="122"/>
      <c r="AW524" s="122"/>
      <c r="AX524" s="30"/>
      <c r="AY524" s="30"/>
      <c r="AZ524" s="30"/>
      <c r="BA524" s="30"/>
      <c r="BB524" s="26"/>
      <c r="BC524" s="26"/>
      <c r="BD524" s="26"/>
      <c r="BE524" s="26"/>
      <c r="BF524" s="26"/>
    </row>
    <row r="525" spans="1:58" ht="15.75" customHeight="1">
      <c r="A525" s="67"/>
      <c r="B525" s="67"/>
      <c r="C525" s="67"/>
      <c r="D525" s="68"/>
      <c r="E525" s="68"/>
      <c r="F525" s="68"/>
      <c r="G525" s="68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30"/>
      <c r="AO525" s="25"/>
      <c r="AP525" s="120"/>
      <c r="AQ525" s="120"/>
      <c r="AR525" s="121"/>
      <c r="AS525" s="96"/>
      <c r="AT525" s="122"/>
      <c r="AU525" s="96"/>
      <c r="AV525" s="122"/>
      <c r="AW525" s="122"/>
      <c r="AX525" s="30"/>
      <c r="AY525" s="30"/>
      <c r="AZ525" s="30"/>
      <c r="BA525" s="30"/>
      <c r="BB525" s="26"/>
      <c r="BC525" s="26"/>
      <c r="BD525" s="26"/>
      <c r="BE525" s="26"/>
      <c r="BF525" s="26"/>
    </row>
    <row r="526" spans="1:58" ht="15.75" customHeight="1">
      <c r="A526" s="67"/>
      <c r="B526" s="67"/>
      <c r="C526" s="67"/>
      <c r="D526" s="68"/>
      <c r="E526" s="68"/>
      <c r="F526" s="68"/>
      <c r="G526" s="68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30"/>
      <c r="AO526" s="25"/>
      <c r="AP526" s="120"/>
      <c r="AQ526" s="120"/>
      <c r="AR526" s="121"/>
      <c r="AS526" s="96"/>
      <c r="AT526" s="122"/>
      <c r="AU526" s="96"/>
      <c r="AV526" s="122"/>
      <c r="AW526" s="122"/>
      <c r="AX526" s="30"/>
      <c r="AY526" s="30"/>
      <c r="AZ526" s="30"/>
      <c r="BA526" s="30"/>
      <c r="BB526" s="26"/>
      <c r="BC526" s="26"/>
      <c r="BD526" s="26"/>
      <c r="BE526" s="26"/>
      <c r="BF526" s="26"/>
    </row>
    <row r="527" spans="1:58" ht="15.75" customHeight="1">
      <c r="A527" s="67"/>
      <c r="B527" s="67"/>
      <c r="C527" s="67"/>
      <c r="D527" s="68"/>
      <c r="E527" s="68"/>
      <c r="F527" s="68"/>
      <c r="G527" s="68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30"/>
      <c r="AO527" s="25"/>
      <c r="AP527" s="120"/>
      <c r="AQ527" s="120"/>
      <c r="AR527" s="121"/>
      <c r="AS527" s="96"/>
      <c r="AT527" s="122"/>
      <c r="AU527" s="96"/>
      <c r="AV527" s="122"/>
      <c r="AW527" s="122"/>
      <c r="AX527" s="30"/>
      <c r="AY527" s="30"/>
      <c r="AZ527" s="30"/>
      <c r="BA527" s="30"/>
      <c r="BB527" s="26"/>
      <c r="BC527" s="26"/>
      <c r="BD527" s="26"/>
      <c r="BE527" s="26"/>
      <c r="BF527" s="26"/>
    </row>
    <row r="528" spans="1:58" ht="15.75" customHeight="1">
      <c r="A528" s="67"/>
      <c r="B528" s="67"/>
      <c r="C528" s="67"/>
      <c r="D528" s="68"/>
      <c r="E528" s="68"/>
      <c r="F528" s="68"/>
      <c r="G528" s="68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30"/>
      <c r="AO528" s="25"/>
      <c r="AP528" s="120"/>
      <c r="AQ528" s="120"/>
      <c r="AR528" s="121"/>
      <c r="AS528" s="96"/>
      <c r="AT528" s="122"/>
      <c r="AU528" s="96"/>
      <c r="AV528" s="122"/>
      <c r="AW528" s="122"/>
      <c r="AX528" s="30"/>
      <c r="AY528" s="30"/>
      <c r="AZ528" s="30"/>
      <c r="BA528" s="30"/>
      <c r="BB528" s="26"/>
      <c r="BC528" s="26"/>
      <c r="BD528" s="26"/>
      <c r="BE528" s="26"/>
      <c r="BF528" s="26"/>
    </row>
    <row r="529" spans="1:58" ht="15.75" customHeight="1">
      <c r="A529" s="67"/>
      <c r="B529" s="67"/>
      <c r="C529" s="67"/>
      <c r="D529" s="68"/>
      <c r="E529" s="68"/>
      <c r="F529" s="68"/>
      <c r="G529" s="68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30"/>
      <c r="AO529" s="25"/>
      <c r="AP529" s="120"/>
      <c r="AQ529" s="120"/>
      <c r="AR529" s="121"/>
      <c r="AS529" s="96"/>
      <c r="AT529" s="122"/>
      <c r="AU529" s="96"/>
      <c r="AV529" s="122"/>
      <c r="AW529" s="122"/>
      <c r="AX529" s="30"/>
      <c r="AY529" s="30"/>
      <c r="AZ529" s="30"/>
      <c r="BA529" s="30"/>
      <c r="BB529" s="26"/>
      <c r="BC529" s="26"/>
      <c r="BD529" s="26"/>
      <c r="BE529" s="26"/>
      <c r="BF529" s="26"/>
    </row>
    <row r="530" spans="1:58" ht="15.75" customHeight="1">
      <c r="A530" s="67"/>
      <c r="B530" s="67"/>
      <c r="C530" s="67"/>
      <c r="D530" s="68"/>
      <c r="E530" s="68"/>
      <c r="F530" s="68"/>
      <c r="G530" s="68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30"/>
      <c r="AO530" s="25"/>
      <c r="AP530" s="120"/>
      <c r="AQ530" s="120"/>
      <c r="AR530" s="121"/>
      <c r="AS530" s="96"/>
      <c r="AT530" s="122"/>
      <c r="AU530" s="96"/>
      <c r="AV530" s="122"/>
      <c r="AW530" s="122"/>
      <c r="AX530" s="30"/>
      <c r="AY530" s="30"/>
      <c r="AZ530" s="30"/>
      <c r="BA530" s="30"/>
      <c r="BB530" s="26"/>
      <c r="BC530" s="26"/>
      <c r="BD530" s="26"/>
      <c r="BE530" s="26"/>
      <c r="BF530" s="26"/>
    </row>
    <row r="531" spans="1:58" ht="15.75" customHeight="1">
      <c r="A531" s="67"/>
      <c r="B531" s="67"/>
      <c r="C531" s="67"/>
      <c r="D531" s="68"/>
      <c r="E531" s="68"/>
      <c r="F531" s="68"/>
      <c r="G531" s="68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30"/>
      <c r="AO531" s="25"/>
      <c r="AP531" s="120"/>
      <c r="AQ531" s="120"/>
      <c r="AR531" s="121"/>
      <c r="AS531" s="96"/>
      <c r="AT531" s="122"/>
      <c r="AU531" s="96"/>
      <c r="AV531" s="122"/>
      <c r="AW531" s="122"/>
      <c r="AX531" s="30"/>
      <c r="AY531" s="30"/>
      <c r="AZ531" s="30"/>
      <c r="BA531" s="30"/>
      <c r="BB531" s="26"/>
      <c r="BC531" s="26"/>
      <c r="BD531" s="26"/>
      <c r="BE531" s="26"/>
      <c r="BF531" s="26"/>
    </row>
    <row r="532" spans="1:58" ht="15.75" customHeight="1">
      <c r="A532" s="67"/>
      <c r="B532" s="67"/>
      <c r="C532" s="67"/>
      <c r="D532" s="68"/>
      <c r="E532" s="68"/>
      <c r="F532" s="68"/>
      <c r="G532" s="68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30"/>
      <c r="AO532" s="25"/>
      <c r="AP532" s="120"/>
      <c r="AQ532" s="120"/>
      <c r="AR532" s="121"/>
      <c r="AS532" s="96"/>
      <c r="AT532" s="122"/>
      <c r="AU532" s="96"/>
      <c r="AV532" s="122"/>
      <c r="AW532" s="122"/>
      <c r="AX532" s="30"/>
      <c r="AY532" s="30"/>
      <c r="AZ532" s="30"/>
      <c r="BA532" s="30"/>
      <c r="BB532" s="26"/>
      <c r="BC532" s="26"/>
      <c r="BD532" s="26"/>
      <c r="BE532" s="26"/>
      <c r="BF532" s="26"/>
    </row>
    <row r="533" spans="1:58" ht="15.75" customHeight="1">
      <c r="A533" s="67"/>
      <c r="B533" s="67"/>
      <c r="C533" s="67"/>
      <c r="D533" s="68"/>
      <c r="E533" s="68"/>
      <c r="F533" s="68"/>
      <c r="G533" s="68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30"/>
      <c r="AO533" s="25"/>
      <c r="AP533" s="120"/>
      <c r="AQ533" s="120"/>
      <c r="AR533" s="121"/>
      <c r="AS533" s="96"/>
      <c r="AT533" s="122"/>
      <c r="AU533" s="96"/>
      <c r="AV533" s="122"/>
      <c r="AW533" s="122"/>
      <c r="AX533" s="30"/>
      <c r="AY533" s="30"/>
      <c r="AZ533" s="30"/>
      <c r="BA533" s="30"/>
      <c r="BB533" s="26"/>
      <c r="BC533" s="26"/>
      <c r="BD533" s="26"/>
      <c r="BE533" s="26"/>
      <c r="BF533" s="26"/>
    </row>
    <row r="534" spans="1:58" ht="15.75" customHeight="1">
      <c r="A534" s="67"/>
      <c r="B534" s="67"/>
      <c r="C534" s="67"/>
      <c r="D534" s="68"/>
      <c r="E534" s="68"/>
      <c r="F534" s="68"/>
      <c r="G534" s="68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30"/>
      <c r="AO534" s="25"/>
      <c r="AP534" s="120"/>
      <c r="AQ534" s="120"/>
      <c r="AR534" s="121"/>
      <c r="AS534" s="96"/>
      <c r="AT534" s="122"/>
      <c r="AU534" s="96"/>
      <c r="AV534" s="122"/>
      <c r="AW534" s="122"/>
      <c r="AX534" s="30"/>
      <c r="AY534" s="30"/>
      <c r="AZ534" s="30"/>
      <c r="BA534" s="30"/>
      <c r="BB534" s="26"/>
      <c r="BC534" s="26"/>
      <c r="BD534" s="26"/>
      <c r="BE534" s="26"/>
      <c r="BF534" s="26"/>
    </row>
    <row r="535" spans="1:58" ht="15.75" customHeight="1">
      <c r="A535" s="67"/>
      <c r="B535" s="67"/>
      <c r="C535" s="67"/>
      <c r="D535" s="68"/>
      <c r="E535" s="68"/>
      <c r="F535" s="68"/>
      <c r="G535" s="68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30"/>
      <c r="AO535" s="25"/>
      <c r="AP535" s="120"/>
      <c r="AQ535" s="120"/>
      <c r="AR535" s="121"/>
      <c r="AS535" s="96"/>
      <c r="AT535" s="122"/>
      <c r="AU535" s="96"/>
      <c r="AV535" s="122"/>
      <c r="AW535" s="122"/>
      <c r="AX535" s="30"/>
      <c r="AY535" s="30"/>
      <c r="AZ535" s="30"/>
      <c r="BA535" s="30"/>
      <c r="BB535" s="26"/>
      <c r="BC535" s="26"/>
      <c r="BD535" s="26"/>
      <c r="BE535" s="26"/>
      <c r="BF535" s="26"/>
    </row>
    <row r="536" spans="1:58" ht="15.75" customHeight="1">
      <c r="A536" s="67"/>
      <c r="B536" s="67"/>
      <c r="C536" s="67"/>
      <c r="D536" s="68"/>
      <c r="E536" s="68"/>
      <c r="F536" s="68"/>
      <c r="G536" s="68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30"/>
      <c r="AO536" s="25"/>
      <c r="AP536" s="120"/>
      <c r="AQ536" s="120"/>
      <c r="AR536" s="121"/>
      <c r="AS536" s="96"/>
      <c r="AT536" s="122"/>
      <c r="AU536" s="96"/>
      <c r="AV536" s="122"/>
      <c r="AW536" s="122"/>
      <c r="AX536" s="30"/>
      <c r="AY536" s="30"/>
      <c r="AZ536" s="30"/>
      <c r="BA536" s="30"/>
      <c r="BB536" s="26"/>
      <c r="BC536" s="26"/>
      <c r="BD536" s="26"/>
      <c r="BE536" s="26"/>
      <c r="BF536" s="26"/>
    </row>
    <row r="537" spans="1:58" ht="15.75" customHeight="1">
      <c r="A537" s="67"/>
      <c r="B537" s="67"/>
      <c r="C537" s="67"/>
      <c r="D537" s="68"/>
      <c r="E537" s="68"/>
      <c r="F537" s="68"/>
      <c r="G537" s="68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30"/>
      <c r="AO537" s="25"/>
      <c r="AP537" s="120"/>
      <c r="AQ537" s="120"/>
      <c r="AR537" s="121"/>
      <c r="AS537" s="96"/>
      <c r="AT537" s="122"/>
      <c r="AU537" s="96"/>
      <c r="AV537" s="122"/>
      <c r="AW537" s="122"/>
      <c r="AX537" s="30"/>
      <c r="AY537" s="30"/>
      <c r="AZ537" s="30"/>
      <c r="BA537" s="30"/>
      <c r="BB537" s="26"/>
      <c r="BC537" s="26"/>
      <c r="BD537" s="26"/>
      <c r="BE537" s="26"/>
      <c r="BF537" s="26"/>
    </row>
    <row r="538" spans="1:58" ht="15.75" customHeight="1">
      <c r="A538" s="67"/>
      <c r="B538" s="67"/>
      <c r="C538" s="67"/>
      <c r="D538" s="68"/>
      <c r="E538" s="68"/>
      <c r="F538" s="68"/>
      <c r="G538" s="68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30"/>
      <c r="AO538" s="25"/>
      <c r="AP538" s="120"/>
      <c r="AQ538" s="120"/>
      <c r="AR538" s="121"/>
      <c r="AS538" s="96"/>
      <c r="AT538" s="122"/>
      <c r="AU538" s="96"/>
      <c r="AV538" s="122"/>
      <c r="AW538" s="122"/>
      <c r="AX538" s="30"/>
      <c r="AY538" s="30"/>
      <c r="AZ538" s="30"/>
      <c r="BA538" s="30"/>
      <c r="BB538" s="26"/>
      <c r="BC538" s="26"/>
      <c r="BD538" s="26"/>
      <c r="BE538" s="26"/>
      <c r="BF538" s="26"/>
    </row>
    <row r="539" spans="1:58" ht="15.75" customHeight="1">
      <c r="A539" s="67"/>
      <c r="B539" s="67"/>
      <c r="C539" s="67"/>
      <c r="D539" s="68"/>
      <c r="E539" s="68"/>
      <c r="F539" s="68"/>
      <c r="G539" s="68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30"/>
      <c r="AO539" s="25"/>
      <c r="AP539" s="120"/>
      <c r="AQ539" s="120"/>
      <c r="AR539" s="121"/>
      <c r="AS539" s="96"/>
      <c r="AT539" s="122"/>
      <c r="AU539" s="96"/>
      <c r="AV539" s="122"/>
      <c r="AW539" s="122"/>
      <c r="AX539" s="30"/>
      <c r="AY539" s="30"/>
      <c r="AZ539" s="30"/>
      <c r="BA539" s="30"/>
      <c r="BB539" s="26"/>
      <c r="BC539" s="26"/>
      <c r="BD539" s="26"/>
      <c r="BE539" s="26"/>
      <c r="BF539" s="26"/>
    </row>
    <row r="540" spans="1:58" ht="15.75" customHeight="1">
      <c r="A540" s="67"/>
      <c r="B540" s="67"/>
      <c r="C540" s="67"/>
      <c r="D540" s="68"/>
      <c r="E540" s="68"/>
      <c r="F540" s="68"/>
      <c r="G540" s="68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30"/>
      <c r="AO540" s="25"/>
      <c r="AP540" s="120"/>
      <c r="AQ540" s="120"/>
      <c r="AR540" s="121"/>
      <c r="AS540" s="96"/>
      <c r="AT540" s="122"/>
      <c r="AU540" s="96"/>
      <c r="AV540" s="122"/>
      <c r="AW540" s="122"/>
      <c r="AX540" s="30"/>
      <c r="AY540" s="30"/>
      <c r="AZ540" s="30"/>
      <c r="BA540" s="30"/>
      <c r="BB540" s="26"/>
      <c r="BC540" s="26"/>
      <c r="BD540" s="26"/>
      <c r="BE540" s="26"/>
      <c r="BF540" s="26"/>
    </row>
    <row r="541" spans="1:58" ht="15.75" customHeight="1">
      <c r="A541" s="67"/>
      <c r="B541" s="67"/>
      <c r="C541" s="67"/>
      <c r="D541" s="68"/>
      <c r="E541" s="68"/>
      <c r="F541" s="68"/>
      <c r="G541" s="68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30"/>
      <c r="AO541" s="25"/>
      <c r="AP541" s="120"/>
      <c r="AQ541" s="120"/>
      <c r="AR541" s="121"/>
      <c r="AS541" s="96"/>
      <c r="AT541" s="122"/>
      <c r="AU541" s="96"/>
      <c r="AV541" s="122"/>
      <c r="AW541" s="122"/>
      <c r="AX541" s="30"/>
      <c r="AY541" s="30"/>
      <c r="AZ541" s="30"/>
      <c r="BA541" s="30"/>
      <c r="BB541" s="26"/>
      <c r="BC541" s="26"/>
      <c r="BD541" s="26"/>
      <c r="BE541" s="26"/>
      <c r="BF541" s="26"/>
    </row>
    <row r="542" spans="1:58" ht="15.75" customHeight="1">
      <c r="A542" s="67"/>
      <c r="B542" s="67"/>
      <c r="C542" s="67"/>
      <c r="D542" s="68"/>
      <c r="E542" s="68"/>
      <c r="F542" s="68"/>
      <c r="G542" s="68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30"/>
      <c r="AO542" s="25"/>
      <c r="AP542" s="120"/>
      <c r="AQ542" s="120"/>
      <c r="AR542" s="121"/>
      <c r="AS542" s="96"/>
      <c r="AT542" s="122"/>
      <c r="AU542" s="96"/>
      <c r="AV542" s="122"/>
      <c r="AW542" s="122"/>
      <c r="AX542" s="30"/>
      <c r="AY542" s="30"/>
      <c r="AZ542" s="30"/>
      <c r="BA542" s="30"/>
      <c r="BB542" s="26"/>
      <c r="BC542" s="26"/>
      <c r="BD542" s="26"/>
      <c r="BE542" s="26"/>
      <c r="BF542" s="26"/>
    </row>
    <row r="543" spans="1:58" ht="15.75" customHeight="1">
      <c r="A543" s="67"/>
      <c r="B543" s="67"/>
      <c r="C543" s="67"/>
      <c r="D543" s="68"/>
      <c r="E543" s="68"/>
      <c r="F543" s="68"/>
      <c r="G543" s="68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30"/>
      <c r="AO543" s="25"/>
      <c r="AP543" s="120"/>
      <c r="AQ543" s="120"/>
      <c r="AR543" s="121"/>
      <c r="AS543" s="96"/>
      <c r="AT543" s="122"/>
      <c r="AU543" s="96"/>
      <c r="AV543" s="122"/>
      <c r="AW543" s="122"/>
      <c r="AX543" s="30"/>
      <c r="AY543" s="30"/>
      <c r="AZ543" s="30"/>
      <c r="BA543" s="30"/>
      <c r="BB543" s="26"/>
      <c r="BC543" s="26"/>
      <c r="BD543" s="26"/>
      <c r="BE543" s="26"/>
      <c r="BF543" s="26"/>
    </row>
    <row r="544" spans="1:58" ht="15.75" customHeight="1">
      <c r="A544" s="67"/>
      <c r="B544" s="67"/>
      <c r="C544" s="67"/>
      <c r="D544" s="68"/>
      <c r="E544" s="68"/>
      <c r="F544" s="68"/>
      <c r="G544" s="68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30"/>
      <c r="AO544" s="25"/>
      <c r="AP544" s="120"/>
      <c r="AQ544" s="120"/>
      <c r="AR544" s="121"/>
      <c r="AS544" s="96"/>
      <c r="AT544" s="122"/>
      <c r="AU544" s="96"/>
      <c r="AV544" s="122"/>
      <c r="AW544" s="122"/>
      <c r="AX544" s="30"/>
      <c r="AY544" s="30"/>
      <c r="AZ544" s="30"/>
      <c r="BA544" s="30"/>
      <c r="BB544" s="26"/>
      <c r="BC544" s="26"/>
      <c r="BD544" s="26"/>
      <c r="BE544" s="26"/>
      <c r="BF544" s="26"/>
    </row>
    <row r="545" spans="1:58" ht="15.75" customHeight="1">
      <c r="A545" s="67"/>
      <c r="B545" s="67"/>
      <c r="C545" s="67"/>
      <c r="D545" s="68"/>
      <c r="E545" s="68"/>
      <c r="F545" s="68"/>
      <c r="G545" s="68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30"/>
      <c r="AO545" s="25"/>
      <c r="AP545" s="120"/>
      <c r="AQ545" s="120"/>
      <c r="AR545" s="121"/>
      <c r="AS545" s="96"/>
      <c r="AT545" s="122"/>
      <c r="AU545" s="96"/>
      <c r="AV545" s="122"/>
      <c r="AW545" s="122"/>
      <c r="AX545" s="30"/>
      <c r="AY545" s="30"/>
      <c r="AZ545" s="30"/>
      <c r="BA545" s="30"/>
      <c r="BB545" s="26"/>
      <c r="BC545" s="26"/>
      <c r="BD545" s="26"/>
      <c r="BE545" s="26"/>
      <c r="BF545" s="26"/>
    </row>
    <row r="546" spans="1:58" ht="15.75" customHeight="1">
      <c r="A546" s="67"/>
      <c r="B546" s="67"/>
      <c r="C546" s="67"/>
      <c r="D546" s="68"/>
      <c r="E546" s="68"/>
      <c r="F546" s="68"/>
      <c r="G546" s="68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30"/>
      <c r="AO546" s="25"/>
      <c r="AP546" s="120"/>
      <c r="AQ546" s="120"/>
      <c r="AR546" s="121"/>
      <c r="AS546" s="96"/>
      <c r="AT546" s="122"/>
      <c r="AU546" s="96"/>
      <c r="AV546" s="122"/>
      <c r="AW546" s="122"/>
      <c r="AX546" s="30"/>
      <c r="AY546" s="30"/>
      <c r="AZ546" s="30"/>
      <c r="BA546" s="30"/>
      <c r="BB546" s="26"/>
      <c r="BC546" s="26"/>
      <c r="BD546" s="26"/>
      <c r="BE546" s="26"/>
      <c r="BF546" s="26"/>
    </row>
    <row r="547" spans="1:58" ht="15.75" customHeight="1">
      <c r="A547" s="67"/>
      <c r="B547" s="67"/>
      <c r="C547" s="67"/>
      <c r="D547" s="68"/>
      <c r="E547" s="68"/>
      <c r="F547" s="68"/>
      <c r="G547" s="68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30"/>
      <c r="AO547" s="25"/>
      <c r="AP547" s="120"/>
      <c r="AQ547" s="120"/>
      <c r="AR547" s="121"/>
      <c r="AS547" s="96"/>
      <c r="AT547" s="122"/>
      <c r="AU547" s="96"/>
      <c r="AV547" s="122"/>
      <c r="AW547" s="122"/>
      <c r="AX547" s="30"/>
      <c r="AY547" s="30"/>
      <c r="AZ547" s="30"/>
      <c r="BA547" s="30"/>
      <c r="BB547" s="26"/>
      <c r="BC547" s="26"/>
      <c r="BD547" s="26"/>
      <c r="BE547" s="26"/>
      <c r="BF547" s="26"/>
    </row>
    <row r="548" spans="1:58" ht="15.75" customHeight="1">
      <c r="A548" s="67"/>
      <c r="B548" s="67"/>
      <c r="C548" s="67"/>
      <c r="D548" s="68"/>
      <c r="E548" s="68"/>
      <c r="F548" s="68"/>
      <c r="G548" s="68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30"/>
      <c r="AO548" s="25"/>
      <c r="AP548" s="120"/>
      <c r="AQ548" s="120"/>
      <c r="AR548" s="121"/>
      <c r="AS548" s="96"/>
      <c r="AT548" s="122"/>
      <c r="AU548" s="96"/>
      <c r="AV548" s="122"/>
      <c r="AW548" s="122"/>
      <c r="AX548" s="30"/>
      <c r="AY548" s="30"/>
      <c r="AZ548" s="30"/>
      <c r="BA548" s="30"/>
      <c r="BB548" s="26"/>
      <c r="BC548" s="26"/>
      <c r="BD548" s="26"/>
      <c r="BE548" s="26"/>
      <c r="BF548" s="26"/>
    </row>
    <row r="549" spans="1:58" ht="15.75" customHeight="1">
      <c r="A549" s="67"/>
      <c r="B549" s="67"/>
      <c r="C549" s="67"/>
      <c r="D549" s="68"/>
      <c r="E549" s="68"/>
      <c r="F549" s="68"/>
      <c r="G549" s="68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30"/>
      <c r="AO549" s="25"/>
      <c r="AP549" s="120"/>
      <c r="AQ549" s="120"/>
      <c r="AR549" s="121"/>
      <c r="AS549" s="96"/>
      <c r="AT549" s="122"/>
      <c r="AU549" s="96"/>
      <c r="AV549" s="122"/>
      <c r="AW549" s="122"/>
      <c r="AX549" s="30"/>
      <c r="AY549" s="30"/>
      <c r="AZ549" s="30"/>
      <c r="BA549" s="30"/>
      <c r="BB549" s="26"/>
      <c r="BC549" s="26"/>
      <c r="BD549" s="26"/>
      <c r="BE549" s="26"/>
      <c r="BF549" s="26"/>
    </row>
    <row r="550" spans="1:58" ht="15.75" customHeight="1">
      <c r="A550" s="67"/>
      <c r="B550" s="67"/>
      <c r="C550" s="67"/>
      <c r="D550" s="68"/>
      <c r="E550" s="68"/>
      <c r="F550" s="68"/>
      <c r="G550" s="68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30"/>
      <c r="AO550" s="25"/>
      <c r="AP550" s="120"/>
      <c r="AQ550" s="120"/>
      <c r="AR550" s="121"/>
      <c r="AS550" s="96"/>
      <c r="AT550" s="122"/>
      <c r="AU550" s="96"/>
      <c r="AV550" s="122"/>
      <c r="AW550" s="122"/>
      <c r="AX550" s="30"/>
      <c r="AY550" s="30"/>
      <c r="AZ550" s="30"/>
      <c r="BA550" s="30"/>
      <c r="BB550" s="26"/>
      <c r="BC550" s="26"/>
      <c r="BD550" s="26"/>
      <c r="BE550" s="26"/>
      <c r="BF550" s="26"/>
    </row>
    <row r="551" spans="1:58" ht="15.75" customHeight="1">
      <c r="A551" s="67"/>
      <c r="B551" s="67"/>
      <c r="C551" s="67"/>
      <c r="D551" s="68"/>
      <c r="E551" s="68"/>
      <c r="F551" s="68"/>
      <c r="G551" s="68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30"/>
      <c r="AO551" s="25"/>
      <c r="AP551" s="120"/>
      <c r="AQ551" s="120"/>
      <c r="AR551" s="121"/>
      <c r="AS551" s="96"/>
      <c r="AT551" s="122"/>
      <c r="AU551" s="96"/>
      <c r="AV551" s="122"/>
      <c r="AW551" s="122"/>
      <c r="AX551" s="30"/>
      <c r="AY551" s="30"/>
      <c r="AZ551" s="30"/>
      <c r="BA551" s="30"/>
      <c r="BB551" s="26"/>
      <c r="BC551" s="26"/>
      <c r="BD551" s="26"/>
      <c r="BE551" s="26"/>
      <c r="BF551" s="26"/>
    </row>
    <row r="552" spans="1:58" ht="15.75" customHeight="1">
      <c r="A552" s="67"/>
      <c r="B552" s="67"/>
      <c r="C552" s="67"/>
      <c r="D552" s="68"/>
      <c r="E552" s="68"/>
      <c r="F552" s="68"/>
      <c r="G552" s="68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30"/>
      <c r="AO552" s="25"/>
      <c r="AP552" s="120"/>
      <c r="AQ552" s="120"/>
      <c r="AR552" s="121"/>
      <c r="AS552" s="96"/>
      <c r="AT552" s="122"/>
      <c r="AU552" s="96"/>
      <c r="AV552" s="122"/>
      <c r="AW552" s="122"/>
      <c r="AX552" s="30"/>
      <c r="AY552" s="30"/>
      <c r="AZ552" s="30"/>
      <c r="BA552" s="30"/>
      <c r="BB552" s="26"/>
      <c r="BC552" s="26"/>
      <c r="BD552" s="26"/>
      <c r="BE552" s="26"/>
      <c r="BF552" s="26"/>
    </row>
    <row r="553" spans="1:58" ht="15.75" customHeight="1">
      <c r="A553" s="67"/>
      <c r="B553" s="67"/>
      <c r="C553" s="67"/>
      <c r="D553" s="68"/>
      <c r="E553" s="68"/>
      <c r="F553" s="68"/>
      <c r="G553" s="68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30"/>
      <c r="AO553" s="25"/>
      <c r="AP553" s="120"/>
      <c r="AQ553" s="120"/>
      <c r="AR553" s="121"/>
      <c r="AS553" s="96"/>
      <c r="AT553" s="122"/>
      <c r="AU553" s="96"/>
      <c r="AV553" s="122"/>
      <c r="AW553" s="122"/>
      <c r="AX553" s="30"/>
      <c r="AY553" s="30"/>
      <c r="AZ553" s="30"/>
      <c r="BA553" s="30"/>
      <c r="BB553" s="26"/>
      <c r="BC553" s="26"/>
      <c r="BD553" s="26"/>
      <c r="BE553" s="26"/>
      <c r="BF553" s="26"/>
    </row>
    <row r="554" spans="1:58" ht="15.75" customHeight="1">
      <c r="A554" s="67"/>
      <c r="B554" s="67"/>
      <c r="C554" s="67"/>
      <c r="D554" s="68"/>
      <c r="E554" s="68"/>
      <c r="F554" s="68"/>
      <c r="G554" s="68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30"/>
      <c r="AO554" s="25"/>
      <c r="AP554" s="120"/>
      <c r="AQ554" s="120"/>
      <c r="AR554" s="121"/>
      <c r="AS554" s="96"/>
      <c r="AT554" s="122"/>
      <c r="AU554" s="96"/>
      <c r="AV554" s="122"/>
      <c r="AW554" s="122"/>
      <c r="AX554" s="30"/>
      <c r="AY554" s="30"/>
      <c r="AZ554" s="30"/>
      <c r="BA554" s="30"/>
      <c r="BB554" s="26"/>
      <c r="BC554" s="26"/>
      <c r="BD554" s="26"/>
      <c r="BE554" s="26"/>
      <c r="BF554" s="26"/>
    </row>
    <row r="555" spans="1:58" ht="15.75" customHeight="1">
      <c r="A555" s="67"/>
      <c r="B555" s="67"/>
      <c r="C555" s="67"/>
      <c r="D555" s="68"/>
      <c r="E555" s="68"/>
      <c r="F555" s="68"/>
      <c r="G555" s="68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30"/>
      <c r="AO555" s="25"/>
      <c r="AP555" s="120"/>
      <c r="AQ555" s="120"/>
      <c r="AR555" s="121"/>
      <c r="AS555" s="96"/>
      <c r="AT555" s="122"/>
      <c r="AU555" s="96"/>
      <c r="AV555" s="122"/>
      <c r="AW555" s="122"/>
      <c r="AX555" s="30"/>
      <c r="AY555" s="30"/>
      <c r="AZ555" s="30"/>
      <c r="BA555" s="30"/>
      <c r="BB555" s="26"/>
      <c r="BC555" s="26"/>
      <c r="BD555" s="26"/>
      <c r="BE555" s="26"/>
      <c r="BF555" s="26"/>
    </row>
    <row r="556" spans="1:58" ht="15.75" customHeight="1">
      <c r="A556" s="67"/>
      <c r="B556" s="67"/>
      <c r="C556" s="67"/>
      <c r="D556" s="68"/>
      <c r="E556" s="68"/>
      <c r="F556" s="68"/>
      <c r="G556" s="68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30"/>
      <c r="AO556" s="25"/>
      <c r="AP556" s="120"/>
      <c r="AQ556" s="120"/>
      <c r="AR556" s="121"/>
      <c r="AS556" s="96"/>
      <c r="AT556" s="122"/>
      <c r="AU556" s="96"/>
      <c r="AV556" s="122"/>
      <c r="AW556" s="122"/>
      <c r="AX556" s="30"/>
      <c r="AY556" s="30"/>
      <c r="AZ556" s="30"/>
      <c r="BA556" s="30"/>
      <c r="BB556" s="26"/>
      <c r="BC556" s="26"/>
      <c r="BD556" s="26"/>
      <c r="BE556" s="26"/>
      <c r="BF556" s="26"/>
    </row>
    <row r="557" spans="1:58" ht="15.75" customHeight="1">
      <c r="A557" s="67"/>
      <c r="B557" s="67"/>
      <c r="C557" s="67"/>
      <c r="D557" s="68"/>
      <c r="E557" s="68"/>
      <c r="F557" s="68"/>
      <c r="G557" s="68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30"/>
      <c r="AO557" s="25"/>
      <c r="AP557" s="120"/>
      <c r="AQ557" s="120"/>
      <c r="AR557" s="121"/>
      <c r="AS557" s="96"/>
      <c r="AT557" s="122"/>
      <c r="AU557" s="96"/>
      <c r="AV557" s="122"/>
      <c r="AW557" s="122"/>
      <c r="AX557" s="30"/>
      <c r="AY557" s="30"/>
      <c r="AZ557" s="30"/>
      <c r="BA557" s="30"/>
      <c r="BB557" s="26"/>
      <c r="BC557" s="26"/>
      <c r="BD557" s="26"/>
      <c r="BE557" s="26"/>
      <c r="BF557" s="26"/>
    </row>
    <row r="558" spans="1:58" ht="15.75" customHeight="1">
      <c r="A558" s="67"/>
      <c r="B558" s="67"/>
      <c r="C558" s="67"/>
      <c r="D558" s="68"/>
      <c r="E558" s="68"/>
      <c r="F558" s="68"/>
      <c r="G558" s="68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30"/>
      <c r="AO558" s="25"/>
      <c r="AP558" s="120"/>
      <c r="AQ558" s="120"/>
      <c r="AR558" s="121"/>
      <c r="AS558" s="96"/>
      <c r="AT558" s="122"/>
      <c r="AU558" s="96"/>
      <c r="AV558" s="122"/>
      <c r="AW558" s="122"/>
      <c r="AX558" s="30"/>
      <c r="AY558" s="30"/>
      <c r="AZ558" s="30"/>
      <c r="BA558" s="30"/>
      <c r="BB558" s="26"/>
      <c r="BC558" s="26"/>
      <c r="BD558" s="26"/>
      <c r="BE558" s="26"/>
      <c r="BF558" s="26"/>
    </row>
    <row r="559" spans="1:58" ht="15.75" customHeight="1">
      <c r="A559" s="67"/>
      <c r="B559" s="67"/>
      <c r="C559" s="67"/>
      <c r="D559" s="68"/>
      <c r="E559" s="68"/>
      <c r="F559" s="68"/>
      <c r="G559" s="68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30"/>
      <c r="AO559" s="25"/>
      <c r="AP559" s="120"/>
      <c r="AQ559" s="120"/>
      <c r="AR559" s="121"/>
      <c r="AS559" s="96"/>
      <c r="AT559" s="122"/>
      <c r="AU559" s="96"/>
      <c r="AV559" s="122"/>
      <c r="AW559" s="122"/>
      <c r="AX559" s="30"/>
      <c r="AY559" s="30"/>
      <c r="AZ559" s="30"/>
      <c r="BA559" s="30"/>
      <c r="BB559" s="26"/>
      <c r="BC559" s="26"/>
      <c r="BD559" s="26"/>
      <c r="BE559" s="26"/>
      <c r="BF559" s="26"/>
    </row>
    <row r="560" spans="1:58" ht="15.75" customHeight="1">
      <c r="A560" s="67"/>
      <c r="B560" s="67"/>
      <c r="C560" s="67"/>
      <c r="D560" s="68"/>
      <c r="E560" s="68"/>
      <c r="F560" s="68"/>
      <c r="G560" s="68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30"/>
      <c r="AO560" s="25"/>
      <c r="AP560" s="120"/>
      <c r="AQ560" s="120"/>
      <c r="AR560" s="121"/>
      <c r="AS560" s="96"/>
      <c r="AT560" s="122"/>
      <c r="AU560" s="96"/>
      <c r="AV560" s="122"/>
      <c r="AW560" s="122"/>
      <c r="AX560" s="30"/>
      <c r="AY560" s="30"/>
      <c r="AZ560" s="30"/>
      <c r="BA560" s="30"/>
      <c r="BB560" s="26"/>
      <c r="BC560" s="26"/>
      <c r="BD560" s="26"/>
      <c r="BE560" s="26"/>
      <c r="BF560" s="26"/>
    </row>
    <row r="561" spans="1:58" ht="15.75" customHeight="1">
      <c r="A561" s="67"/>
      <c r="B561" s="67"/>
      <c r="C561" s="67"/>
      <c r="D561" s="68"/>
      <c r="E561" s="68"/>
      <c r="F561" s="68"/>
      <c r="G561" s="68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30"/>
      <c r="AO561" s="25"/>
      <c r="AP561" s="120"/>
      <c r="AQ561" s="120"/>
      <c r="AR561" s="121"/>
      <c r="AS561" s="96"/>
      <c r="AT561" s="122"/>
      <c r="AU561" s="96"/>
      <c r="AV561" s="122"/>
      <c r="AW561" s="122"/>
      <c r="AX561" s="30"/>
      <c r="AY561" s="30"/>
      <c r="AZ561" s="30"/>
      <c r="BA561" s="30"/>
      <c r="BB561" s="26"/>
      <c r="BC561" s="26"/>
      <c r="BD561" s="26"/>
      <c r="BE561" s="26"/>
      <c r="BF561" s="26"/>
    </row>
    <row r="562" spans="1:58" ht="15.75" customHeight="1">
      <c r="A562" s="67"/>
      <c r="B562" s="67"/>
      <c r="C562" s="67"/>
      <c r="D562" s="68"/>
      <c r="E562" s="68"/>
      <c r="F562" s="68"/>
      <c r="G562" s="68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30"/>
      <c r="AO562" s="25"/>
      <c r="AP562" s="120"/>
      <c r="AQ562" s="120"/>
      <c r="AR562" s="121"/>
      <c r="AS562" s="96"/>
      <c r="AT562" s="122"/>
      <c r="AU562" s="96"/>
      <c r="AV562" s="122"/>
      <c r="AW562" s="122"/>
      <c r="AX562" s="30"/>
      <c r="AY562" s="30"/>
      <c r="AZ562" s="30"/>
      <c r="BA562" s="30"/>
      <c r="BB562" s="26"/>
      <c r="BC562" s="26"/>
      <c r="BD562" s="26"/>
      <c r="BE562" s="26"/>
      <c r="BF562" s="26"/>
    </row>
    <row r="563" spans="1:58" ht="15.75" customHeight="1">
      <c r="A563" s="67"/>
      <c r="B563" s="67"/>
      <c r="C563" s="67"/>
      <c r="D563" s="68"/>
      <c r="E563" s="68"/>
      <c r="F563" s="68"/>
      <c r="G563" s="68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30"/>
      <c r="AO563" s="25"/>
      <c r="AP563" s="120"/>
      <c r="AQ563" s="120"/>
      <c r="AR563" s="121"/>
      <c r="AS563" s="96"/>
      <c r="AT563" s="122"/>
      <c r="AU563" s="96"/>
      <c r="AV563" s="122"/>
      <c r="AW563" s="122"/>
      <c r="AX563" s="30"/>
      <c r="AY563" s="30"/>
      <c r="AZ563" s="30"/>
      <c r="BA563" s="30"/>
      <c r="BB563" s="26"/>
      <c r="BC563" s="26"/>
      <c r="BD563" s="26"/>
      <c r="BE563" s="26"/>
      <c r="BF563" s="26"/>
    </row>
    <row r="564" spans="1:58" ht="15.75" customHeight="1">
      <c r="A564" s="67"/>
      <c r="B564" s="67"/>
      <c r="C564" s="67"/>
      <c r="D564" s="68"/>
      <c r="E564" s="68"/>
      <c r="F564" s="68"/>
      <c r="G564" s="68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30"/>
      <c r="AO564" s="25"/>
      <c r="AP564" s="120"/>
      <c r="AQ564" s="120"/>
      <c r="AR564" s="121"/>
      <c r="AS564" s="96"/>
      <c r="AT564" s="122"/>
      <c r="AU564" s="96"/>
      <c r="AV564" s="122"/>
      <c r="AW564" s="122"/>
      <c r="AX564" s="30"/>
      <c r="AY564" s="30"/>
      <c r="AZ564" s="30"/>
      <c r="BA564" s="30"/>
      <c r="BB564" s="26"/>
      <c r="BC564" s="26"/>
      <c r="BD564" s="26"/>
      <c r="BE564" s="26"/>
      <c r="BF564" s="26"/>
    </row>
    <row r="565" spans="1:58" ht="15.75" customHeight="1">
      <c r="A565" s="67"/>
      <c r="B565" s="67"/>
      <c r="C565" s="67"/>
      <c r="D565" s="68"/>
      <c r="E565" s="68"/>
      <c r="F565" s="68"/>
      <c r="G565" s="68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30"/>
      <c r="AO565" s="25"/>
      <c r="AP565" s="120"/>
      <c r="AQ565" s="120"/>
      <c r="AR565" s="121"/>
      <c r="AS565" s="96"/>
      <c r="AT565" s="122"/>
      <c r="AU565" s="96"/>
      <c r="AV565" s="122"/>
      <c r="AW565" s="122"/>
      <c r="AX565" s="30"/>
      <c r="AY565" s="30"/>
      <c r="AZ565" s="30"/>
      <c r="BA565" s="30"/>
      <c r="BB565" s="26"/>
      <c r="BC565" s="26"/>
      <c r="BD565" s="26"/>
      <c r="BE565" s="26"/>
      <c r="BF565" s="26"/>
    </row>
    <row r="566" spans="1:58" ht="15.75" customHeight="1">
      <c r="A566" s="67"/>
      <c r="B566" s="67"/>
      <c r="C566" s="67"/>
      <c r="D566" s="68"/>
      <c r="E566" s="68"/>
      <c r="F566" s="68"/>
      <c r="G566" s="68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30"/>
      <c r="AO566" s="25"/>
      <c r="AP566" s="120"/>
      <c r="AQ566" s="120"/>
      <c r="AR566" s="121"/>
      <c r="AS566" s="96"/>
      <c r="AT566" s="122"/>
      <c r="AU566" s="96"/>
      <c r="AV566" s="122"/>
      <c r="AW566" s="122"/>
      <c r="AX566" s="30"/>
      <c r="AY566" s="30"/>
      <c r="AZ566" s="30"/>
      <c r="BA566" s="30"/>
      <c r="BB566" s="26"/>
      <c r="BC566" s="26"/>
      <c r="BD566" s="26"/>
      <c r="BE566" s="26"/>
      <c r="BF566" s="26"/>
    </row>
    <row r="567" spans="1:58" ht="15.75" customHeight="1">
      <c r="A567" s="67"/>
      <c r="B567" s="67"/>
      <c r="C567" s="67"/>
      <c r="D567" s="68"/>
      <c r="E567" s="68"/>
      <c r="F567" s="68"/>
      <c r="G567" s="68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30"/>
      <c r="AO567" s="25"/>
      <c r="AP567" s="120"/>
      <c r="AQ567" s="120"/>
      <c r="AR567" s="121"/>
      <c r="AS567" s="96"/>
      <c r="AT567" s="122"/>
      <c r="AU567" s="96"/>
      <c r="AV567" s="122"/>
      <c r="AW567" s="122"/>
      <c r="AX567" s="30"/>
      <c r="AY567" s="30"/>
      <c r="AZ567" s="30"/>
      <c r="BA567" s="30"/>
      <c r="BB567" s="26"/>
      <c r="BC567" s="26"/>
      <c r="BD567" s="26"/>
      <c r="BE567" s="26"/>
      <c r="BF567" s="26"/>
    </row>
    <row r="568" spans="1:58" ht="15.75" customHeight="1">
      <c r="A568" s="67"/>
      <c r="B568" s="67"/>
      <c r="C568" s="67"/>
      <c r="D568" s="68"/>
      <c r="E568" s="68"/>
      <c r="F568" s="68"/>
      <c r="G568" s="68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30"/>
      <c r="AO568" s="25"/>
      <c r="AP568" s="120"/>
      <c r="AQ568" s="120"/>
      <c r="AR568" s="121"/>
      <c r="AS568" s="96"/>
      <c r="AT568" s="122"/>
      <c r="AU568" s="96"/>
      <c r="AV568" s="122"/>
      <c r="AW568" s="122"/>
      <c r="AX568" s="30"/>
      <c r="AY568" s="30"/>
      <c r="AZ568" s="30"/>
      <c r="BA568" s="30"/>
      <c r="BB568" s="26"/>
      <c r="BC568" s="26"/>
      <c r="BD568" s="26"/>
      <c r="BE568" s="26"/>
      <c r="BF568" s="26"/>
    </row>
    <row r="569" spans="1:58" ht="15.75" customHeight="1">
      <c r="A569" s="67"/>
      <c r="B569" s="67"/>
      <c r="C569" s="67"/>
      <c r="D569" s="68"/>
      <c r="E569" s="68"/>
      <c r="F569" s="68"/>
      <c r="G569" s="68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30"/>
      <c r="AO569" s="25"/>
      <c r="AP569" s="120"/>
      <c r="AQ569" s="120"/>
      <c r="AR569" s="121"/>
      <c r="AS569" s="96"/>
      <c r="AT569" s="122"/>
      <c r="AU569" s="96"/>
      <c r="AV569" s="122"/>
      <c r="AW569" s="122"/>
      <c r="AX569" s="30"/>
      <c r="AY569" s="30"/>
      <c r="AZ569" s="30"/>
      <c r="BA569" s="30"/>
      <c r="BB569" s="26"/>
      <c r="BC569" s="26"/>
      <c r="BD569" s="26"/>
      <c r="BE569" s="26"/>
      <c r="BF569" s="26"/>
    </row>
    <row r="570" spans="1:58" ht="15.75" customHeight="1">
      <c r="A570" s="67"/>
      <c r="B570" s="67"/>
      <c r="C570" s="67"/>
      <c r="D570" s="68"/>
      <c r="E570" s="68"/>
      <c r="F570" s="68"/>
      <c r="G570" s="68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30"/>
      <c r="AO570" s="25"/>
      <c r="AP570" s="120"/>
      <c r="AQ570" s="120"/>
      <c r="AR570" s="121"/>
      <c r="AS570" s="96"/>
      <c r="AT570" s="122"/>
      <c r="AU570" s="96"/>
      <c r="AV570" s="122"/>
      <c r="AW570" s="122"/>
      <c r="AX570" s="30"/>
      <c r="AY570" s="30"/>
      <c r="AZ570" s="30"/>
      <c r="BA570" s="30"/>
      <c r="BB570" s="26"/>
      <c r="BC570" s="26"/>
      <c r="BD570" s="26"/>
      <c r="BE570" s="26"/>
      <c r="BF570" s="26"/>
    </row>
    <row r="571" spans="1:58" ht="15.75" customHeight="1">
      <c r="A571" s="67"/>
      <c r="B571" s="67"/>
      <c r="C571" s="67"/>
      <c r="D571" s="68"/>
      <c r="E571" s="68"/>
      <c r="F571" s="68"/>
      <c r="G571" s="68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30"/>
      <c r="AO571" s="25"/>
      <c r="AP571" s="120"/>
      <c r="AQ571" s="120"/>
      <c r="AR571" s="121"/>
      <c r="AS571" s="96"/>
      <c r="AT571" s="122"/>
      <c r="AU571" s="96"/>
      <c r="AV571" s="122"/>
      <c r="AW571" s="122"/>
      <c r="AX571" s="30"/>
      <c r="AY571" s="30"/>
      <c r="AZ571" s="30"/>
      <c r="BA571" s="30"/>
      <c r="BB571" s="26"/>
      <c r="BC571" s="26"/>
      <c r="BD571" s="26"/>
      <c r="BE571" s="26"/>
      <c r="BF571" s="26"/>
    </row>
    <row r="572" spans="1:58" ht="15.75" customHeight="1">
      <c r="A572" s="67"/>
      <c r="B572" s="67"/>
      <c r="C572" s="67"/>
      <c r="D572" s="68"/>
      <c r="E572" s="68"/>
      <c r="F572" s="68"/>
      <c r="G572" s="68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30"/>
      <c r="AO572" s="25"/>
      <c r="AP572" s="120"/>
      <c r="AQ572" s="120"/>
      <c r="AR572" s="121"/>
      <c r="AS572" s="96"/>
      <c r="AT572" s="122"/>
      <c r="AU572" s="96"/>
      <c r="AV572" s="122"/>
      <c r="AW572" s="122"/>
      <c r="AX572" s="30"/>
      <c r="AY572" s="30"/>
      <c r="AZ572" s="30"/>
      <c r="BA572" s="30"/>
      <c r="BB572" s="26"/>
      <c r="BC572" s="26"/>
      <c r="BD572" s="26"/>
      <c r="BE572" s="26"/>
      <c r="BF572" s="26"/>
    </row>
    <row r="573" spans="1:58" ht="15.75" customHeight="1">
      <c r="A573" s="67"/>
      <c r="B573" s="67"/>
      <c r="C573" s="67"/>
      <c r="D573" s="68"/>
      <c r="E573" s="68"/>
      <c r="F573" s="68"/>
      <c r="G573" s="68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30"/>
      <c r="AO573" s="25"/>
      <c r="AP573" s="120"/>
      <c r="AQ573" s="120"/>
      <c r="AR573" s="121"/>
      <c r="AS573" s="96"/>
      <c r="AT573" s="122"/>
      <c r="AU573" s="96"/>
      <c r="AV573" s="122"/>
      <c r="AW573" s="122"/>
      <c r="AX573" s="30"/>
      <c r="AY573" s="30"/>
      <c r="AZ573" s="30"/>
      <c r="BA573" s="30"/>
      <c r="BB573" s="26"/>
      <c r="BC573" s="26"/>
      <c r="BD573" s="26"/>
      <c r="BE573" s="26"/>
      <c r="BF573" s="26"/>
    </row>
    <row r="574" spans="1:58" ht="15.75" customHeight="1">
      <c r="A574" s="67"/>
      <c r="B574" s="67"/>
      <c r="C574" s="67"/>
      <c r="D574" s="68"/>
      <c r="E574" s="68"/>
      <c r="F574" s="68"/>
      <c r="G574" s="68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30"/>
      <c r="AO574" s="25"/>
      <c r="AP574" s="120"/>
      <c r="AQ574" s="120"/>
      <c r="AR574" s="121"/>
      <c r="AS574" s="96"/>
      <c r="AT574" s="122"/>
      <c r="AU574" s="96"/>
      <c r="AV574" s="122"/>
      <c r="AW574" s="122"/>
      <c r="AX574" s="30"/>
      <c r="AY574" s="30"/>
      <c r="AZ574" s="30"/>
      <c r="BA574" s="30"/>
      <c r="BB574" s="26"/>
      <c r="BC574" s="26"/>
      <c r="BD574" s="26"/>
      <c r="BE574" s="26"/>
      <c r="BF574" s="26"/>
    </row>
    <row r="575" spans="1:58" ht="15.75" customHeight="1">
      <c r="A575" s="67"/>
      <c r="B575" s="67"/>
      <c r="C575" s="67"/>
      <c r="D575" s="68"/>
      <c r="E575" s="68"/>
      <c r="F575" s="68"/>
      <c r="G575" s="68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30"/>
      <c r="AO575" s="25"/>
      <c r="AP575" s="120"/>
      <c r="AQ575" s="120"/>
      <c r="AR575" s="121"/>
      <c r="AS575" s="96"/>
      <c r="AT575" s="122"/>
      <c r="AU575" s="96"/>
      <c r="AV575" s="122"/>
      <c r="AW575" s="122"/>
      <c r="AX575" s="30"/>
      <c r="AY575" s="30"/>
      <c r="AZ575" s="30"/>
      <c r="BA575" s="30"/>
      <c r="BB575" s="26"/>
      <c r="BC575" s="26"/>
      <c r="BD575" s="26"/>
      <c r="BE575" s="26"/>
      <c r="BF575" s="26"/>
    </row>
    <row r="576" spans="1:58" ht="15.75" customHeight="1">
      <c r="A576" s="67"/>
      <c r="B576" s="67"/>
      <c r="C576" s="67"/>
      <c r="D576" s="68"/>
      <c r="E576" s="68"/>
      <c r="F576" s="68"/>
      <c r="G576" s="68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30"/>
      <c r="AO576" s="25"/>
      <c r="AP576" s="120"/>
      <c r="AQ576" s="120"/>
      <c r="AR576" s="121"/>
      <c r="AS576" s="96"/>
      <c r="AT576" s="122"/>
      <c r="AU576" s="96"/>
      <c r="AV576" s="122"/>
      <c r="AW576" s="122"/>
      <c r="AX576" s="30"/>
      <c r="AY576" s="30"/>
      <c r="AZ576" s="30"/>
      <c r="BA576" s="30"/>
      <c r="BB576" s="26"/>
      <c r="BC576" s="26"/>
      <c r="BD576" s="26"/>
      <c r="BE576" s="26"/>
      <c r="BF576" s="26"/>
    </row>
    <row r="577" spans="1:58" ht="15.75" customHeight="1">
      <c r="A577" s="67"/>
      <c r="B577" s="67"/>
      <c r="C577" s="67"/>
      <c r="D577" s="68"/>
      <c r="E577" s="68"/>
      <c r="F577" s="68"/>
      <c r="G577" s="68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30"/>
      <c r="AO577" s="25"/>
      <c r="AP577" s="120"/>
      <c r="AQ577" s="120"/>
      <c r="AR577" s="121"/>
      <c r="AS577" s="96"/>
      <c r="AT577" s="122"/>
      <c r="AU577" s="96"/>
      <c r="AV577" s="122"/>
      <c r="AW577" s="122"/>
      <c r="AX577" s="30"/>
      <c r="AY577" s="30"/>
      <c r="AZ577" s="30"/>
      <c r="BA577" s="30"/>
      <c r="BB577" s="26"/>
      <c r="BC577" s="26"/>
      <c r="BD577" s="26"/>
      <c r="BE577" s="26"/>
      <c r="BF577" s="26"/>
    </row>
    <row r="578" spans="1:58" ht="15.75" customHeight="1">
      <c r="A578" s="67"/>
      <c r="B578" s="67"/>
      <c r="C578" s="67"/>
      <c r="D578" s="68"/>
      <c r="E578" s="68"/>
      <c r="F578" s="68"/>
      <c r="G578" s="68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30"/>
      <c r="AO578" s="25"/>
      <c r="AP578" s="120"/>
      <c r="AQ578" s="120"/>
      <c r="AR578" s="121"/>
      <c r="AS578" s="96"/>
      <c r="AT578" s="122"/>
      <c r="AU578" s="96"/>
      <c r="AV578" s="122"/>
      <c r="AW578" s="122"/>
      <c r="AX578" s="30"/>
      <c r="AY578" s="30"/>
      <c r="AZ578" s="30"/>
      <c r="BA578" s="30"/>
      <c r="BB578" s="26"/>
      <c r="BC578" s="26"/>
      <c r="BD578" s="26"/>
      <c r="BE578" s="26"/>
      <c r="BF578" s="26"/>
    </row>
    <row r="579" spans="1:58" ht="15.75" customHeight="1">
      <c r="A579" s="67"/>
      <c r="B579" s="67"/>
      <c r="C579" s="67"/>
      <c r="D579" s="68"/>
      <c r="E579" s="68"/>
      <c r="F579" s="68"/>
      <c r="G579" s="68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30"/>
      <c r="AO579" s="25"/>
      <c r="AP579" s="120"/>
      <c r="AQ579" s="120"/>
      <c r="AR579" s="121"/>
      <c r="AS579" s="96"/>
      <c r="AT579" s="122"/>
      <c r="AU579" s="96"/>
      <c r="AV579" s="122"/>
      <c r="AW579" s="122"/>
      <c r="AX579" s="30"/>
      <c r="AY579" s="30"/>
      <c r="AZ579" s="30"/>
      <c r="BA579" s="30"/>
      <c r="BB579" s="26"/>
      <c r="BC579" s="26"/>
      <c r="BD579" s="26"/>
      <c r="BE579" s="26"/>
      <c r="BF579" s="26"/>
    </row>
    <row r="580" spans="1:58" ht="15.75" customHeight="1">
      <c r="A580" s="67"/>
      <c r="B580" s="67"/>
      <c r="C580" s="67"/>
      <c r="D580" s="68"/>
      <c r="E580" s="68"/>
      <c r="F580" s="68"/>
      <c r="G580" s="68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30"/>
      <c r="AO580" s="25"/>
      <c r="AP580" s="120"/>
      <c r="AQ580" s="120"/>
      <c r="AR580" s="121"/>
      <c r="AS580" s="96"/>
      <c r="AT580" s="122"/>
      <c r="AU580" s="96"/>
      <c r="AV580" s="122"/>
      <c r="AW580" s="122"/>
      <c r="AX580" s="30"/>
      <c r="AY580" s="30"/>
      <c r="AZ580" s="30"/>
      <c r="BA580" s="30"/>
      <c r="BB580" s="26"/>
      <c r="BC580" s="26"/>
      <c r="BD580" s="26"/>
      <c r="BE580" s="26"/>
      <c r="BF580" s="26"/>
    </row>
    <row r="581" spans="1:58" ht="15.75" customHeight="1">
      <c r="A581" s="67"/>
      <c r="B581" s="67"/>
      <c r="C581" s="67"/>
      <c r="D581" s="68"/>
      <c r="E581" s="68"/>
      <c r="F581" s="68"/>
      <c r="G581" s="68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30"/>
      <c r="AO581" s="25"/>
      <c r="AP581" s="120"/>
      <c r="AQ581" s="120"/>
      <c r="AR581" s="121"/>
      <c r="AS581" s="96"/>
      <c r="AT581" s="122"/>
      <c r="AU581" s="96"/>
      <c r="AV581" s="122"/>
      <c r="AW581" s="122"/>
      <c r="AX581" s="30"/>
      <c r="AY581" s="30"/>
      <c r="AZ581" s="30"/>
      <c r="BA581" s="30"/>
      <c r="BB581" s="26"/>
      <c r="BC581" s="26"/>
      <c r="BD581" s="26"/>
      <c r="BE581" s="26"/>
      <c r="BF581" s="26"/>
    </row>
    <row r="582" spans="1:58" ht="15.75" customHeight="1">
      <c r="A582" s="67"/>
      <c r="B582" s="67"/>
      <c r="C582" s="67"/>
      <c r="D582" s="68"/>
      <c r="E582" s="68"/>
      <c r="F582" s="68"/>
      <c r="G582" s="68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30"/>
      <c r="AO582" s="25"/>
      <c r="AP582" s="120"/>
      <c r="AQ582" s="120"/>
      <c r="AR582" s="121"/>
      <c r="AS582" s="96"/>
      <c r="AT582" s="122"/>
      <c r="AU582" s="96"/>
      <c r="AV582" s="122"/>
      <c r="AW582" s="122"/>
      <c r="AX582" s="30"/>
      <c r="AY582" s="30"/>
      <c r="AZ582" s="30"/>
      <c r="BA582" s="30"/>
      <c r="BB582" s="26"/>
      <c r="BC582" s="26"/>
      <c r="BD582" s="26"/>
      <c r="BE582" s="26"/>
      <c r="BF582" s="26"/>
    </row>
    <row r="583" spans="1:58" ht="15.75" customHeight="1">
      <c r="A583" s="67"/>
      <c r="B583" s="67"/>
      <c r="C583" s="67"/>
      <c r="D583" s="68"/>
      <c r="E583" s="68"/>
      <c r="F583" s="68"/>
      <c r="G583" s="68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30"/>
      <c r="AO583" s="25"/>
      <c r="AP583" s="120"/>
      <c r="AQ583" s="120"/>
      <c r="AR583" s="121"/>
      <c r="AS583" s="96"/>
      <c r="AT583" s="122"/>
      <c r="AU583" s="96"/>
      <c r="AV583" s="122"/>
      <c r="AW583" s="122"/>
      <c r="AX583" s="30"/>
      <c r="AY583" s="30"/>
      <c r="AZ583" s="30"/>
      <c r="BA583" s="30"/>
      <c r="BB583" s="26"/>
      <c r="BC583" s="26"/>
      <c r="BD583" s="26"/>
      <c r="BE583" s="26"/>
      <c r="BF583" s="26"/>
    </row>
    <row r="584" spans="1:58" ht="15.75" customHeight="1">
      <c r="A584" s="67"/>
      <c r="B584" s="67"/>
      <c r="C584" s="67"/>
      <c r="D584" s="68"/>
      <c r="E584" s="68"/>
      <c r="F584" s="68"/>
      <c r="G584" s="68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30"/>
      <c r="AO584" s="25"/>
      <c r="AP584" s="120"/>
      <c r="AQ584" s="120"/>
      <c r="AR584" s="121"/>
      <c r="AS584" s="96"/>
      <c r="AT584" s="122"/>
      <c r="AU584" s="96"/>
      <c r="AV584" s="122"/>
      <c r="AW584" s="122"/>
      <c r="AX584" s="30"/>
      <c r="AY584" s="30"/>
      <c r="AZ584" s="30"/>
      <c r="BA584" s="30"/>
      <c r="BB584" s="26"/>
      <c r="BC584" s="26"/>
      <c r="BD584" s="26"/>
      <c r="BE584" s="26"/>
      <c r="BF584" s="26"/>
    </row>
    <row r="585" spans="1:58" ht="15.75" customHeight="1">
      <c r="A585" s="67"/>
      <c r="B585" s="67"/>
      <c r="C585" s="67"/>
      <c r="D585" s="68"/>
      <c r="E585" s="68"/>
      <c r="F585" s="68"/>
      <c r="G585" s="68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30"/>
      <c r="AO585" s="25"/>
      <c r="AP585" s="120"/>
      <c r="AQ585" s="120"/>
      <c r="AR585" s="121"/>
      <c r="AS585" s="96"/>
      <c r="AT585" s="122"/>
      <c r="AU585" s="96"/>
      <c r="AV585" s="122"/>
      <c r="AW585" s="122"/>
      <c r="AX585" s="30"/>
      <c r="AY585" s="30"/>
      <c r="AZ585" s="30"/>
      <c r="BA585" s="30"/>
      <c r="BB585" s="26"/>
      <c r="BC585" s="26"/>
      <c r="BD585" s="26"/>
      <c r="BE585" s="26"/>
      <c r="BF585" s="26"/>
    </row>
    <row r="586" spans="1:58" ht="15.75" customHeight="1">
      <c r="A586" s="67"/>
      <c r="B586" s="67"/>
      <c r="C586" s="67"/>
      <c r="D586" s="68"/>
      <c r="E586" s="68"/>
      <c r="F586" s="68"/>
      <c r="G586" s="68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30"/>
      <c r="AO586" s="25"/>
      <c r="AP586" s="120"/>
      <c r="AQ586" s="120"/>
      <c r="AR586" s="121"/>
      <c r="AS586" s="96"/>
      <c r="AT586" s="122"/>
      <c r="AU586" s="96"/>
      <c r="AV586" s="122"/>
      <c r="AW586" s="122"/>
      <c r="AX586" s="30"/>
      <c r="AY586" s="30"/>
      <c r="AZ586" s="30"/>
      <c r="BA586" s="30"/>
      <c r="BB586" s="26"/>
      <c r="BC586" s="26"/>
      <c r="BD586" s="26"/>
      <c r="BE586" s="26"/>
      <c r="BF586" s="26"/>
    </row>
    <row r="587" spans="1:58" ht="15.75" customHeight="1">
      <c r="A587" s="67"/>
      <c r="B587" s="67"/>
      <c r="C587" s="67"/>
      <c r="D587" s="68"/>
      <c r="E587" s="68"/>
      <c r="F587" s="68"/>
      <c r="G587" s="68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30"/>
      <c r="AO587" s="25"/>
      <c r="AP587" s="120"/>
      <c r="AQ587" s="120"/>
      <c r="AR587" s="121"/>
      <c r="AS587" s="96"/>
      <c r="AT587" s="122"/>
      <c r="AU587" s="96"/>
      <c r="AV587" s="122"/>
      <c r="AW587" s="122"/>
      <c r="AX587" s="30"/>
      <c r="AY587" s="30"/>
      <c r="AZ587" s="30"/>
      <c r="BA587" s="30"/>
      <c r="BB587" s="26"/>
      <c r="BC587" s="26"/>
      <c r="BD587" s="26"/>
      <c r="BE587" s="26"/>
      <c r="BF587" s="26"/>
    </row>
    <row r="588" spans="1:58" ht="15.75" customHeight="1">
      <c r="A588" s="67"/>
      <c r="B588" s="67"/>
      <c r="C588" s="67"/>
      <c r="D588" s="68"/>
      <c r="E588" s="68"/>
      <c r="F588" s="68"/>
      <c r="G588" s="68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30"/>
      <c r="AO588" s="25"/>
      <c r="AP588" s="120"/>
      <c r="AQ588" s="120"/>
      <c r="AR588" s="121"/>
      <c r="AS588" s="96"/>
      <c r="AT588" s="122"/>
      <c r="AU588" s="96"/>
      <c r="AV588" s="122"/>
      <c r="AW588" s="122"/>
      <c r="AX588" s="30"/>
      <c r="AY588" s="30"/>
      <c r="AZ588" s="30"/>
      <c r="BA588" s="30"/>
      <c r="BB588" s="26"/>
      <c r="BC588" s="26"/>
      <c r="BD588" s="26"/>
      <c r="BE588" s="26"/>
      <c r="BF588" s="26"/>
    </row>
    <row r="589" spans="1:58" ht="15.75" customHeight="1">
      <c r="A589" s="67"/>
      <c r="B589" s="67"/>
      <c r="C589" s="67"/>
      <c r="D589" s="68"/>
      <c r="E589" s="68"/>
      <c r="F589" s="68"/>
      <c r="G589" s="68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30"/>
      <c r="AO589" s="25"/>
      <c r="AP589" s="120"/>
      <c r="AQ589" s="120"/>
      <c r="AR589" s="121"/>
      <c r="AS589" s="96"/>
      <c r="AT589" s="122"/>
      <c r="AU589" s="96"/>
      <c r="AV589" s="122"/>
      <c r="AW589" s="122"/>
      <c r="AX589" s="30"/>
      <c r="AY589" s="30"/>
      <c r="AZ589" s="30"/>
      <c r="BA589" s="30"/>
      <c r="BB589" s="26"/>
      <c r="BC589" s="26"/>
      <c r="BD589" s="26"/>
      <c r="BE589" s="26"/>
      <c r="BF589" s="26"/>
    </row>
    <row r="590" spans="1:58" ht="15.75" customHeight="1">
      <c r="A590" s="67"/>
      <c r="B590" s="67"/>
      <c r="C590" s="67"/>
      <c r="D590" s="68"/>
      <c r="E590" s="68"/>
      <c r="F590" s="68"/>
      <c r="G590" s="68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30"/>
      <c r="AO590" s="25"/>
      <c r="AP590" s="120"/>
      <c r="AQ590" s="120"/>
      <c r="AR590" s="121"/>
      <c r="AS590" s="96"/>
      <c r="AT590" s="122"/>
      <c r="AU590" s="96"/>
      <c r="AV590" s="122"/>
      <c r="AW590" s="122"/>
      <c r="AX590" s="30"/>
      <c r="AY590" s="30"/>
      <c r="AZ590" s="30"/>
      <c r="BA590" s="30"/>
      <c r="BB590" s="26"/>
      <c r="BC590" s="26"/>
      <c r="BD590" s="26"/>
      <c r="BE590" s="26"/>
      <c r="BF590" s="26"/>
    </row>
    <row r="591" spans="1:58" ht="15.75" customHeight="1">
      <c r="A591" s="67"/>
      <c r="B591" s="67"/>
      <c r="C591" s="67"/>
      <c r="D591" s="68"/>
      <c r="E591" s="68"/>
      <c r="F591" s="68"/>
      <c r="G591" s="68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30"/>
      <c r="AO591" s="25"/>
      <c r="AP591" s="120"/>
      <c r="AQ591" s="120"/>
      <c r="AR591" s="121"/>
      <c r="AS591" s="96"/>
      <c r="AT591" s="122"/>
      <c r="AU591" s="96"/>
      <c r="AV591" s="122"/>
      <c r="AW591" s="122"/>
      <c r="AX591" s="30"/>
      <c r="AY591" s="30"/>
      <c r="AZ591" s="30"/>
      <c r="BA591" s="30"/>
      <c r="BB591" s="26"/>
      <c r="BC591" s="26"/>
      <c r="BD591" s="26"/>
      <c r="BE591" s="26"/>
      <c r="BF591" s="26"/>
    </row>
    <row r="592" spans="1:58" ht="15.75" customHeight="1">
      <c r="A592" s="67"/>
      <c r="B592" s="67"/>
      <c r="C592" s="67"/>
      <c r="D592" s="68"/>
      <c r="E592" s="68"/>
      <c r="F592" s="68"/>
      <c r="G592" s="68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30"/>
      <c r="AO592" s="25"/>
      <c r="AP592" s="120"/>
      <c r="AQ592" s="120"/>
      <c r="AR592" s="121"/>
      <c r="AS592" s="96"/>
      <c r="AT592" s="122"/>
      <c r="AU592" s="96"/>
      <c r="AV592" s="122"/>
      <c r="AW592" s="122"/>
      <c r="AX592" s="30"/>
      <c r="AY592" s="30"/>
      <c r="AZ592" s="30"/>
      <c r="BA592" s="30"/>
      <c r="BB592" s="26"/>
      <c r="BC592" s="26"/>
      <c r="BD592" s="26"/>
      <c r="BE592" s="26"/>
      <c r="BF592" s="26"/>
    </row>
    <row r="593" spans="1:58" ht="15.75" customHeight="1">
      <c r="A593" s="67"/>
      <c r="B593" s="67"/>
      <c r="C593" s="67"/>
      <c r="D593" s="68"/>
      <c r="E593" s="68"/>
      <c r="F593" s="68"/>
      <c r="G593" s="68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30"/>
      <c r="AO593" s="25"/>
      <c r="AP593" s="120"/>
      <c r="AQ593" s="120"/>
      <c r="AR593" s="121"/>
      <c r="AS593" s="96"/>
      <c r="AT593" s="122"/>
      <c r="AU593" s="96"/>
      <c r="AV593" s="122"/>
      <c r="AW593" s="122"/>
      <c r="AX593" s="30"/>
      <c r="AY593" s="30"/>
      <c r="AZ593" s="30"/>
      <c r="BA593" s="30"/>
      <c r="BB593" s="26"/>
      <c r="BC593" s="26"/>
      <c r="BD593" s="26"/>
      <c r="BE593" s="26"/>
      <c r="BF593" s="26"/>
    </row>
    <row r="594" spans="1:58" ht="15.75" customHeight="1">
      <c r="A594" s="67"/>
      <c r="B594" s="67"/>
      <c r="C594" s="67"/>
      <c r="D594" s="68"/>
      <c r="E594" s="68"/>
      <c r="F594" s="68"/>
      <c r="G594" s="68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30"/>
      <c r="AO594" s="25"/>
      <c r="AP594" s="120"/>
      <c r="AQ594" s="120"/>
      <c r="AR594" s="121"/>
      <c r="AS594" s="96"/>
      <c r="AT594" s="122"/>
      <c r="AU594" s="96"/>
      <c r="AV594" s="122"/>
      <c r="AW594" s="122"/>
      <c r="AX594" s="30"/>
      <c r="AY594" s="30"/>
      <c r="AZ594" s="30"/>
      <c r="BA594" s="30"/>
      <c r="BB594" s="26"/>
      <c r="BC594" s="26"/>
      <c r="BD594" s="26"/>
      <c r="BE594" s="26"/>
      <c r="BF594" s="26"/>
    </row>
    <row r="595" spans="1:58" ht="15.75" customHeight="1">
      <c r="A595" s="67"/>
      <c r="B595" s="67"/>
      <c r="C595" s="67"/>
      <c r="D595" s="68"/>
      <c r="E595" s="68"/>
      <c r="F595" s="68"/>
      <c r="G595" s="68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30"/>
      <c r="AO595" s="25"/>
      <c r="AP595" s="120"/>
      <c r="AQ595" s="120"/>
      <c r="AR595" s="121"/>
      <c r="AS595" s="96"/>
      <c r="AT595" s="122"/>
      <c r="AU595" s="96"/>
      <c r="AV595" s="122"/>
      <c r="AW595" s="122"/>
      <c r="AX595" s="30"/>
      <c r="AY595" s="30"/>
      <c r="AZ595" s="30"/>
      <c r="BA595" s="30"/>
      <c r="BB595" s="26"/>
      <c r="BC595" s="26"/>
      <c r="BD595" s="26"/>
      <c r="BE595" s="26"/>
      <c r="BF595" s="26"/>
    </row>
    <row r="596" spans="1:58" ht="15.75" customHeight="1">
      <c r="A596" s="67"/>
      <c r="B596" s="67"/>
      <c r="C596" s="67"/>
      <c r="D596" s="68"/>
      <c r="E596" s="68"/>
      <c r="F596" s="68"/>
      <c r="G596" s="68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30"/>
      <c r="AO596" s="25"/>
      <c r="AP596" s="120"/>
      <c r="AQ596" s="120"/>
      <c r="AR596" s="121"/>
      <c r="AS596" s="96"/>
      <c r="AT596" s="122"/>
      <c r="AU596" s="96"/>
      <c r="AV596" s="122"/>
      <c r="AW596" s="122"/>
      <c r="AX596" s="30"/>
      <c r="AY596" s="30"/>
      <c r="AZ596" s="30"/>
      <c r="BA596" s="30"/>
      <c r="BB596" s="26"/>
      <c r="BC596" s="26"/>
      <c r="BD596" s="26"/>
      <c r="BE596" s="26"/>
      <c r="BF596" s="26"/>
    </row>
    <row r="597" spans="1:58" ht="15.75" customHeight="1">
      <c r="A597" s="67"/>
      <c r="B597" s="67"/>
      <c r="C597" s="67"/>
      <c r="D597" s="68"/>
      <c r="E597" s="68"/>
      <c r="F597" s="68"/>
      <c r="G597" s="68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30"/>
      <c r="AO597" s="25"/>
      <c r="AP597" s="120"/>
      <c r="AQ597" s="120"/>
      <c r="AR597" s="121"/>
      <c r="AS597" s="96"/>
      <c r="AT597" s="122"/>
      <c r="AU597" s="96"/>
      <c r="AV597" s="122"/>
      <c r="AW597" s="122"/>
      <c r="AX597" s="30"/>
      <c r="AY597" s="30"/>
      <c r="AZ597" s="30"/>
      <c r="BA597" s="30"/>
      <c r="BB597" s="26"/>
      <c r="BC597" s="26"/>
      <c r="BD597" s="26"/>
      <c r="BE597" s="26"/>
      <c r="BF597" s="26"/>
    </row>
    <row r="598" spans="1:58" ht="15.75" customHeight="1">
      <c r="A598" s="67"/>
      <c r="B598" s="67"/>
      <c r="C598" s="67"/>
      <c r="D598" s="68"/>
      <c r="E598" s="68"/>
      <c r="F598" s="68"/>
      <c r="G598" s="68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30"/>
      <c r="AO598" s="25"/>
      <c r="AP598" s="120"/>
      <c r="AQ598" s="120"/>
      <c r="AR598" s="121"/>
      <c r="AS598" s="96"/>
      <c r="AT598" s="122"/>
      <c r="AU598" s="96"/>
      <c r="AV598" s="122"/>
      <c r="AW598" s="122"/>
      <c r="AX598" s="30"/>
      <c r="AY598" s="30"/>
      <c r="AZ598" s="30"/>
      <c r="BA598" s="30"/>
      <c r="BB598" s="26"/>
      <c r="BC598" s="26"/>
      <c r="BD598" s="26"/>
      <c r="BE598" s="26"/>
      <c r="BF598" s="26"/>
    </row>
    <row r="599" spans="1:58" ht="15.75" customHeight="1">
      <c r="A599" s="67"/>
      <c r="B599" s="67"/>
      <c r="C599" s="67"/>
      <c r="D599" s="68"/>
      <c r="E599" s="68"/>
      <c r="F599" s="68"/>
      <c r="G599" s="68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30"/>
      <c r="AO599" s="25"/>
      <c r="AP599" s="120"/>
      <c r="AQ599" s="120"/>
      <c r="AR599" s="121"/>
      <c r="AS599" s="96"/>
      <c r="AT599" s="122"/>
      <c r="AU599" s="96"/>
      <c r="AV599" s="122"/>
      <c r="AW599" s="122"/>
      <c r="AX599" s="30"/>
      <c r="AY599" s="30"/>
      <c r="AZ599" s="30"/>
      <c r="BA599" s="30"/>
      <c r="BB599" s="26"/>
      <c r="BC599" s="26"/>
      <c r="BD599" s="26"/>
      <c r="BE599" s="26"/>
      <c r="BF599" s="26"/>
    </row>
    <row r="600" spans="1:58" ht="15.75" customHeight="1">
      <c r="A600" s="67"/>
      <c r="B600" s="67"/>
      <c r="C600" s="67"/>
      <c r="D600" s="68"/>
      <c r="E600" s="68"/>
      <c r="F600" s="68"/>
      <c r="G600" s="68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30"/>
      <c r="AO600" s="25"/>
      <c r="AP600" s="120"/>
      <c r="AQ600" s="120"/>
      <c r="AR600" s="121"/>
      <c r="AS600" s="96"/>
      <c r="AT600" s="122"/>
      <c r="AU600" s="96"/>
      <c r="AV600" s="122"/>
      <c r="AW600" s="122"/>
      <c r="AX600" s="30"/>
      <c r="AY600" s="30"/>
      <c r="AZ600" s="30"/>
      <c r="BA600" s="30"/>
      <c r="BB600" s="26"/>
      <c r="BC600" s="26"/>
      <c r="BD600" s="26"/>
      <c r="BE600" s="26"/>
      <c r="BF600" s="26"/>
    </row>
    <row r="601" spans="1:58" ht="15.75" customHeight="1">
      <c r="A601" s="67"/>
      <c r="B601" s="67"/>
      <c r="C601" s="67"/>
      <c r="D601" s="68"/>
      <c r="E601" s="68"/>
      <c r="F601" s="68"/>
      <c r="G601" s="68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30"/>
      <c r="AO601" s="25"/>
      <c r="AP601" s="120"/>
      <c r="AQ601" s="120"/>
      <c r="AR601" s="121"/>
      <c r="AS601" s="96"/>
      <c r="AT601" s="122"/>
      <c r="AU601" s="96"/>
      <c r="AV601" s="122"/>
      <c r="AW601" s="122"/>
      <c r="AX601" s="30"/>
      <c r="AY601" s="30"/>
      <c r="AZ601" s="30"/>
      <c r="BA601" s="30"/>
      <c r="BB601" s="26"/>
      <c r="BC601" s="26"/>
      <c r="BD601" s="26"/>
      <c r="BE601" s="26"/>
      <c r="BF601" s="26"/>
    </row>
    <row r="602" spans="1:58" ht="15.75" customHeight="1">
      <c r="A602" s="67"/>
      <c r="B602" s="67"/>
      <c r="C602" s="67"/>
      <c r="D602" s="68"/>
      <c r="E602" s="68"/>
      <c r="F602" s="68"/>
      <c r="G602" s="68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30"/>
      <c r="AO602" s="25"/>
      <c r="AP602" s="120"/>
      <c r="AQ602" s="120"/>
      <c r="AR602" s="121"/>
      <c r="AS602" s="96"/>
      <c r="AT602" s="122"/>
      <c r="AU602" s="96"/>
      <c r="AV602" s="122"/>
      <c r="AW602" s="122"/>
      <c r="AX602" s="30"/>
      <c r="AY602" s="30"/>
      <c r="AZ602" s="30"/>
      <c r="BA602" s="30"/>
      <c r="BB602" s="26"/>
      <c r="BC602" s="26"/>
      <c r="BD602" s="26"/>
      <c r="BE602" s="26"/>
      <c r="BF602" s="26"/>
    </row>
    <row r="603" spans="1:58" ht="15.75" customHeight="1">
      <c r="A603" s="67"/>
      <c r="B603" s="67"/>
      <c r="C603" s="67"/>
      <c r="D603" s="68"/>
      <c r="E603" s="68"/>
      <c r="F603" s="68"/>
      <c r="G603" s="68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30"/>
      <c r="AO603" s="25"/>
      <c r="AP603" s="120"/>
      <c r="AQ603" s="120"/>
      <c r="AR603" s="121"/>
      <c r="AS603" s="96"/>
      <c r="AT603" s="122"/>
      <c r="AU603" s="96"/>
      <c r="AV603" s="122"/>
      <c r="AW603" s="122"/>
      <c r="AX603" s="30"/>
      <c r="AY603" s="30"/>
      <c r="AZ603" s="30"/>
      <c r="BA603" s="30"/>
      <c r="BB603" s="26"/>
      <c r="BC603" s="26"/>
      <c r="BD603" s="26"/>
      <c r="BE603" s="26"/>
      <c r="BF603" s="26"/>
    </row>
    <row r="604" spans="1:58" ht="15.75" customHeight="1">
      <c r="A604" s="67"/>
      <c r="B604" s="67"/>
      <c r="C604" s="67"/>
      <c r="D604" s="68"/>
      <c r="E604" s="68"/>
      <c r="F604" s="68"/>
      <c r="G604" s="68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30"/>
      <c r="AO604" s="25"/>
      <c r="AP604" s="120"/>
      <c r="AQ604" s="120"/>
      <c r="AR604" s="121"/>
      <c r="AS604" s="96"/>
      <c r="AT604" s="122"/>
      <c r="AU604" s="96"/>
      <c r="AV604" s="122"/>
      <c r="AW604" s="122"/>
      <c r="AX604" s="30"/>
      <c r="AY604" s="30"/>
      <c r="AZ604" s="30"/>
      <c r="BA604" s="30"/>
      <c r="BB604" s="26"/>
      <c r="BC604" s="26"/>
      <c r="BD604" s="26"/>
      <c r="BE604" s="26"/>
      <c r="BF604" s="26"/>
    </row>
    <row r="605" spans="1:58" ht="15.75" customHeight="1">
      <c r="A605" s="67"/>
      <c r="B605" s="67"/>
      <c r="C605" s="67"/>
      <c r="D605" s="68"/>
      <c r="E605" s="68"/>
      <c r="F605" s="68"/>
      <c r="G605" s="68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30"/>
      <c r="AO605" s="25"/>
      <c r="AP605" s="120"/>
      <c r="AQ605" s="120"/>
      <c r="AR605" s="121"/>
      <c r="AS605" s="96"/>
      <c r="AT605" s="122"/>
      <c r="AU605" s="96"/>
      <c r="AV605" s="122"/>
      <c r="AW605" s="122"/>
      <c r="AX605" s="30"/>
      <c r="AY605" s="30"/>
      <c r="AZ605" s="30"/>
      <c r="BA605" s="30"/>
      <c r="BB605" s="26"/>
      <c r="BC605" s="26"/>
      <c r="BD605" s="26"/>
      <c r="BE605" s="26"/>
      <c r="BF605" s="26"/>
    </row>
    <row r="606" spans="1:58" ht="15.75" customHeight="1">
      <c r="A606" s="67"/>
      <c r="B606" s="67"/>
      <c r="C606" s="67"/>
      <c r="D606" s="68"/>
      <c r="E606" s="68"/>
      <c r="F606" s="68"/>
      <c r="G606" s="68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30"/>
      <c r="AO606" s="25"/>
      <c r="AP606" s="120"/>
      <c r="AQ606" s="120"/>
      <c r="AR606" s="121"/>
      <c r="AS606" s="96"/>
      <c r="AT606" s="122"/>
      <c r="AU606" s="96"/>
      <c r="AV606" s="122"/>
      <c r="AW606" s="122"/>
      <c r="AX606" s="30"/>
      <c r="AY606" s="30"/>
      <c r="AZ606" s="30"/>
      <c r="BA606" s="30"/>
      <c r="BB606" s="26"/>
      <c r="BC606" s="26"/>
      <c r="BD606" s="26"/>
      <c r="BE606" s="26"/>
      <c r="BF606" s="26"/>
    </row>
    <row r="607" spans="1:58" ht="15.75" customHeight="1">
      <c r="A607" s="67"/>
      <c r="B607" s="67"/>
      <c r="C607" s="67"/>
      <c r="D607" s="68"/>
      <c r="E607" s="68"/>
      <c r="F607" s="68"/>
      <c r="G607" s="68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30"/>
      <c r="AO607" s="25"/>
      <c r="AP607" s="120"/>
      <c r="AQ607" s="120"/>
      <c r="AR607" s="121"/>
      <c r="AS607" s="96"/>
      <c r="AT607" s="122"/>
      <c r="AU607" s="96"/>
      <c r="AV607" s="122"/>
      <c r="AW607" s="122"/>
      <c r="AX607" s="30"/>
      <c r="AY607" s="30"/>
      <c r="AZ607" s="30"/>
      <c r="BA607" s="30"/>
      <c r="BB607" s="26"/>
      <c r="BC607" s="26"/>
      <c r="BD607" s="26"/>
      <c r="BE607" s="26"/>
      <c r="BF607" s="26"/>
    </row>
    <row r="608" spans="1:58" ht="15.75" customHeight="1">
      <c r="A608" s="67"/>
      <c r="B608" s="67"/>
      <c r="C608" s="67"/>
      <c r="D608" s="68"/>
      <c r="E608" s="68"/>
      <c r="F608" s="68"/>
      <c r="G608" s="68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30"/>
      <c r="AO608" s="25"/>
      <c r="AP608" s="120"/>
      <c r="AQ608" s="120"/>
      <c r="AR608" s="121"/>
      <c r="AS608" s="96"/>
      <c r="AT608" s="122"/>
      <c r="AU608" s="96"/>
      <c r="AV608" s="122"/>
      <c r="AW608" s="122"/>
      <c r="AX608" s="30"/>
      <c r="AY608" s="30"/>
      <c r="AZ608" s="30"/>
      <c r="BA608" s="30"/>
      <c r="BB608" s="26"/>
      <c r="BC608" s="26"/>
      <c r="BD608" s="26"/>
      <c r="BE608" s="26"/>
      <c r="BF608" s="26"/>
    </row>
    <row r="609" spans="1:58" ht="15.75" customHeight="1">
      <c r="A609" s="67"/>
      <c r="B609" s="67"/>
      <c r="C609" s="67"/>
      <c r="D609" s="68"/>
      <c r="E609" s="68"/>
      <c r="F609" s="68"/>
      <c r="G609" s="68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30"/>
      <c r="AO609" s="25"/>
      <c r="AP609" s="120"/>
      <c r="AQ609" s="120"/>
      <c r="AR609" s="121"/>
      <c r="AS609" s="96"/>
      <c r="AT609" s="122"/>
      <c r="AU609" s="96"/>
      <c r="AV609" s="122"/>
      <c r="AW609" s="122"/>
      <c r="AX609" s="30"/>
      <c r="AY609" s="30"/>
      <c r="AZ609" s="30"/>
      <c r="BA609" s="30"/>
      <c r="BB609" s="26"/>
      <c r="BC609" s="26"/>
      <c r="BD609" s="26"/>
      <c r="BE609" s="26"/>
      <c r="BF609" s="26"/>
    </row>
    <row r="610" spans="1:58" ht="15.75" customHeight="1">
      <c r="A610" s="67"/>
      <c r="B610" s="67"/>
      <c r="C610" s="67"/>
      <c r="D610" s="68"/>
      <c r="E610" s="68"/>
      <c r="F610" s="68"/>
      <c r="G610" s="68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30"/>
      <c r="AO610" s="25"/>
      <c r="AP610" s="120"/>
      <c r="AQ610" s="120"/>
      <c r="AR610" s="121"/>
      <c r="AS610" s="96"/>
      <c r="AT610" s="122"/>
      <c r="AU610" s="96"/>
      <c r="AV610" s="122"/>
      <c r="AW610" s="122"/>
      <c r="AX610" s="30"/>
      <c r="AY610" s="30"/>
      <c r="AZ610" s="30"/>
      <c r="BA610" s="30"/>
      <c r="BB610" s="26"/>
      <c r="BC610" s="26"/>
      <c r="BD610" s="26"/>
      <c r="BE610" s="26"/>
      <c r="BF610" s="26"/>
    </row>
    <row r="611" spans="1:58" ht="15.75" customHeight="1">
      <c r="A611" s="67"/>
      <c r="B611" s="67"/>
      <c r="C611" s="67"/>
      <c r="D611" s="68"/>
      <c r="E611" s="68"/>
      <c r="F611" s="68"/>
      <c r="G611" s="68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30"/>
      <c r="AO611" s="25"/>
      <c r="AP611" s="120"/>
      <c r="AQ611" s="120"/>
      <c r="AR611" s="121"/>
      <c r="AS611" s="96"/>
      <c r="AT611" s="122"/>
      <c r="AU611" s="96"/>
      <c r="AV611" s="122"/>
      <c r="AW611" s="122"/>
      <c r="AX611" s="30"/>
      <c r="AY611" s="30"/>
      <c r="AZ611" s="30"/>
      <c r="BA611" s="30"/>
      <c r="BB611" s="26"/>
      <c r="BC611" s="26"/>
      <c r="BD611" s="26"/>
      <c r="BE611" s="26"/>
      <c r="BF611" s="26"/>
    </row>
    <row r="612" spans="1:58" ht="15.75" customHeight="1">
      <c r="A612" s="67"/>
      <c r="B612" s="67"/>
      <c r="C612" s="67"/>
      <c r="D612" s="68"/>
      <c r="E612" s="68"/>
      <c r="F612" s="68"/>
      <c r="G612" s="68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30"/>
      <c r="AO612" s="25"/>
      <c r="AP612" s="120"/>
      <c r="AQ612" s="120"/>
      <c r="AR612" s="121"/>
      <c r="AS612" s="96"/>
      <c r="AT612" s="122"/>
      <c r="AU612" s="96"/>
      <c r="AV612" s="122"/>
      <c r="AW612" s="122"/>
      <c r="AX612" s="30"/>
      <c r="AY612" s="30"/>
      <c r="AZ612" s="30"/>
      <c r="BA612" s="30"/>
      <c r="BB612" s="26"/>
      <c r="BC612" s="26"/>
      <c r="BD612" s="26"/>
      <c r="BE612" s="26"/>
      <c r="BF612" s="26"/>
    </row>
    <row r="613" spans="1:58" ht="15.75" customHeight="1">
      <c r="A613" s="67"/>
      <c r="B613" s="67"/>
      <c r="C613" s="67"/>
      <c r="D613" s="68"/>
      <c r="E613" s="68"/>
      <c r="F613" s="68"/>
      <c r="G613" s="68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30"/>
      <c r="AO613" s="25"/>
      <c r="AP613" s="120"/>
      <c r="AQ613" s="120"/>
      <c r="AR613" s="121"/>
      <c r="AS613" s="96"/>
      <c r="AT613" s="122"/>
      <c r="AU613" s="96"/>
      <c r="AV613" s="122"/>
      <c r="AW613" s="122"/>
      <c r="AX613" s="30"/>
      <c r="AY613" s="30"/>
      <c r="AZ613" s="30"/>
      <c r="BA613" s="30"/>
      <c r="BB613" s="26"/>
      <c r="BC613" s="26"/>
      <c r="BD613" s="26"/>
      <c r="BE613" s="26"/>
      <c r="BF613" s="26"/>
    </row>
    <row r="614" spans="1:58" ht="15.75" customHeight="1">
      <c r="A614" s="67"/>
      <c r="B614" s="67"/>
      <c r="C614" s="67"/>
      <c r="D614" s="68"/>
      <c r="E614" s="68"/>
      <c r="F614" s="68"/>
      <c r="G614" s="68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30"/>
      <c r="AO614" s="25"/>
      <c r="AP614" s="120"/>
      <c r="AQ614" s="120"/>
      <c r="AR614" s="121"/>
      <c r="AS614" s="96"/>
      <c r="AT614" s="122"/>
      <c r="AU614" s="96"/>
      <c r="AV614" s="122"/>
      <c r="AW614" s="122"/>
      <c r="AX614" s="30"/>
      <c r="AY614" s="30"/>
      <c r="AZ614" s="30"/>
      <c r="BA614" s="30"/>
      <c r="BB614" s="26"/>
      <c r="BC614" s="26"/>
      <c r="BD614" s="26"/>
      <c r="BE614" s="26"/>
      <c r="BF614" s="26"/>
    </row>
    <row r="615" spans="1:58" ht="15.75" customHeight="1">
      <c r="A615" s="67"/>
      <c r="B615" s="67"/>
      <c r="C615" s="67"/>
      <c r="D615" s="68"/>
      <c r="E615" s="68"/>
      <c r="F615" s="68"/>
      <c r="G615" s="68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30"/>
      <c r="AO615" s="25"/>
      <c r="AP615" s="120"/>
      <c r="AQ615" s="120"/>
      <c r="AR615" s="121"/>
      <c r="AS615" s="96"/>
      <c r="AT615" s="122"/>
      <c r="AU615" s="96"/>
      <c r="AV615" s="122"/>
      <c r="AW615" s="122"/>
      <c r="AX615" s="30"/>
      <c r="AY615" s="30"/>
      <c r="AZ615" s="30"/>
      <c r="BA615" s="30"/>
      <c r="BB615" s="26"/>
      <c r="BC615" s="26"/>
      <c r="BD615" s="26"/>
      <c r="BE615" s="26"/>
      <c r="BF615" s="26"/>
    </row>
    <row r="616" spans="1:58" ht="15.75" customHeight="1">
      <c r="A616" s="67"/>
      <c r="B616" s="67"/>
      <c r="C616" s="67"/>
      <c r="D616" s="68"/>
      <c r="E616" s="68"/>
      <c r="F616" s="68"/>
      <c r="G616" s="68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30"/>
      <c r="AO616" s="25"/>
      <c r="AP616" s="120"/>
      <c r="AQ616" s="120"/>
      <c r="AR616" s="121"/>
      <c r="AS616" s="96"/>
      <c r="AT616" s="122"/>
      <c r="AU616" s="96"/>
      <c r="AV616" s="122"/>
      <c r="AW616" s="122"/>
      <c r="AX616" s="30"/>
      <c r="AY616" s="30"/>
      <c r="AZ616" s="30"/>
      <c r="BA616" s="30"/>
      <c r="BB616" s="26"/>
      <c r="BC616" s="26"/>
      <c r="BD616" s="26"/>
      <c r="BE616" s="26"/>
      <c r="BF616" s="26"/>
    </row>
    <row r="617" spans="1:58" ht="15.75" customHeight="1">
      <c r="A617" s="67"/>
      <c r="B617" s="67"/>
      <c r="C617" s="67"/>
      <c r="D617" s="68"/>
      <c r="E617" s="68"/>
      <c r="F617" s="68"/>
      <c r="G617" s="68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30"/>
      <c r="AO617" s="25"/>
      <c r="AP617" s="120"/>
      <c r="AQ617" s="120"/>
      <c r="AR617" s="121"/>
      <c r="AS617" s="96"/>
      <c r="AT617" s="122"/>
      <c r="AU617" s="96"/>
      <c r="AV617" s="122"/>
      <c r="AW617" s="122"/>
      <c r="AX617" s="30"/>
      <c r="AY617" s="30"/>
      <c r="AZ617" s="30"/>
      <c r="BA617" s="30"/>
      <c r="BB617" s="26"/>
      <c r="BC617" s="26"/>
      <c r="BD617" s="26"/>
      <c r="BE617" s="26"/>
      <c r="BF617" s="26"/>
    </row>
    <row r="618" spans="1:58" ht="15.75" customHeight="1">
      <c r="A618" s="67"/>
      <c r="B618" s="67"/>
      <c r="C618" s="67"/>
      <c r="D618" s="68"/>
      <c r="E618" s="68"/>
      <c r="F618" s="68"/>
      <c r="G618" s="68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30"/>
      <c r="AO618" s="25"/>
      <c r="AP618" s="120"/>
      <c r="AQ618" s="120"/>
      <c r="AR618" s="121"/>
      <c r="AS618" s="96"/>
      <c r="AT618" s="122"/>
      <c r="AU618" s="96"/>
      <c r="AV618" s="122"/>
      <c r="AW618" s="122"/>
      <c r="AX618" s="30"/>
      <c r="AY618" s="30"/>
      <c r="AZ618" s="30"/>
      <c r="BA618" s="30"/>
      <c r="BB618" s="26"/>
      <c r="BC618" s="26"/>
      <c r="BD618" s="26"/>
      <c r="BE618" s="26"/>
      <c r="BF618" s="26"/>
    </row>
    <row r="619" spans="1:58" ht="15.75" customHeight="1">
      <c r="A619" s="67"/>
      <c r="B619" s="67"/>
      <c r="C619" s="67"/>
      <c r="D619" s="68"/>
      <c r="E619" s="68"/>
      <c r="F619" s="68"/>
      <c r="G619" s="68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30"/>
      <c r="AO619" s="25"/>
      <c r="AP619" s="120"/>
      <c r="AQ619" s="120"/>
      <c r="AR619" s="121"/>
      <c r="AS619" s="96"/>
      <c r="AT619" s="122"/>
      <c r="AU619" s="96"/>
      <c r="AV619" s="122"/>
      <c r="AW619" s="122"/>
      <c r="AX619" s="30"/>
      <c r="AY619" s="30"/>
      <c r="AZ619" s="30"/>
      <c r="BA619" s="30"/>
      <c r="BB619" s="26"/>
      <c r="BC619" s="26"/>
      <c r="BD619" s="26"/>
      <c r="BE619" s="26"/>
      <c r="BF619" s="26"/>
    </row>
    <row r="620" spans="1:58" ht="15.75" customHeight="1">
      <c r="A620" s="67"/>
      <c r="B620" s="67"/>
      <c r="C620" s="67"/>
      <c r="D620" s="68"/>
      <c r="E620" s="68"/>
      <c r="F620" s="68"/>
      <c r="G620" s="68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30"/>
      <c r="AO620" s="25"/>
      <c r="AP620" s="120"/>
      <c r="AQ620" s="120"/>
      <c r="AR620" s="121"/>
      <c r="AS620" s="96"/>
      <c r="AT620" s="122"/>
      <c r="AU620" s="96"/>
      <c r="AV620" s="122"/>
      <c r="AW620" s="122"/>
      <c r="AX620" s="30"/>
      <c r="AY620" s="30"/>
      <c r="AZ620" s="30"/>
      <c r="BA620" s="30"/>
      <c r="BB620" s="26"/>
      <c r="BC620" s="26"/>
      <c r="BD620" s="26"/>
      <c r="BE620" s="26"/>
      <c r="BF620" s="26"/>
    </row>
    <row r="621" spans="1:58" ht="15.75" customHeight="1">
      <c r="A621" s="67"/>
      <c r="B621" s="67"/>
      <c r="C621" s="67"/>
      <c r="D621" s="68"/>
      <c r="E621" s="68"/>
      <c r="F621" s="68"/>
      <c r="G621" s="68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30"/>
      <c r="AO621" s="25"/>
      <c r="AP621" s="120"/>
      <c r="AQ621" s="120"/>
      <c r="AR621" s="121"/>
      <c r="AS621" s="96"/>
      <c r="AT621" s="122"/>
      <c r="AU621" s="96"/>
      <c r="AV621" s="122"/>
      <c r="AW621" s="122"/>
      <c r="AX621" s="30"/>
      <c r="AY621" s="30"/>
      <c r="AZ621" s="30"/>
      <c r="BA621" s="30"/>
      <c r="BB621" s="26"/>
      <c r="BC621" s="26"/>
      <c r="BD621" s="26"/>
      <c r="BE621" s="26"/>
      <c r="BF621" s="26"/>
    </row>
    <row r="622" spans="1:58" ht="15.75" customHeight="1">
      <c r="A622" s="67"/>
      <c r="B622" s="67"/>
      <c r="C622" s="67"/>
      <c r="D622" s="68"/>
      <c r="E622" s="68"/>
      <c r="F622" s="68"/>
      <c r="G622" s="68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30"/>
      <c r="AO622" s="25"/>
      <c r="AP622" s="120"/>
      <c r="AQ622" s="120"/>
      <c r="AR622" s="121"/>
      <c r="AS622" s="96"/>
      <c r="AT622" s="122"/>
      <c r="AU622" s="96"/>
      <c r="AV622" s="122"/>
      <c r="AW622" s="122"/>
      <c r="AX622" s="30"/>
      <c r="AY622" s="30"/>
      <c r="AZ622" s="30"/>
      <c r="BA622" s="30"/>
      <c r="BB622" s="26"/>
      <c r="BC622" s="26"/>
      <c r="BD622" s="26"/>
      <c r="BE622" s="26"/>
      <c r="BF622" s="26"/>
    </row>
    <row r="623" spans="1:58" ht="15.75" customHeight="1">
      <c r="A623" s="67"/>
      <c r="B623" s="67"/>
      <c r="C623" s="67"/>
      <c r="D623" s="68"/>
      <c r="E623" s="68"/>
      <c r="F623" s="68"/>
      <c r="G623" s="68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30"/>
      <c r="AO623" s="25"/>
      <c r="AP623" s="120"/>
      <c r="AQ623" s="120"/>
      <c r="AR623" s="121"/>
      <c r="AS623" s="96"/>
      <c r="AT623" s="122"/>
      <c r="AU623" s="96"/>
      <c r="AV623" s="122"/>
      <c r="AW623" s="122"/>
      <c r="AX623" s="30"/>
      <c r="AY623" s="30"/>
      <c r="AZ623" s="30"/>
      <c r="BA623" s="30"/>
      <c r="BB623" s="26"/>
      <c r="BC623" s="26"/>
      <c r="BD623" s="26"/>
      <c r="BE623" s="26"/>
      <c r="BF623" s="26"/>
    </row>
    <row r="624" spans="1:58" ht="15.75" customHeight="1">
      <c r="A624" s="67"/>
      <c r="B624" s="67"/>
      <c r="C624" s="67"/>
      <c r="D624" s="68"/>
      <c r="E624" s="68"/>
      <c r="F624" s="68"/>
      <c r="G624" s="68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30"/>
      <c r="AO624" s="25"/>
      <c r="AP624" s="120"/>
      <c r="AQ624" s="120"/>
      <c r="AR624" s="121"/>
      <c r="AS624" s="96"/>
      <c r="AT624" s="122"/>
      <c r="AU624" s="96"/>
      <c r="AV624" s="122"/>
      <c r="AW624" s="122"/>
      <c r="AX624" s="30"/>
      <c r="AY624" s="30"/>
      <c r="AZ624" s="30"/>
      <c r="BA624" s="30"/>
      <c r="BB624" s="26"/>
      <c r="BC624" s="26"/>
      <c r="BD624" s="26"/>
      <c r="BE624" s="26"/>
      <c r="BF624" s="26"/>
    </row>
    <row r="625" spans="1:58" ht="15.75" customHeight="1">
      <c r="A625" s="67"/>
      <c r="B625" s="67"/>
      <c r="C625" s="67"/>
      <c r="D625" s="68"/>
      <c r="E625" s="68"/>
      <c r="F625" s="68"/>
      <c r="G625" s="68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30"/>
      <c r="AO625" s="25"/>
      <c r="AP625" s="120"/>
      <c r="AQ625" s="120"/>
      <c r="AR625" s="121"/>
      <c r="AS625" s="96"/>
      <c r="AT625" s="122"/>
      <c r="AU625" s="96"/>
      <c r="AV625" s="122"/>
      <c r="AW625" s="122"/>
      <c r="AX625" s="30"/>
      <c r="AY625" s="30"/>
      <c r="AZ625" s="30"/>
      <c r="BA625" s="30"/>
      <c r="BB625" s="26"/>
      <c r="BC625" s="26"/>
      <c r="BD625" s="26"/>
      <c r="BE625" s="26"/>
      <c r="BF625" s="26"/>
    </row>
    <row r="626" spans="1:58" ht="15.75" customHeight="1">
      <c r="A626" s="67"/>
      <c r="B626" s="67"/>
      <c r="C626" s="67"/>
      <c r="D626" s="68"/>
      <c r="E626" s="68"/>
      <c r="F626" s="68"/>
      <c r="G626" s="68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30"/>
      <c r="AO626" s="25"/>
      <c r="AP626" s="120"/>
      <c r="AQ626" s="120"/>
      <c r="AR626" s="121"/>
      <c r="AS626" s="96"/>
      <c r="AT626" s="122"/>
      <c r="AU626" s="96"/>
      <c r="AV626" s="122"/>
      <c r="AW626" s="122"/>
      <c r="AX626" s="30"/>
      <c r="AY626" s="30"/>
      <c r="AZ626" s="30"/>
      <c r="BA626" s="30"/>
      <c r="BB626" s="26"/>
      <c r="BC626" s="26"/>
      <c r="BD626" s="26"/>
      <c r="BE626" s="26"/>
      <c r="BF626" s="26"/>
    </row>
    <row r="627" spans="1:58" ht="15.75" customHeight="1">
      <c r="A627" s="67"/>
      <c r="B627" s="67"/>
      <c r="C627" s="67"/>
      <c r="D627" s="68"/>
      <c r="E627" s="68"/>
      <c r="F627" s="68"/>
      <c r="G627" s="68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30"/>
      <c r="AO627" s="25"/>
      <c r="AP627" s="120"/>
      <c r="AQ627" s="120"/>
      <c r="AR627" s="121"/>
      <c r="AS627" s="96"/>
      <c r="AT627" s="122"/>
      <c r="AU627" s="96"/>
      <c r="AV627" s="122"/>
      <c r="AW627" s="122"/>
      <c r="AX627" s="30"/>
      <c r="AY627" s="30"/>
      <c r="AZ627" s="30"/>
      <c r="BA627" s="30"/>
      <c r="BB627" s="26"/>
      <c r="BC627" s="26"/>
      <c r="BD627" s="26"/>
      <c r="BE627" s="26"/>
      <c r="BF627" s="26"/>
    </row>
    <row r="628" spans="1:58" ht="15.75" customHeight="1">
      <c r="A628" s="67"/>
      <c r="B628" s="67"/>
      <c r="C628" s="67"/>
      <c r="D628" s="68"/>
      <c r="E628" s="68"/>
      <c r="F628" s="68"/>
      <c r="G628" s="68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30"/>
      <c r="AO628" s="25"/>
      <c r="AP628" s="120"/>
      <c r="AQ628" s="120"/>
      <c r="AR628" s="121"/>
      <c r="AS628" s="96"/>
      <c r="AT628" s="122"/>
      <c r="AU628" s="96"/>
      <c r="AV628" s="122"/>
      <c r="AW628" s="122"/>
      <c r="AX628" s="30"/>
      <c r="AY628" s="30"/>
      <c r="AZ628" s="30"/>
      <c r="BA628" s="30"/>
      <c r="BB628" s="26"/>
      <c r="BC628" s="26"/>
      <c r="BD628" s="26"/>
      <c r="BE628" s="26"/>
      <c r="BF628" s="26"/>
    </row>
    <row r="629" spans="1:58" ht="15.75" customHeight="1">
      <c r="A629" s="67"/>
      <c r="B629" s="67"/>
      <c r="C629" s="67"/>
      <c r="D629" s="68"/>
      <c r="E629" s="68"/>
      <c r="F629" s="68"/>
      <c r="G629" s="68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30"/>
      <c r="AO629" s="25"/>
      <c r="AP629" s="120"/>
      <c r="AQ629" s="120"/>
      <c r="AR629" s="121"/>
      <c r="AS629" s="96"/>
      <c r="AT629" s="122"/>
      <c r="AU629" s="96"/>
      <c r="AV629" s="122"/>
      <c r="AW629" s="122"/>
      <c r="AX629" s="30"/>
      <c r="AY629" s="30"/>
      <c r="AZ629" s="30"/>
      <c r="BA629" s="30"/>
      <c r="BB629" s="26"/>
      <c r="BC629" s="26"/>
      <c r="BD629" s="26"/>
      <c r="BE629" s="26"/>
      <c r="BF629" s="26"/>
    </row>
    <row r="630" spans="1:58" ht="15.75" customHeight="1">
      <c r="A630" s="67"/>
      <c r="B630" s="67"/>
      <c r="C630" s="67"/>
      <c r="D630" s="68"/>
      <c r="E630" s="68"/>
      <c r="F630" s="68"/>
      <c r="G630" s="68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30"/>
      <c r="AO630" s="25"/>
      <c r="AP630" s="120"/>
      <c r="AQ630" s="120"/>
      <c r="AR630" s="121"/>
      <c r="AS630" s="96"/>
      <c r="AT630" s="122"/>
      <c r="AU630" s="96"/>
      <c r="AV630" s="122"/>
      <c r="AW630" s="122"/>
      <c r="AX630" s="30"/>
      <c r="AY630" s="30"/>
      <c r="AZ630" s="30"/>
      <c r="BA630" s="30"/>
      <c r="BB630" s="26"/>
      <c r="BC630" s="26"/>
      <c r="BD630" s="26"/>
      <c r="BE630" s="26"/>
      <c r="BF630" s="26"/>
    </row>
    <row r="631" spans="1:58" ht="15.75" customHeight="1">
      <c r="A631" s="67"/>
      <c r="B631" s="67"/>
      <c r="C631" s="67"/>
      <c r="D631" s="68"/>
      <c r="E631" s="68"/>
      <c r="F631" s="68"/>
      <c r="G631" s="68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30"/>
      <c r="AO631" s="25"/>
      <c r="AP631" s="120"/>
      <c r="AQ631" s="120"/>
      <c r="AR631" s="121"/>
      <c r="AS631" s="96"/>
      <c r="AT631" s="122"/>
      <c r="AU631" s="96"/>
      <c r="AV631" s="122"/>
      <c r="AW631" s="122"/>
      <c r="AX631" s="30"/>
      <c r="AY631" s="30"/>
      <c r="AZ631" s="30"/>
      <c r="BA631" s="30"/>
      <c r="BB631" s="26"/>
      <c r="BC631" s="26"/>
      <c r="BD631" s="26"/>
      <c r="BE631" s="26"/>
      <c r="BF631" s="26"/>
    </row>
    <row r="632" spans="1:58" ht="15.75" customHeight="1">
      <c r="A632" s="67"/>
      <c r="B632" s="67"/>
      <c r="C632" s="67"/>
      <c r="D632" s="68"/>
      <c r="E632" s="68"/>
      <c r="F632" s="68"/>
      <c r="G632" s="68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30"/>
      <c r="AO632" s="25"/>
      <c r="AP632" s="120"/>
      <c r="AQ632" s="120"/>
      <c r="AR632" s="121"/>
      <c r="AS632" s="96"/>
      <c r="AT632" s="122"/>
      <c r="AU632" s="96"/>
      <c r="AV632" s="122"/>
      <c r="AW632" s="122"/>
      <c r="AX632" s="30"/>
      <c r="AY632" s="30"/>
      <c r="AZ632" s="30"/>
      <c r="BA632" s="30"/>
      <c r="BB632" s="26"/>
      <c r="BC632" s="26"/>
      <c r="BD632" s="26"/>
      <c r="BE632" s="26"/>
      <c r="BF632" s="26"/>
    </row>
    <row r="633" spans="1:58" ht="15.75" customHeight="1">
      <c r="A633" s="67"/>
      <c r="B633" s="67"/>
      <c r="C633" s="67"/>
      <c r="D633" s="68"/>
      <c r="E633" s="68"/>
      <c r="F633" s="68"/>
      <c r="G633" s="68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30"/>
      <c r="AO633" s="25"/>
      <c r="AP633" s="120"/>
      <c r="AQ633" s="120"/>
      <c r="AR633" s="121"/>
      <c r="AS633" s="96"/>
      <c r="AT633" s="122"/>
      <c r="AU633" s="96"/>
      <c r="AV633" s="122"/>
      <c r="AW633" s="122"/>
      <c r="AX633" s="30"/>
      <c r="AY633" s="30"/>
      <c r="AZ633" s="30"/>
      <c r="BA633" s="30"/>
      <c r="BB633" s="26"/>
      <c r="BC633" s="26"/>
      <c r="BD633" s="26"/>
      <c r="BE633" s="26"/>
      <c r="BF633" s="26"/>
    </row>
    <row r="634" spans="1:58" ht="15.75" customHeight="1">
      <c r="A634" s="67"/>
      <c r="B634" s="67"/>
      <c r="C634" s="67"/>
      <c r="D634" s="68"/>
      <c r="E634" s="68"/>
      <c r="F634" s="68"/>
      <c r="G634" s="68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30"/>
      <c r="AO634" s="25"/>
      <c r="AP634" s="120"/>
      <c r="AQ634" s="120"/>
      <c r="AR634" s="121"/>
      <c r="AS634" s="96"/>
      <c r="AT634" s="122"/>
      <c r="AU634" s="96"/>
      <c r="AV634" s="122"/>
      <c r="AW634" s="122"/>
      <c r="AX634" s="30"/>
      <c r="AY634" s="30"/>
      <c r="AZ634" s="30"/>
      <c r="BA634" s="30"/>
      <c r="BB634" s="26"/>
      <c r="BC634" s="26"/>
      <c r="BD634" s="26"/>
      <c r="BE634" s="26"/>
      <c r="BF634" s="26"/>
    </row>
    <row r="635" spans="1:58" ht="15.75" customHeight="1">
      <c r="A635" s="67"/>
      <c r="B635" s="67"/>
      <c r="C635" s="67"/>
      <c r="D635" s="68"/>
      <c r="E635" s="68"/>
      <c r="F635" s="68"/>
      <c r="G635" s="68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30"/>
      <c r="AO635" s="25"/>
      <c r="AP635" s="120"/>
      <c r="AQ635" s="120"/>
      <c r="AR635" s="121"/>
      <c r="AS635" s="96"/>
      <c r="AT635" s="122"/>
      <c r="AU635" s="96"/>
      <c r="AV635" s="122"/>
      <c r="AW635" s="122"/>
      <c r="AX635" s="30"/>
      <c r="AY635" s="30"/>
      <c r="AZ635" s="30"/>
      <c r="BA635" s="30"/>
      <c r="BB635" s="26"/>
      <c r="BC635" s="26"/>
      <c r="BD635" s="26"/>
      <c r="BE635" s="26"/>
      <c r="BF635" s="26"/>
    </row>
    <row r="636" spans="1:58" ht="15.75" customHeight="1">
      <c r="A636" s="67"/>
      <c r="B636" s="67"/>
      <c r="C636" s="67"/>
      <c r="D636" s="68"/>
      <c r="E636" s="68"/>
      <c r="F636" s="68"/>
      <c r="G636" s="68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30"/>
      <c r="AO636" s="25"/>
      <c r="AP636" s="120"/>
      <c r="AQ636" s="120"/>
      <c r="AR636" s="121"/>
      <c r="AS636" s="96"/>
      <c r="AT636" s="122"/>
      <c r="AU636" s="96"/>
      <c r="AV636" s="122"/>
      <c r="AW636" s="122"/>
      <c r="AX636" s="30"/>
      <c r="AY636" s="30"/>
      <c r="AZ636" s="30"/>
      <c r="BA636" s="30"/>
      <c r="BB636" s="26"/>
      <c r="BC636" s="26"/>
      <c r="BD636" s="26"/>
      <c r="BE636" s="26"/>
      <c r="BF636" s="26"/>
    </row>
    <row r="637" spans="1:58" ht="15.75" customHeight="1">
      <c r="A637" s="67"/>
      <c r="B637" s="67"/>
      <c r="C637" s="67"/>
      <c r="D637" s="68"/>
      <c r="E637" s="68"/>
      <c r="F637" s="68"/>
      <c r="G637" s="68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30"/>
      <c r="AO637" s="25"/>
      <c r="AP637" s="120"/>
      <c r="AQ637" s="120"/>
      <c r="AR637" s="121"/>
      <c r="AS637" s="96"/>
      <c r="AT637" s="122"/>
      <c r="AU637" s="96"/>
      <c r="AV637" s="122"/>
      <c r="AW637" s="122"/>
      <c r="AX637" s="30"/>
      <c r="AY637" s="30"/>
      <c r="AZ637" s="30"/>
      <c r="BA637" s="30"/>
      <c r="BB637" s="26"/>
      <c r="BC637" s="26"/>
      <c r="BD637" s="26"/>
      <c r="BE637" s="26"/>
      <c r="BF637" s="26"/>
    </row>
    <row r="638" spans="1:58" ht="15.75" customHeight="1">
      <c r="A638" s="67"/>
      <c r="B638" s="67"/>
      <c r="C638" s="67"/>
      <c r="D638" s="68"/>
      <c r="E638" s="68"/>
      <c r="F638" s="68"/>
      <c r="G638" s="68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30"/>
      <c r="AO638" s="25"/>
      <c r="AP638" s="120"/>
      <c r="AQ638" s="120"/>
      <c r="AR638" s="121"/>
      <c r="AS638" s="96"/>
      <c r="AT638" s="122"/>
      <c r="AU638" s="96"/>
      <c r="AV638" s="122"/>
      <c r="AW638" s="122"/>
      <c r="AX638" s="30"/>
      <c r="AY638" s="30"/>
      <c r="AZ638" s="30"/>
      <c r="BA638" s="30"/>
      <c r="BB638" s="26"/>
      <c r="BC638" s="26"/>
      <c r="BD638" s="26"/>
      <c r="BE638" s="26"/>
      <c r="BF638" s="26"/>
    </row>
    <row r="639" spans="1:58" ht="15.75" customHeight="1">
      <c r="A639" s="67"/>
      <c r="B639" s="67"/>
      <c r="C639" s="67"/>
      <c r="D639" s="68"/>
      <c r="E639" s="68"/>
      <c r="F639" s="68"/>
      <c r="G639" s="68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30"/>
      <c r="AO639" s="25"/>
      <c r="AP639" s="120"/>
      <c r="AQ639" s="120"/>
      <c r="AR639" s="121"/>
      <c r="AS639" s="96"/>
      <c r="AT639" s="122"/>
      <c r="AU639" s="96"/>
      <c r="AV639" s="122"/>
      <c r="AW639" s="122"/>
      <c r="AX639" s="30"/>
      <c r="AY639" s="30"/>
      <c r="AZ639" s="30"/>
      <c r="BA639" s="30"/>
      <c r="BB639" s="26"/>
      <c r="BC639" s="26"/>
      <c r="BD639" s="26"/>
      <c r="BE639" s="26"/>
      <c r="BF639" s="26"/>
    </row>
    <row r="640" spans="1:58" ht="15.75" customHeight="1">
      <c r="A640" s="67"/>
      <c r="B640" s="67"/>
      <c r="C640" s="67"/>
      <c r="D640" s="68"/>
      <c r="E640" s="68"/>
      <c r="F640" s="68"/>
      <c r="G640" s="68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30"/>
      <c r="AO640" s="25"/>
      <c r="AP640" s="120"/>
      <c r="AQ640" s="120"/>
      <c r="AR640" s="121"/>
      <c r="AS640" s="96"/>
      <c r="AT640" s="122"/>
      <c r="AU640" s="96"/>
      <c r="AV640" s="122"/>
      <c r="AW640" s="122"/>
      <c r="AX640" s="30"/>
      <c r="AY640" s="30"/>
      <c r="AZ640" s="30"/>
      <c r="BA640" s="30"/>
      <c r="BB640" s="26"/>
      <c r="BC640" s="26"/>
      <c r="BD640" s="26"/>
      <c r="BE640" s="26"/>
      <c r="BF640" s="26"/>
    </row>
    <row r="641" spans="1:58" ht="15.75" customHeight="1">
      <c r="A641" s="67"/>
      <c r="B641" s="67"/>
      <c r="C641" s="67"/>
      <c r="D641" s="68"/>
      <c r="E641" s="68"/>
      <c r="F641" s="68"/>
      <c r="G641" s="68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30"/>
      <c r="AO641" s="25"/>
      <c r="AP641" s="120"/>
      <c r="AQ641" s="120"/>
      <c r="AR641" s="121"/>
      <c r="AS641" s="96"/>
      <c r="AT641" s="122"/>
      <c r="AU641" s="96"/>
      <c r="AV641" s="122"/>
      <c r="AW641" s="122"/>
      <c r="AX641" s="30"/>
      <c r="AY641" s="30"/>
      <c r="AZ641" s="30"/>
      <c r="BA641" s="30"/>
      <c r="BB641" s="26"/>
      <c r="BC641" s="26"/>
      <c r="BD641" s="26"/>
      <c r="BE641" s="26"/>
      <c r="BF641" s="26"/>
    </row>
    <row r="642" spans="1:58" ht="15.75" customHeight="1">
      <c r="A642" s="67"/>
      <c r="B642" s="67"/>
      <c r="C642" s="67"/>
      <c r="D642" s="68"/>
      <c r="E642" s="68"/>
      <c r="F642" s="68"/>
      <c r="G642" s="68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30"/>
      <c r="AO642" s="25"/>
      <c r="AP642" s="120"/>
      <c r="AQ642" s="120"/>
      <c r="AR642" s="121"/>
      <c r="AS642" s="96"/>
      <c r="AT642" s="122"/>
      <c r="AU642" s="96"/>
      <c r="AV642" s="122"/>
      <c r="AW642" s="122"/>
      <c r="AX642" s="30"/>
      <c r="AY642" s="30"/>
      <c r="AZ642" s="30"/>
      <c r="BA642" s="30"/>
      <c r="BB642" s="26"/>
      <c r="BC642" s="26"/>
      <c r="BD642" s="26"/>
      <c r="BE642" s="26"/>
      <c r="BF642" s="26"/>
    </row>
    <row r="643" spans="1:58" ht="15.75" customHeight="1">
      <c r="A643" s="67"/>
      <c r="B643" s="67"/>
      <c r="C643" s="67"/>
      <c r="D643" s="68"/>
      <c r="E643" s="68"/>
      <c r="F643" s="68"/>
      <c r="G643" s="68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30"/>
      <c r="AO643" s="25"/>
      <c r="AP643" s="120"/>
      <c r="AQ643" s="120"/>
      <c r="AR643" s="121"/>
      <c r="AS643" s="96"/>
      <c r="AT643" s="122"/>
      <c r="AU643" s="96"/>
      <c r="AV643" s="122"/>
      <c r="AW643" s="122"/>
      <c r="AX643" s="30"/>
      <c r="AY643" s="30"/>
      <c r="AZ643" s="30"/>
      <c r="BA643" s="30"/>
      <c r="BB643" s="26"/>
      <c r="BC643" s="26"/>
      <c r="BD643" s="26"/>
      <c r="BE643" s="26"/>
      <c r="BF643" s="26"/>
    </row>
    <row r="644" spans="1:58" ht="15.75" customHeight="1">
      <c r="A644" s="67"/>
      <c r="B644" s="67"/>
      <c r="C644" s="67"/>
      <c r="D644" s="68"/>
      <c r="E644" s="68"/>
      <c r="F644" s="68"/>
      <c r="G644" s="68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30"/>
      <c r="AO644" s="25"/>
      <c r="AP644" s="120"/>
      <c r="AQ644" s="120"/>
      <c r="AR644" s="121"/>
      <c r="AS644" s="96"/>
      <c r="AT644" s="122"/>
      <c r="AU644" s="96"/>
      <c r="AV644" s="122"/>
      <c r="AW644" s="122"/>
      <c r="AX644" s="30"/>
      <c r="AY644" s="30"/>
      <c r="AZ644" s="30"/>
      <c r="BA644" s="30"/>
      <c r="BB644" s="26"/>
      <c r="BC644" s="26"/>
      <c r="BD644" s="26"/>
      <c r="BE644" s="26"/>
      <c r="BF644" s="26"/>
    </row>
    <row r="645" spans="1:58" ht="15.75" customHeight="1">
      <c r="A645" s="67"/>
      <c r="B645" s="67"/>
      <c r="C645" s="67"/>
      <c r="D645" s="68"/>
      <c r="E645" s="68"/>
      <c r="F645" s="68"/>
      <c r="G645" s="68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30"/>
      <c r="AO645" s="25"/>
      <c r="AP645" s="120"/>
      <c r="AQ645" s="120"/>
      <c r="AR645" s="121"/>
      <c r="AS645" s="96"/>
      <c r="AT645" s="122"/>
      <c r="AU645" s="96"/>
      <c r="AV645" s="122"/>
      <c r="AW645" s="122"/>
      <c r="AX645" s="30"/>
      <c r="AY645" s="30"/>
      <c r="AZ645" s="30"/>
      <c r="BA645" s="30"/>
      <c r="BB645" s="26"/>
      <c r="BC645" s="26"/>
      <c r="BD645" s="26"/>
      <c r="BE645" s="26"/>
      <c r="BF645" s="26"/>
    </row>
    <row r="646" spans="1:58" ht="15.75" customHeight="1">
      <c r="A646" s="67"/>
      <c r="B646" s="67"/>
      <c r="C646" s="67"/>
      <c r="D646" s="68"/>
      <c r="E646" s="68"/>
      <c r="F646" s="68"/>
      <c r="G646" s="68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30"/>
      <c r="AO646" s="25"/>
      <c r="AP646" s="120"/>
      <c r="AQ646" s="120"/>
      <c r="AR646" s="121"/>
      <c r="AS646" s="96"/>
      <c r="AT646" s="122"/>
      <c r="AU646" s="96"/>
      <c r="AV646" s="122"/>
      <c r="AW646" s="122"/>
      <c r="AX646" s="30"/>
      <c r="AY646" s="30"/>
      <c r="AZ646" s="30"/>
      <c r="BA646" s="30"/>
      <c r="BB646" s="26"/>
      <c r="BC646" s="26"/>
      <c r="BD646" s="26"/>
      <c r="BE646" s="26"/>
      <c r="BF646" s="26"/>
    </row>
    <row r="647" spans="1:58" ht="15.75" customHeight="1">
      <c r="A647" s="67"/>
      <c r="B647" s="67"/>
      <c r="C647" s="67"/>
      <c r="D647" s="68"/>
      <c r="E647" s="68"/>
      <c r="F647" s="68"/>
      <c r="G647" s="68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30"/>
      <c r="AO647" s="25"/>
      <c r="AP647" s="120"/>
      <c r="AQ647" s="120"/>
      <c r="AR647" s="121"/>
      <c r="AS647" s="96"/>
      <c r="AT647" s="122"/>
      <c r="AU647" s="96"/>
      <c r="AV647" s="122"/>
      <c r="AW647" s="122"/>
      <c r="AX647" s="30"/>
      <c r="AY647" s="30"/>
      <c r="AZ647" s="30"/>
      <c r="BA647" s="30"/>
      <c r="BB647" s="26"/>
      <c r="BC647" s="26"/>
      <c r="BD647" s="26"/>
      <c r="BE647" s="26"/>
      <c r="BF647" s="26"/>
    </row>
    <row r="648" spans="1:58" ht="15.75" customHeight="1">
      <c r="A648" s="67"/>
      <c r="B648" s="67"/>
      <c r="C648" s="67"/>
      <c r="D648" s="68"/>
      <c r="E648" s="68"/>
      <c r="F648" s="68"/>
      <c r="G648" s="68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30"/>
      <c r="AO648" s="25"/>
      <c r="AP648" s="120"/>
      <c r="AQ648" s="120"/>
      <c r="AR648" s="121"/>
      <c r="AS648" s="96"/>
      <c r="AT648" s="122"/>
      <c r="AU648" s="96"/>
      <c r="AV648" s="122"/>
      <c r="AW648" s="122"/>
      <c r="AX648" s="30"/>
      <c r="AY648" s="30"/>
      <c r="AZ648" s="30"/>
      <c r="BA648" s="30"/>
      <c r="BB648" s="26"/>
      <c r="BC648" s="26"/>
      <c r="BD648" s="26"/>
      <c r="BE648" s="26"/>
      <c r="BF648" s="26"/>
    </row>
    <row r="649" spans="1:58" ht="15.75" customHeight="1">
      <c r="A649" s="67"/>
      <c r="B649" s="67"/>
      <c r="C649" s="67"/>
      <c r="D649" s="68"/>
      <c r="E649" s="68"/>
      <c r="F649" s="68"/>
      <c r="G649" s="68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30"/>
      <c r="AO649" s="25"/>
      <c r="AP649" s="120"/>
      <c r="AQ649" s="120"/>
      <c r="AR649" s="121"/>
      <c r="AS649" s="96"/>
      <c r="AT649" s="122"/>
      <c r="AU649" s="96"/>
      <c r="AV649" s="122"/>
      <c r="AW649" s="122"/>
      <c r="AX649" s="30"/>
      <c r="AY649" s="30"/>
      <c r="AZ649" s="30"/>
      <c r="BA649" s="30"/>
      <c r="BB649" s="26"/>
      <c r="BC649" s="26"/>
      <c r="BD649" s="26"/>
      <c r="BE649" s="26"/>
      <c r="BF649" s="26"/>
    </row>
    <row r="650" spans="1:58" ht="15.75" customHeight="1">
      <c r="A650" s="67"/>
      <c r="B650" s="67"/>
      <c r="C650" s="67"/>
      <c r="D650" s="68"/>
      <c r="E650" s="68"/>
      <c r="F650" s="68"/>
      <c r="G650" s="68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30"/>
      <c r="AO650" s="25"/>
      <c r="AP650" s="120"/>
      <c r="AQ650" s="120"/>
      <c r="AR650" s="121"/>
      <c r="AS650" s="96"/>
      <c r="AT650" s="122"/>
      <c r="AU650" s="96"/>
      <c r="AV650" s="122"/>
      <c r="AW650" s="122"/>
      <c r="AX650" s="30"/>
      <c r="AY650" s="30"/>
      <c r="AZ650" s="30"/>
      <c r="BA650" s="30"/>
      <c r="BB650" s="26"/>
      <c r="BC650" s="26"/>
      <c r="BD650" s="26"/>
      <c r="BE650" s="26"/>
      <c r="BF650" s="26"/>
    </row>
    <row r="651" spans="1:58" ht="15.75" customHeight="1">
      <c r="A651" s="67"/>
      <c r="B651" s="67"/>
      <c r="C651" s="67"/>
      <c r="D651" s="68"/>
      <c r="E651" s="68"/>
      <c r="F651" s="68"/>
      <c r="G651" s="68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30"/>
      <c r="AO651" s="25"/>
      <c r="AP651" s="120"/>
      <c r="AQ651" s="120"/>
      <c r="AR651" s="121"/>
      <c r="AS651" s="96"/>
      <c r="AT651" s="122"/>
      <c r="AU651" s="96"/>
      <c r="AV651" s="122"/>
      <c r="AW651" s="122"/>
      <c r="AX651" s="30"/>
      <c r="AY651" s="30"/>
      <c r="AZ651" s="30"/>
      <c r="BA651" s="30"/>
      <c r="BB651" s="26"/>
      <c r="BC651" s="26"/>
      <c r="BD651" s="26"/>
      <c r="BE651" s="26"/>
      <c r="BF651" s="26"/>
    </row>
    <row r="652" spans="1:58" ht="15.75" customHeight="1">
      <c r="A652" s="67"/>
      <c r="B652" s="67"/>
      <c r="C652" s="67"/>
      <c r="D652" s="68"/>
      <c r="E652" s="68"/>
      <c r="F652" s="68"/>
      <c r="G652" s="68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30"/>
      <c r="AO652" s="25"/>
      <c r="AP652" s="120"/>
      <c r="AQ652" s="120"/>
      <c r="AR652" s="121"/>
      <c r="AS652" s="96"/>
      <c r="AT652" s="122"/>
      <c r="AU652" s="96"/>
      <c r="AV652" s="122"/>
      <c r="AW652" s="122"/>
      <c r="AX652" s="30"/>
      <c r="AY652" s="30"/>
      <c r="AZ652" s="30"/>
      <c r="BA652" s="30"/>
      <c r="BB652" s="26"/>
      <c r="BC652" s="26"/>
      <c r="BD652" s="26"/>
      <c r="BE652" s="26"/>
      <c r="BF652" s="26"/>
    </row>
    <row r="653" spans="1:58" ht="15.75" customHeight="1">
      <c r="A653" s="67"/>
      <c r="B653" s="67"/>
      <c r="C653" s="67"/>
      <c r="D653" s="68"/>
      <c r="E653" s="68"/>
      <c r="F653" s="68"/>
      <c r="G653" s="68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30"/>
      <c r="AO653" s="25"/>
      <c r="AP653" s="120"/>
      <c r="AQ653" s="120"/>
      <c r="AR653" s="121"/>
      <c r="AS653" s="96"/>
      <c r="AT653" s="122"/>
      <c r="AU653" s="96"/>
      <c r="AV653" s="122"/>
      <c r="AW653" s="122"/>
      <c r="AX653" s="30"/>
      <c r="AY653" s="30"/>
      <c r="AZ653" s="30"/>
      <c r="BA653" s="30"/>
      <c r="BB653" s="26"/>
      <c r="BC653" s="26"/>
      <c r="BD653" s="26"/>
      <c r="BE653" s="26"/>
      <c r="BF653" s="26"/>
    </row>
    <row r="654" spans="1:58" ht="15.75" customHeight="1">
      <c r="A654" s="67"/>
      <c r="B654" s="67"/>
      <c r="C654" s="67"/>
      <c r="D654" s="68"/>
      <c r="E654" s="68"/>
      <c r="F654" s="68"/>
      <c r="G654" s="68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30"/>
      <c r="AO654" s="25"/>
      <c r="AP654" s="120"/>
      <c r="AQ654" s="120"/>
      <c r="AR654" s="121"/>
      <c r="AS654" s="96"/>
      <c r="AT654" s="122"/>
      <c r="AU654" s="96"/>
      <c r="AV654" s="122"/>
      <c r="AW654" s="122"/>
      <c r="AX654" s="30"/>
      <c r="AY654" s="30"/>
      <c r="AZ654" s="30"/>
      <c r="BA654" s="30"/>
      <c r="BB654" s="26"/>
      <c r="BC654" s="26"/>
      <c r="BD654" s="26"/>
      <c r="BE654" s="26"/>
      <c r="BF654" s="26"/>
    </row>
    <row r="655" spans="1:58" ht="15.75" customHeight="1">
      <c r="A655" s="67"/>
      <c r="B655" s="67"/>
      <c r="C655" s="67"/>
      <c r="D655" s="68"/>
      <c r="E655" s="68"/>
      <c r="F655" s="68"/>
      <c r="G655" s="68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30"/>
      <c r="AO655" s="25"/>
      <c r="AP655" s="120"/>
      <c r="AQ655" s="120"/>
      <c r="AR655" s="121"/>
      <c r="AS655" s="96"/>
      <c r="AT655" s="122"/>
      <c r="AU655" s="96"/>
      <c r="AV655" s="122"/>
      <c r="AW655" s="122"/>
      <c r="AX655" s="30"/>
      <c r="AY655" s="30"/>
      <c r="AZ655" s="30"/>
      <c r="BA655" s="30"/>
      <c r="BB655" s="26"/>
      <c r="BC655" s="26"/>
      <c r="BD655" s="26"/>
      <c r="BE655" s="26"/>
      <c r="BF655" s="26"/>
    </row>
    <row r="656" spans="1:58" ht="15.75" customHeight="1">
      <c r="A656" s="67"/>
      <c r="B656" s="67"/>
      <c r="C656" s="67"/>
      <c r="D656" s="68"/>
      <c r="E656" s="68"/>
      <c r="F656" s="68"/>
      <c r="G656" s="68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30"/>
      <c r="AO656" s="25"/>
      <c r="AP656" s="120"/>
      <c r="AQ656" s="120"/>
      <c r="AR656" s="121"/>
      <c r="AS656" s="96"/>
      <c r="AT656" s="122"/>
      <c r="AU656" s="96"/>
      <c r="AV656" s="122"/>
      <c r="AW656" s="122"/>
      <c r="AX656" s="30"/>
      <c r="AY656" s="30"/>
      <c r="AZ656" s="30"/>
      <c r="BA656" s="30"/>
      <c r="BB656" s="26"/>
      <c r="BC656" s="26"/>
      <c r="BD656" s="26"/>
      <c r="BE656" s="26"/>
      <c r="BF656" s="26"/>
    </row>
    <row r="657" spans="1:58" ht="15.75" customHeight="1">
      <c r="A657" s="67"/>
      <c r="B657" s="67"/>
      <c r="C657" s="67"/>
      <c r="D657" s="68"/>
      <c r="E657" s="68"/>
      <c r="F657" s="68"/>
      <c r="G657" s="68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30"/>
      <c r="AO657" s="25"/>
      <c r="AP657" s="120"/>
      <c r="AQ657" s="120"/>
      <c r="AR657" s="121"/>
      <c r="AS657" s="96"/>
      <c r="AT657" s="122"/>
      <c r="AU657" s="96"/>
      <c r="AV657" s="122"/>
      <c r="AW657" s="122"/>
      <c r="AX657" s="30"/>
      <c r="AY657" s="30"/>
      <c r="AZ657" s="30"/>
      <c r="BA657" s="30"/>
      <c r="BB657" s="26"/>
      <c r="BC657" s="26"/>
      <c r="BD657" s="26"/>
      <c r="BE657" s="26"/>
      <c r="BF657" s="26"/>
    </row>
    <row r="658" spans="1:58" ht="15.75" customHeight="1">
      <c r="A658" s="67"/>
      <c r="B658" s="67"/>
      <c r="C658" s="67"/>
      <c r="D658" s="68"/>
      <c r="E658" s="68"/>
      <c r="F658" s="68"/>
      <c r="G658" s="68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30"/>
      <c r="AO658" s="25"/>
      <c r="AP658" s="120"/>
      <c r="AQ658" s="120"/>
      <c r="AR658" s="121"/>
      <c r="AS658" s="96"/>
      <c r="AT658" s="122"/>
      <c r="AU658" s="96"/>
      <c r="AV658" s="122"/>
      <c r="AW658" s="122"/>
      <c r="AX658" s="30"/>
      <c r="AY658" s="30"/>
      <c r="AZ658" s="30"/>
      <c r="BA658" s="30"/>
      <c r="BB658" s="26"/>
      <c r="BC658" s="26"/>
      <c r="BD658" s="26"/>
      <c r="BE658" s="26"/>
      <c r="BF658" s="26"/>
    </row>
    <row r="659" spans="1:58" ht="15.75" customHeight="1">
      <c r="A659" s="67"/>
      <c r="B659" s="67"/>
      <c r="C659" s="67"/>
      <c r="D659" s="68"/>
      <c r="E659" s="68"/>
      <c r="F659" s="68"/>
      <c r="G659" s="68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30"/>
      <c r="AO659" s="25"/>
      <c r="AP659" s="120"/>
      <c r="AQ659" s="120"/>
      <c r="AR659" s="121"/>
      <c r="AS659" s="96"/>
      <c r="AT659" s="122"/>
      <c r="AU659" s="96"/>
      <c r="AV659" s="122"/>
      <c r="AW659" s="122"/>
      <c r="AX659" s="30"/>
      <c r="AY659" s="30"/>
      <c r="AZ659" s="30"/>
      <c r="BA659" s="30"/>
      <c r="BB659" s="26"/>
      <c r="BC659" s="26"/>
      <c r="BD659" s="26"/>
      <c r="BE659" s="26"/>
      <c r="BF659" s="26"/>
    </row>
    <row r="660" spans="1:58" ht="15.75" customHeight="1">
      <c r="A660" s="67"/>
      <c r="B660" s="67"/>
      <c r="C660" s="67"/>
      <c r="D660" s="68"/>
      <c r="E660" s="68"/>
      <c r="F660" s="68"/>
      <c r="G660" s="68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30"/>
      <c r="AO660" s="25"/>
      <c r="AP660" s="120"/>
      <c r="AQ660" s="120"/>
      <c r="AR660" s="121"/>
      <c r="AS660" s="96"/>
      <c r="AT660" s="122"/>
      <c r="AU660" s="96"/>
      <c r="AV660" s="122"/>
      <c r="AW660" s="122"/>
      <c r="AX660" s="30"/>
      <c r="AY660" s="30"/>
      <c r="AZ660" s="30"/>
      <c r="BA660" s="30"/>
      <c r="BB660" s="26"/>
      <c r="BC660" s="26"/>
      <c r="BD660" s="26"/>
      <c r="BE660" s="26"/>
      <c r="BF660" s="26"/>
    </row>
    <row r="661" spans="1:58" ht="15.75" customHeight="1">
      <c r="A661" s="67"/>
      <c r="B661" s="67"/>
      <c r="C661" s="67"/>
      <c r="D661" s="68"/>
      <c r="E661" s="68"/>
      <c r="F661" s="68"/>
      <c r="G661" s="68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30"/>
      <c r="AO661" s="25"/>
      <c r="AP661" s="120"/>
      <c r="AQ661" s="120"/>
      <c r="AR661" s="121"/>
      <c r="AS661" s="96"/>
      <c r="AT661" s="122"/>
      <c r="AU661" s="96"/>
      <c r="AV661" s="122"/>
      <c r="AW661" s="122"/>
      <c r="AX661" s="30"/>
      <c r="AY661" s="30"/>
      <c r="AZ661" s="30"/>
      <c r="BA661" s="30"/>
      <c r="BB661" s="26"/>
      <c r="BC661" s="26"/>
      <c r="BD661" s="26"/>
      <c r="BE661" s="26"/>
      <c r="BF661" s="26"/>
    </row>
    <row r="662" spans="1:58" ht="15.75" customHeight="1">
      <c r="A662" s="67"/>
      <c r="B662" s="67"/>
      <c r="C662" s="67"/>
      <c r="D662" s="68"/>
      <c r="E662" s="68"/>
      <c r="F662" s="68"/>
      <c r="G662" s="68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30"/>
      <c r="AO662" s="25"/>
      <c r="AP662" s="120"/>
      <c r="AQ662" s="120"/>
      <c r="AR662" s="121"/>
      <c r="AS662" s="96"/>
      <c r="AT662" s="122"/>
      <c r="AU662" s="96"/>
      <c r="AV662" s="122"/>
      <c r="AW662" s="122"/>
      <c r="AX662" s="30"/>
      <c r="AY662" s="30"/>
      <c r="AZ662" s="30"/>
      <c r="BA662" s="30"/>
      <c r="BB662" s="26"/>
      <c r="BC662" s="26"/>
      <c r="BD662" s="26"/>
      <c r="BE662" s="26"/>
      <c r="BF662" s="26"/>
    </row>
    <row r="663" spans="1:58" ht="15.75" customHeight="1">
      <c r="A663" s="67"/>
      <c r="B663" s="67"/>
      <c r="C663" s="67"/>
      <c r="D663" s="68"/>
      <c r="E663" s="68"/>
      <c r="F663" s="68"/>
      <c r="G663" s="68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30"/>
      <c r="AO663" s="25"/>
      <c r="AP663" s="120"/>
      <c r="AQ663" s="120"/>
      <c r="AR663" s="121"/>
      <c r="AS663" s="96"/>
      <c r="AT663" s="122"/>
      <c r="AU663" s="96"/>
      <c r="AV663" s="122"/>
      <c r="AW663" s="122"/>
      <c r="AX663" s="30"/>
      <c r="AY663" s="30"/>
      <c r="AZ663" s="30"/>
      <c r="BA663" s="30"/>
      <c r="BB663" s="26"/>
      <c r="BC663" s="26"/>
      <c r="BD663" s="26"/>
      <c r="BE663" s="26"/>
      <c r="BF663" s="26"/>
    </row>
    <row r="664" spans="1:58" ht="15.75" customHeight="1">
      <c r="A664" s="67"/>
      <c r="B664" s="67"/>
      <c r="C664" s="67"/>
      <c r="D664" s="68"/>
      <c r="E664" s="68"/>
      <c r="F664" s="68"/>
      <c r="G664" s="68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30"/>
      <c r="AO664" s="25"/>
      <c r="AP664" s="120"/>
      <c r="AQ664" s="120"/>
      <c r="AR664" s="121"/>
      <c r="AS664" s="96"/>
      <c r="AT664" s="122"/>
      <c r="AU664" s="96"/>
      <c r="AV664" s="122"/>
      <c r="AW664" s="122"/>
      <c r="AX664" s="30"/>
      <c r="AY664" s="30"/>
      <c r="AZ664" s="30"/>
      <c r="BA664" s="30"/>
      <c r="BB664" s="26"/>
      <c r="BC664" s="26"/>
      <c r="BD664" s="26"/>
      <c r="BE664" s="26"/>
      <c r="BF664" s="26"/>
    </row>
    <row r="665" spans="1:58" ht="15.75" customHeight="1">
      <c r="A665" s="67"/>
      <c r="B665" s="67"/>
      <c r="C665" s="67"/>
      <c r="D665" s="68"/>
      <c r="E665" s="68"/>
      <c r="F665" s="68"/>
      <c r="G665" s="68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30"/>
      <c r="AO665" s="25"/>
      <c r="AP665" s="120"/>
      <c r="AQ665" s="120"/>
      <c r="AR665" s="121"/>
      <c r="AS665" s="96"/>
      <c r="AT665" s="122"/>
      <c r="AU665" s="96"/>
      <c r="AV665" s="122"/>
      <c r="AW665" s="122"/>
      <c r="AX665" s="30"/>
      <c r="AY665" s="30"/>
      <c r="AZ665" s="30"/>
      <c r="BA665" s="30"/>
      <c r="BB665" s="26"/>
      <c r="BC665" s="26"/>
      <c r="BD665" s="26"/>
      <c r="BE665" s="26"/>
      <c r="BF665" s="26"/>
    </row>
    <row r="666" spans="1:58" ht="15.75" customHeight="1">
      <c r="A666" s="67"/>
      <c r="B666" s="67"/>
      <c r="C666" s="67"/>
      <c r="D666" s="68"/>
      <c r="E666" s="68"/>
      <c r="F666" s="68"/>
      <c r="G666" s="68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30"/>
      <c r="AO666" s="25"/>
      <c r="AP666" s="120"/>
      <c r="AQ666" s="120"/>
      <c r="AR666" s="121"/>
      <c r="AS666" s="96"/>
      <c r="AT666" s="122"/>
      <c r="AU666" s="96"/>
      <c r="AV666" s="122"/>
      <c r="AW666" s="122"/>
      <c r="AX666" s="30"/>
      <c r="AY666" s="30"/>
      <c r="AZ666" s="30"/>
      <c r="BA666" s="30"/>
      <c r="BB666" s="26"/>
      <c r="BC666" s="26"/>
      <c r="BD666" s="26"/>
      <c r="BE666" s="26"/>
      <c r="BF666" s="26"/>
    </row>
    <row r="667" spans="1:58" ht="15.75" customHeight="1">
      <c r="A667" s="67"/>
      <c r="B667" s="67"/>
      <c r="C667" s="67"/>
      <c r="D667" s="68"/>
      <c r="E667" s="68"/>
      <c r="F667" s="68"/>
      <c r="G667" s="68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30"/>
      <c r="AO667" s="25"/>
      <c r="AP667" s="120"/>
      <c r="AQ667" s="120"/>
      <c r="AR667" s="121"/>
      <c r="AS667" s="96"/>
      <c r="AT667" s="122"/>
      <c r="AU667" s="96"/>
      <c r="AV667" s="122"/>
      <c r="AW667" s="122"/>
      <c r="AX667" s="30"/>
      <c r="AY667" s="30"/>
      <c r="AZ667" s="30"/>
      <c r="BA667" s="30"/>
      <c r="BB667" s="26"/>
      <c r="BC667" s="26"/>
      <c r="BD667" s="26"/>
      <c r="BE667" s="26"/>
      <c r="BF667" s="26"/>
    </row>
    <row r="668" spans="1:58" ht="15.75" customHeight="1">
      <c r="A668" s="67"/>
      <c r="B668" s="67"/>
      <c r="C668" s="67"/>
      <c r="D668" s="68"/>
      <c r="E668" s="68"/>
      <c r="F668" s="68"/>
      <c r="G668" s="68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30"/>
      <c r="AO668" s="25"/>
      <c r="AP668" s="120"/>
      <c r="AQ668" s="120"/>
      <c r="AR668" s="121"/>
      <c r="AS668" s="96"/>
      <c r="AT668" s="122"/>
      <c r="AU668" s="96"/>
      <c r="AV668" s="122"/>
      <c r="AW668" s="122"/>
      <c r="AX668" s="30"/>
      <c r="AY668" s="30"/>
      <c r="AZ668" s="30"/>
      <c r="BA668" s="30"/>
      <c r="BB668" s="26"/>
      <c r="BC668" s="26"/>
      <c r="BD668" s="26"/>
      <c r="BE668" s="26"/>
      <c r="BF668" s="26"/>
    </row>
    <row r="669" spans="1:58" ht="15.75" customHeight="1">
      <c r="A669" s="67"/>
      <c r="B669" s="67"/>
      <c r="C669" s="67"/>
      <c r="D669" s="68"/>
      <c r="E669" s="68"/>
      <c r="F669" s="68"/>
      <c r="G669" s="68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30"/>
      <c r="AO669" s="25"/>
      <c r="AP669" s="120"/>
      <c r="AQ669" s="120"/>
      <c r="AR669" s="121"/>
      <c r="AS669" s="96"/>
      <c r="AT669" s="122"/>
      <c r="AU669" s="96"/>
      <c r="AV669" s="122"/>
      <c r="AW669" s="122"/>
      <c r="AX669" s="30"/>
      <c r="AY669" s="30"/>
      <c r="AZ669" s="30"/>
      <c r="BA669" s="30"/>
      <c r="BB669" s="26"/>
      <c r="BC669" s="26"/>
      <c r="BD669" s="26"/>
      <c r="BE669" s="26"/>
      <c r="BF669" s="26"/>
    </row>
    <row r="670" spans="1:58" ht="15.75" customHeight="1">
      <c r="A670" s="67"/>
      <c r="B670" s="67"/>
      <c r="C670" s="67"/>
      <c r="D670" s="68"/>
      <c r="E670" s="68"/>
      <c r="F670" s="68"/>
      <c r="G670" s="68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30"/>
      <c r="AO670" s="25"/>
      <c r="AP670" s="120"/>
      <c r="AQ670" s="120"/>
      <c r="AR670" s="121"/>
      <c r="AS670" s="96"/>
      <c r="AT670" s="122"/>
      <c r="AU670" s="96"/>
      <c r="AV670" s="122"/>
      <c r="AW670" s="122"/>
      <c r="AX670" s="30"/>
      <c r="AY670" s="30"/>
      <c r="AZ670" s="30"/>
      <c r="BA670" s="30"/>
      <c r="BB670" s="26"/>
      <c r="BC670" s="26"/>
      <c r="BD670" s="26"/>
      <c r="BE670" s="26"/>
      <c r="BF670" s="26"/>
    </row>
    <row r="671" spans="1:58" ht="15.75" customHeight="1">
      <c r="A671" s="67"/>
      <c r="B671" s="67"/>
      <c r="C671" s="67"/>
      <c r="D671" s="68"/>
      <c r="E671" s="68"/>
      <c r="F671" s="68"/>
      <c r="G671" s="68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30"/>
      <c r="AO671" s="25"/>
      <c r="AP671" s="120"/>
      <c r="AQ671" s="120"/>
      <c r="AR671" s="121"/>
      <c r="AS671" s="96"/>
      <c r="AT671" s="122"/>
      <c r="AU671" s="96"/>
      <c r="AV671" s="122"/>
      <c r="AW671" s="122"/>
      <c r="AX671" s="30"/>
      <c r="AY671" s="30"/>
      <c r="AZ671" s="30"/>
      <c r="BA671" s="30"/>
      <c r="BB671" s="26"/>
      <c r="BC671" s="26"/>
      <c r="BD671" s="26"/>
      <c r="BE671" s="26"/>
      <c r="BF671" s="26"/>
    </row>
    <row r="672" spans="1:58" ht="15.75" customHeight="1">
      <c r="A672" s="67"/>
      <c r="B672" s="67"/>
      <c r="C672" s="67"/>
      <c r="D672" s="68"/>
      <c r="E672" s="68"/>
      <c r="F672" s="68"/>
      <c r="G672" s="68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30"/>
      <c r="AO672" s="25"/>
      <c r="AP672" s="120"/>
      <c r="AQ672" s="120"/>
      <c r="AR672" s="121"/>
      <c r="AS672" s="96"/>
      <c r="AT672" s="122"/>
      <c r="AU672" s="96"/>
      <c r="AV672" s="122"/>
      <c r="AW672" s="122"/>
      <c r="AX672" s="30"/>
      <c r="AY672" s="30"/>
      <c r="AZ672" s="30"/>
      <c r="BA672" s="30"/>
      <c r="BB672" s="26"/>
      <c r="BC672" s="26"/>
      <c r="BD672" s="26"/>
      <c r="BE672" s="26"/>
      <c r="BF672" s="26"/>
    </row>
    <row r="673" spans="1:58" ht="15.75" customHeight="1">
      <c r="A673" s="67"/>
      <c r="B673" s="67"/>
      <c r="C673" s="67"/>
      <c r="D673" s="68"/>
      <c r="E673" s="68"/>
      <c r="F673" s="68"/>
      <c r="G673" s="68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30"/>
      <c r="AO673" s="25"/>
      <c r="AP673" s="120"/>
      <c r="AQ673" s="120"/>
      <c r="AR673" s="121"/>
      <c r="AS673" s="96"/>
      <c r="AT673" s="122"/>
      <c r="AU673" s="96"/>
      <c r="AV673" s="122"/>
      <c r="AW673" s="122"/>
      <c r="AX673" s="30"/>
      <c r="AY673" s="30"/>
      <c r="AZ673" s="30"/>
      <c r="BA673" s="30"/>
      <c r="BB673" s="26"/>
      <c r="BC673" s="26"/>
      <c r="BD673" s="26"/>
      <c r="BE673" s="26"/>
      <c r="BF673" s="26"/>
    </row>
    <row r="674" spans="1:58" ht="15.75" customHeight="1">
      <c r="A674" s="67"/>
      <c r="B674" s="67"/>
      <c r="C674" s="67"/>
      <c r="D674" s="68"/>
      <c r="E674" s="68"/>
      <c r="F674" s="68"/>
      <c r="G674" s="68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30"/>
      <c r="AO674" s="25"/>
      <c r="AP674" s="120"/>
      <c r="AQ674" s="120"/>
      <c r="AR674" s="121"/>
      <c r="AS674" s="96"/>
      <c r="AT674" s="122"/>
      <c r="AU674" s="96"/>
      <c r="AV674" s="122"/>
      <c r="AW674" s="122"/>
      <c r="AX674" s="30"/>
      <c r="AY674" s="30"/>
      <c r="AZ674" s="30"/>
      <c r="BA674" s="30"/>
      <c r="BB674" s="26"/>
      <c r="BC674" s="26"/>
      <c r="BD674" s="26"/>
      <c r="BE674" s="26"/>
      <c r="BF674" s="26"/>
    </row>
    <row r="675" spans="1:58" ht="15.75" customHeight="1">
      <c r="A675" s="67"/>
      <c r="B675" s="67"/>
      <c r="C675" s="67"/>
      <c r="D675" s="68"/>
      <c r="E675" s="68"/>
      <c r="F675" s="68"/>
      <c r="G675" s="68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30"/>
      <c r="AO675" s="25"/>
      <c r="AP675" s="120"/>
      <c r="AQ675" s="120"/>
      <c r="AR675" s="121"/>
      <c r="AS675" s="96"/>
      <c r="AT675" s="122"/>
      <c r="AU675" s="96"/>
      <c r="AV675" s="122"/>
      <c r="AW675" s="122"/>
      <c r="AX675" s="30"/>
      <c r="AY675" s="30"/>
      <c r="AZ675" s="30"/>
      <c r="BA675" s="30"/>
      <c r="BB675" s="26"/>
      <c r="BC675" s="26"/>
      <c r="BD675" s="26"/>
      <c r="BE675" s="26"/>
      <c r="BF675" s="26"/>
    </row>
    <row r="676" spans="1:58" ht="15.75" customHeight="1">
      <c r="A676" s="67"/>
      <c r="B676" s="67"/>
      <c r="C676" s="67"/>
      <c r="D676" s="68"/>
      <c r="E676" s="68"/>
      <c r="F676" s="68"/>
      <c r="G676" s="68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30"/>
      <c r="AO676" s="25"/>
      <c r="AP676" s="120"/>
      <c r="AQ676" s="120"/>
      <c r="AR676" s="121"/>
      <c r="AS676" s="96"/>
      <c r="AT676" s="122"/>
      <c r="AU676" s="96"/>
      <c r="AV676" s="122"/>
      <c r="AW676" s="122"/>
      <c r="AX676" s="30"/>
      <c r="AY676" s="30"/>
      <c r="AZ676" s="30"/>
      <c r="BA676" s="30"/>
      <c r="BB676" s="26"/>
      <c r="BC676" s="26"/>
      <c r="BD676" s="26"/>
      <c r="BE676" s="26"/>
      <c r="BF676" s="26"/>
    </row>
    <row r="677" spans="1:58" ht="15.75" customHeight="1">
      <c r="A677" s="67"/>
      <c r="B677" s="67"/>
      <c r="C677" s="67"/>
      <c r="D677" s="68"/>
      <c r="E677" s="68"/>
      <c r="F677" s="68"/>
      <c r="G677" s="68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30"/>
      <c r="AO677" s="25"/>
      <c r="AP677" s="120"/>
      <c r="AQ677" s="120"/>
      <c r="AR677" s="121"/>
      <c r="AS677" s="96"/>
      <c r="AT677" s="122"/>
      <c r="AU677" s="96"/>
      <c r="AV677" s="122"/>
      <c r="AW677" s="122"/>
      <c r="AX677" s="30"/>
      <c r="AY677" s="30"/>
      <c r="AZ677" s="30"/>
      <c r="BA677" s="30"/>
      <c r="BB677" s="26"/>
      <c r="BC677" s="26"/>
      <c r="BD677" s="26"/>
      <c r="BE677" s="26"/>
      <c r="BF677" s="26"/>
    </row>
    <row r="678" spans="1:58" ht="15.75" customHeight="1">
      <c r="A678" s="67"/>
      <c r="B678" s="67"/>
      <c r="C678" s="67"/>
      <c r="D678" s="68"/>
      <c r="E678" s="68"/>
      <c r="F678" s="68"/>
      <c r="G678" s="68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30"/>
      <c r="AO678" s="25"/>
      <c r="AP678" s="120"/>
      <c r="AQ678" s="120"/>
      <c r="AR678" s="121"/>
      <c r="AS678" s="96"/>
      <c r="AT678" s="122"/>
      <c r="AU678" s="96"/>
      <c r="AV678" s="122"/>
      <c r="AW678" s="122"/>
      <c r="AX678" s="30"/>
      <c r="AY678" s="30"/>
      <c r="AZ678" s="30"/>
      <c r="BA678" s="30"/>
      <c r="BB678" s="26"/>
      <c r="BC678" s="26"/>
      <c r="BD678" s="26"/>
      <c r="BE678" s="26"/>
      <c r="BF678" s="26"/>
    </row>
    <row r="679" spans="1:58" ht="15.75" customHeight="1">
      <c r="A679" s="67"/>
      <c r="B679" s="67"/>
      <c r="C679" s="67"/>
      <c r="D679" s="68"/>
      <c r="E679" s="68"/>
      <c r="F679" s="68"/>
      <c r="G679" s="68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30"/>
      <c r="AO679" s="25"/>
      <c r="AP679" s="120"/>
      <c r="AQ679" s="120"/>
      <c r="AR679" s="121"/>
      <c r="AS679" s="96"/>
      <c r="AT679" s="122"/>
      <c r="AU679" s="96"/>
      <c r="AV679" s="122"/>
      <c r="AW679" s="122"/>
      <c r="AX679" s="30"/>
      <c r="AY679" s="30"/>
      <c r="AZ679" s="30"/>
      <c r="BA679" s="30"/>
      <c r="BB679" s="26"/>
      <c r="BC679" s="26"/>
      <c r="BD679" s="26"/>
      <c r="BE679" s="26"/>
      <c r="BF679" s="26"/>
    </row>
    <row r="680" spans="1:58" ht="15.75" customHeight="1">
      <c r="A680" s="67"/>
      <c r="B680" s="67"/>
      <c r="C680" s="67"/>
      <c r="D680" s="68"/>
      <c r="E680" s="68"/>
      <c r="F680" s="68"/>
      <c r="G680" s="68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30"/>
      <c r="AO680" s="25"/>
      <c r="AP680" s="120"/>
      <c r="AQ680" s="120"/>
      <c r="AR680" s="121"/>
      <c r="AS680" s="96"/>
      <c r="AT680" s="122"/>
      <c r="AU680" s="96"/>
      <c r="AV680" s="122"/>
      <c r="AW680" s="122"/>
      <c r="AX680" s="30"/>
      <c r="AY680" s="30"/>
      <c r="AZ680" s="30"/>
      <c r="BA680" s="30"/>
      <c r="BB680" s="26"/>
      <c r="BC680" s="26"/>
      <c r="BD680" s="26"/>
      <c r="BE680" s="26"/>
      <c r="BF680" s="26"/>
    </row>
    <row r="681" spans="1:58" ht="15.75" customHeight="1">
      <c r="A681" s="67"/>
      <c r="B681" s="67"/>
      <c r="C681" s="67"/>
      <c r="D681" s="68"/>
      <c r="E681" s="68"/>
      <c r="F681" s="68"/>
      <c r="G681" s="68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30"/>
      <c r="AO681" s="25"/>
      <c r="AP681" s="120"/>
      <c r="AQ681" s="120"/>
      <c r="AR681" s="121"/>
      <c r="AS681" s="96"/>
      <c r="AT681" s="122"/>
      <c r="AU681" s="96"/>
      <c r="AV681" s="122"/>
      <c r="AW681" s="122"/>
      <c r="AX681" s="30"/>
      <c r="AY681" s="30"/>
      <c r="AZ681" s="30"/>
      <c r="BA681" s="30"/>
      <c r="BB681" s="26"/>
      <c r="BC681" s="26"/>
      <c r="BD681" s="26"/>
      <c r="BE681" s="26"/>
      <c r="BF681" s="26"/>
    </row>
    <row r="682" spans="1:58" ht="15.75" customHeight="1">
      <c r="A682" s="67"/>
      <c r="B682" s="67"/>
      <c r="C682" s="67"/>
      <c r="D682" s="68"/>
      <c r="E682" s="68"/>
      <c r="F682" s="68"/>
      <c r="G682" s="68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30"/>
      <c r="AO682" s="25"/>
      <c r="AP682" s="120"/>
      <c r="AQ682" s="120"/>
      <c r="AR682" s="121"/>
      <c r="AS682" s="96"/>
      <c r="AT682" s="122"/>
      <c r="AU682" s="96"/>
      <c r="AV682" s="122"/>
      <c r="AW682" s="122"/>
      <c r="AX682" s="30"/>
      <c r="AY682" s="30"/>
      <c r="AZ682" s="30"/>
      <c r="BA682" s="30"/>
      <c r="BB682" s="26"/>
      <c r="BC682" s="26"/>
      <c r="BD682" s="26"/>
      <c r="BE682" s="26"/>
      <c r="BF682" s="26"/>
    </row>
    <row r="683" spans="1:58" ht="15.75" customHeight="1">
      <c r="A683" s="67"/>
      <c r="B683" s="67"/>
      <c r="C683" s="67"/>
      <c r="D683" s="68"/>
      <c r="E683" s="68"/>
      <c r="F683" s="68"/>
      <c r="G683" s="68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30"/>
      <c r="AO683" s="25"/>
      <c r="AP683" s="120"/>
      <c r="AQ683" s="120"/>
      <c r="AR683" s="121"/>
      <c r="AS683" s="96"/>
      <c r="AT683" s="122"/>
      <c r="AU683" s="96"/>
      <c r="AV683" s="122"/>
      <c r="AW683" s="122"/>
      <c r="AX683" s="30"/>
      <c r="AY683" s="30"/>
      <c r="AZ683" s="30"/>
      <c r="BA683" s="30"/>
      <c r="BB683" s="26"/>
      <c r="BC683" s="26"/>
      <c r="BD683" s="26"/>
      <c r="BE683" s="26"/>
      <c r="BF683" s="26"/>
    </row>
    <row r="684" spans="1:58" ht="15.75" customHeight="1">
      <c r="A684" s="67"/>
      <c r="B684" s="67"/>
      <c r="C684" s="67"/>
      <c r="D684" s="68"/>
      <c r="E684" s="68"/>
      <c r="F684" s="68"/>
      <c r="G684" s="68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30"/>
      <c r="AO684" s="25"/>
      <c r="AP684" s="120"/>
      <c r="AQ684" s="120"/>
      <c r="AR684" s="121"/>
      <c r="AS684" s="96"/>
      <c r="AT684" s="122"/>
      <c r="AU684" s="96"/>
      <c r="AV684" s="122"/>
      <c r="AW684" s="122"/>
      <c r="AX684" s="30"/>
      <c r="AY684" s="30"/>
      <c r="AZ684" s="30"/>
      <c r="BA684" s="30"/>
      <c r="BB684" s="26"/>
      <c r="BC684" s="26"/>
      <c r="BD684" s="26"/>
      <c r="BE684" s="26"/>
      <c r="BF684" s="26"/>
    </row>
    <row r="685" spans="1:58" ht="15.75" customHeight="1">
      <c r="A685" s="67"/>
      <c r="B685" s="67"/>
      <c r="C685" s="67"/>
      <c r="D685" s="68"/>
      <c r="E685" s="68"/>
      <c r="F685" s="68"/>
      <c r="G685" s="68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30"/>
      <c r="AO685" s="25"/>
      <c r="AP685" s="120"/>
      <c r="AQ685" s="120"/>
      <c r="AR685" s="121"/>
      <c r="AS685" s="96"/>
      <c r="AT685" s="122"/>
      <c r="AU685" s="96"/>
      <c r="AV685" s="122"/>
      <c r="AW685" s="122"/>
      <c r="AX685" s="30"/>
      <c r="AY685" s="30"/>
      <c r="AZ685" s="30"/>
      <c r="BA685" s="30"/>
      <c r="BB685" s="26"/>
      <c r="BC685" s="26"/>
      <c r="BD685" s="26"/>
      <c r="BE685" s="26"/>
      <c r="BF685" s="26"/>
    </row>
    <row r="686" spans="1:58" ht="15.75" customHeight="1">
      <c r="A686" s="67"/>
      <c r="B686" s="67"/>
      <c r="C686" s="67"/>
      <c r="D686" s="68"/>
      <c r="E686" s="68"/>
      <c r="F686" s="68"/>
      <c r="G686" s="68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30"/>
      <c r="AO686" s="25"/>
      <c r="AP686" s="120"/>
      <c r="AQ686" s="120"/>
      <c r="AR686" s="121"/>
      <c r="AS686" s="96"/>
      <c r="AT686" s="122"/>
      <c r="AU686" s="96"/>
      <c r="AV686" s="122"/>
      <c r="AW686" s="122"/>
      <c r="AX686" s="30"/>
      <c r="AY686" s="30"/>
      <c r="AZ686" s="30"/>
      <c r="BA686" s="30"/>
      <c r="BB686" s="26"/>
      <c r="BC686" s="26"/>
      <c r="BD686" s="26"/>
      <c r="BE686" s="26"/>
      <c r="BF686" s="26"/>
    </row>
    <row r="687" spans="1:58" ht="15.75" customHeight="1">
      <c r="A687" s="67"/>
      <c r="B687" s="67"/>
      <c r="C687" s="67"/>
      <c r="D687" s="68"/>
      <c r="E687" s="68"/>
      <c r="F687" s="68"/>
      <c r="G687" s="68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30"/>
      <c r="AO687" s="25"/>
      <c r="AP687" s="120"/>
      <c r="AQ687" s="120"/>
      <c r="AR687" s="121"/>
      <c r="AS687" s="96"/>
      <c r="AT687" s="122"/>
      <c r="AU687" s="96"/>
      <c r="AV687" s="122"/>
      <c r="AW687" s="122"/>
      <c r="AX687" s="30"/>
      <c r="AY687" s="30"/>
      <c r="AZ687" s="30"/>
      <c r="BA687" s="30"/>
      <c r="BB687" s="26"/>
      <c r="BC687" s="26"/>
      <c r="BD687" s="26"/>
      <c r="BE687" s="26"/>
      <c r="BF687" s="26"/>
    </row>
    <row r="688" spans="1:58" ht="15.75" customHeight="1">
      <c r="A688" s="67"/>
      <c r="B688" s="67"/>
      <c r="C688" s="67"/>
      <c r="D688" s="68"/>
      <c r="E688" s="68"/>
      <c r="F688" s="68"/>
      <c r="G688" s="68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30"/>
      <c r="AO688" s="25"/>
      <c r="AP688" s="120"/>
      <c r="AQ688" s="120"/>
      <c r="AR688" s="121"/>
      <c r="AS688" s="96"/>
      <c r="AT688" s="122"/>
      <c r="AU688" s="96"/>
      <c r="AV688" s="122"/>
      <c r="AW688" s="122"/>
      <c r="AX688" s="30"/>
      <c r="AY688" s="30"/>
      <c r="AZ688" s="30"/>
      <c r="BA688" s="30"/>
      <c r="BB688" s="26"/>
      <c r="BC688" s="26"/>
      <c r="BD688" s="26"/>
      <c r="BE688" s="26"/>
      <c r="BF688" s="26"/>
    </row>
    <row r="689" spans="1:58" ht="15.75" customHeight="1">
      <c r="A689" s="67"/>
      <c r="B689" s="67"/>
      <c r="C689" s="67"/>
      <c r="D689" s="68"/>
      <c r="E689" s="68"/>
      <c r="F689" s="68"/>
      <c r="G689" s="68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30"/>
      <c r="AO689" s="25"/>
      <c r="AP689" s="120"/>
      <c r="AQ689" s="120"/>
      <c r="AR689" s="121"/>
      <c r="AS689" s="96"/>
      <c r="AT689" s="122"/>
      <c r="AU689" s="96"/>
      <c r="AV689" s="122"/>
      <c r="AW689" s="122"/>
      <c r="AX689" s="30"/>
      <c r="AY689" s="30"/>
      <c r="AZ689" s="30"/>
      <c r="BA689" s="30"/>
      <c r="BB689" s="26"/>
      <c r="BC689" s="26"/>
      <c r="BD689" s="26"/>
      <c r="BE689" s="26"/>
      <c r="BF689" s="26"/>
    </row>
    <row r="690" spans="1:58" ht="15.75" customHeight="1">
      <c r="A690" s="67"/>
      <c r="B690" s="67"/>
      <c r="C690" s="67"/>
      <c r="D690" s="68"/>
      <c r="E690" s="68"/>
      <c r="F690" s="68"/>
      <c r="G690" s="68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30"/>
      <c r="AO690" s="25"/>
      <c r="AP690" s="120"/>
      <c r="AQ690" s="120"/>
      <c r="AR690" s="121"/>
      <c r="AS690" s="96"/>
      <c r="AT690" s="122"/>
      <c r="AU690" s="96"/>
      <c r="AV690" s="122"/>
      <c r="AW690" s="122"/>
      <c r="AX690" s="30"/>
      <c r="AY690" s="30"/>
      <c r="AZ690" s="30"/>
      <c r="BA690" s="30"/>
      <c r="BB690" s="26"/>
      <c r="BC690" s="26"/>
      <c r="BD690" s="26"/>
      <c r="BE690" s="26"/>
      <c r="BF690" s="26"/>
    </row>
    <row r="691" spans="1:58" ht="15.75" customHeight="1">
      <c r="A691" s="67"/>
      <c r="B691" s="67"/>
      <c r="C691" s="67"/>
      <c r="D691" s="68"/>
      <c r="E691" s="68"/>
      <c r="F691" s="68"/>
      <c r="G691" s="68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30"/>
      <c r="AO691" s="25"/>
      <c r="AP691" s="120"/>
      <c r="AQ691" s="120"/>
      <c r="AR691" s="121"/>
      <c r="AS691" s="96"/>
      <c r="AT691" s="122"/>
      <c r="AU691" s="96"/>
      <c r="AV691" s="122"/>
      <c r="AW691" s="122"/>
      <c r="AX691" s="30"/>
      <c r="AY691" s="30"/>
      <c r="AZ691" s="30"/>
      <c r="BA691" s="30"/>
      <c r="BB691" s="26"/>
      <c r="BC691" s="26"/>
      <c r="BD691" s="26"/>
      <c r="BE691" s="26"/>
      <c r="BF691" s="26"/>
    </row>
    <row r="692" spans="1:58" ht="15.75" customHeight="1">
      <c r="A692" s="67"/>
      <c r="B692" s="67"/>
      <c r="C692" s="67"/>
      <c r="D692" s="68"/>
      <c r="E692" s="68"/>
      <c r="F692" s="68"/>
      <c r="G692" s="68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30"/>
      <c r="AO692" s="25"/>
      <c r="AP692" s="120"/>
      <c r="AQ692" s="120"/>
      <c r="AR692" s="121"/>
      <c r="AS692" s="96"/>
      <c r="AT692" s="122"/>
      <c r="AU692" s="96"/>
      <c r="AV692" s="122"/>
      <c r="AW692" s="122"/>
      <c r="AX692" s="30"/>
      <c r="AY692" s="30"/>
      <c r="AZ692" s="30"/>
      <c r="BA692" s="30"/>
      <c r="BB692" s="26"/>
      <c r="BC692" s="26"/>
      <c r="BD692" s="26"/>
      <c r="BE692" s="26"/>
      <c r="BF692" s="26"/>
    </row>
    <row r="693" spans="1:58" ht="15.75" customHeight="1">
      <c r="A693" s="67"/>
      <c r="B693" s="67"/>
      <c r="C693" s="67"/>
      <c r="D693" s="68"/>
      <c r="E693" s="68"/>
      <c r="F693" s="68"/>
      <c r="G693" s="68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30"/>
      <c r="AO693" s="25"/>
      <c r="AP693" s="120"/>
      <c r="AQ693" s="120"/>
      <c r="AR693" s="121"/>
      <c r="AS693" s="96"/>
      <c r="AT693" s="122"/>
      <c r="AU693" s="96"/>
      <c r="AV693" s="122"/>
      <c r="AW693" s="122"/>
      <c r="AX693" s="30"/>
      <c r="AY693" s="30"/>
      <c r="AZ693" s="30"/>
      <c r="BA693" s="30"/>
      <c r="BB693" s="26"/>
      <c r="BC693" s="26"/>
      <c r="BD693" s="26"/>
      <c r="BE693" s="26"/>
      <c r="BF693" s="26"/>
    </row>
    <row r="694" spans="1:58" ht="15.75" customHeight="1">
      <c r="A694" s="67"/>
      <c r="B694" s="67"/>
      <c r="C694" s="67"/>
      <c r="D694" s="68"/>
      <c r="E694" s="68"/>
      <c r="F694" s="68"/>
      <c r="G694" s="68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30"/>
      <c r="AO694" s="25"/>
      <c r="AP694" s="120"/>
      <c r="AQ694" s="120"/>
      <c r="AR694" s="121"/>
      <c r="AS694" s="96"/>
      <c r="AT694" s="122"/>
      <c r="AU694" s="96"/>
      <c r="AV694" s="122"/>
      <c r="AW694" s="122"/>
      <c r="AX694" s="30"/>
      <c r="AY694" s="30"/>
      <c r="AZ694" s="30"/>
      <c r="BA694" s="30"/>
      <c r="BB694" s="26"/>
      <c r="BC694" s="26"/>
      <c r="BD694" s="26"/>
      <c r="BE694" s="26"/>
      <c r="BF694" s="26"/>
    </row>
    <row r="695" spans="1:58" ht="15.75" customHeight="1">
      <c r="A695" s="67"/>
      <c r="B695" s="67"/>
      <c r="C695" s="67"/>
      <c r="D695" s="68"/>
      <c r="E695" s="68"/>
      <c r="F695" s="68"/>
      <c r="G695" s="68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30"/>
      <c r="AO695" s="25"/>
      <c r="AP695" s="120"/>
      <c r="AQ695" s="120"/>
      <c r="AR695" s="121"/>
      <c r="AS695" s="96"/>
      <c r="AT695" s="122"/>
      <c r="AU695" s="96"/>
      <c r="AV695" s="122"/>
      <c r="AW695" s="122"/>
      <c r="AX695" s="30"/>
      <c r="AY695" s="30"/>
      <c r="AZ695" s="30"/>
      <c r="BA695" s="30"/>
      <c r="BB695" s="26"/>
      <c r="BC695" s="26"/>
      <c r="BD695" s="26"/>
      <c r="BE695" s="26"/>
      <c r="BF695" s="26"/>
    </row>
    <row r="696" spans="1:58" ht="15.75" customHeight="1">
      <c r="A696" s="67"/>
      <c r="B696" s="67"/>
      <c r="C696" s="67"/>
      <c r="D696" s="68"/>
      <c r="E696" s="68"/>
      <c r="F696" s="68"/>
      <c r="G696" s="68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30"/>
      <c r="AO696" s="25"/>
      <c r="AP696" s="120"/>
      <c r="AQ696" s="120"/>
      <c r="AR696" s="121"/>
      <c r="AS696" s="96"/>
      <c r="AT696" s="122"/>
      <c r="AU696" s="96"/>
      <c r="AV696" s="122"/>
      <c r="AW696" s="122"/>
      <c r="AX696" s="30"/>
      <c r="AY696" s="30"/>
      <c r="AZ696" s="30"/>
      <c r="BA696" s="30"/>
      <c r="BB696" s="26"/>
      <c r="BC696" s="26"/>
      <c r="BD696" s="26"/>
      <c r="BE696" s="26"/>
      <c r="BF696" s="26"/>
    </row>
    <row r="697" spans="1:58" ht="15.75" customHeight="1">
      <c r="A697" s="67"/>
      <c r="B697" s="67"/>
      <c r="C697" s="67"/>
      <c r="D697" s="68"/>
      <c r="E697" s="68"/>
      <c r="F697" s="68"/>
      <c r="G697" s="68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30"/>
      <c r="AO697" s="25"/>
      <c r="AP697" s="120"/>
      <c r="AQ697" s="120"/>
      <c r="AR697" s="121"/>
      <c r="AS697" s="96"/>
      <c r="AT697" s="122"/>
      <c r="AU697" s="96"/>
      <c r="AV697" s="122"/>
      <c r="AW697" s="122"/>
      <c r="AX697" s="30"/>
      <c r="AY697" s="30"/>
      <c r="AZ697" s="30"/>
      <c r="BA697" s="30"/>
      <c r="BB697" s="26"/>
      <c r="BC697" s="26"/>
      <c r="BD697" s="26"/>
      <c r="BE697" s="26"/>
      <c r="BF697" s="26"/>
    </row>
    <row r="698" spans="1:58" ht="15.75" customHeight="1">
      <c r="A698" s="67"/>
      <c r="B698" s="67"/>
      <c r="C698" s="67"/>
      <c r="D698" s="68"/>
      <c r="E698" s="68"/>
      <c r="F698" s="68"/>
      <c r="G698" s="68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30"/>
      <c r="AO698" s="25"/>
      <c r="AP698" s="120"/>
      <c r="AQ698" s="120"/>
      <c r="AR698" s="121"/>
      <c r="AS698" s="96"/>
      <c r="AT698" s="122"/>
      <c r="AU698" s="96"/>
      <c r="AV698" s="122"/>
      <c r="AW698" s="122"/>
      <c r="AX698" s="30"/>
      <c r="AY698" s="30"/>
      <c r="AZ698" s="30"/>
      <c r="BA698" s="30"/>
      <c r="BB698" s="26"/>
      <c r="BC698" s="26"/>
      <c r="BD698" s="26"/>
      <c r="BE698" s="26"/>
      <c r="BF698" s="26"/>
    </row>
    <row r="699" spans="1:58" ht="15.75" customHeight="1">
      <c r="A699" s="67"/>
      <c r="B699" s="67"/>
      <c r="C699" s="67"/>
      <c r="D699" s="68"/>
      <c r="E699" s="68"/>
      <c r="F699" s="68"/>
      <c r="G699" s="68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30"/>
      <c r="AO699" s="25"/>
      <c r="AP699" s="120"/>
      <c r="AQ699" s="120"/>
      <c r="AR699" s="121"/>
      <c r="AS699" s="96"/>
      <c r="AT699" s="122"/>
      <c r="AU699" s="96"/>
      <c r="AV699" s="122"/>
      <c r="AW699" s="122"/>
      <c r="AX699" s="30"/>
      <c r="AY699" s="30"/>
      <c r="AZ699" s="30"/>
      <c r="BA699" s="30"/>
      <c r="BB699" s="26"/>
      <c r="BC699" s="26"/>
      <c r="BD699" s="26"/>
      <c r="BE699" s="26"/>
      <c r="BF699" s="26"/>
    </row>
    <row r="700" spans="1:58" ht="15.75" customHeight="1">
      <c r="A700" s="67"/>
      <c r="B700" s="67"/>
      <c r="C700" s="67"/>
      <c r="D700" s="68"/>
      <c r="E700" s="68"/>
      <c r="F700" s="68"/>
      <c r="G700" s="68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30"/>
      <c r="AO700" s="25"/>
      <c r="AP700" s="120"/>
      <c r="AQ700" s="120"/>
      <c r="AR700" s="121"/>
      <c r="AS700" s="96"/>
      <c r="AT700" s="122"/>
      <c r="AU700" s="96"/>
      <c r="AV700" s="122"/>
      <c r="AW700" s="122"/>
      <c r="AX700" s="30"/>
      <c r="AY700" s="30"/>
      <c r="AZ700" s="30"/>
      <c r="BA700" s="30"/>
      <c r="BB700" s="26"/>
      <c r="BC700" s="26"/>
      <c r="BD700" s="26"/>
      <c r="BE700" s="26"/>
      <c r="BF700" s="26"/>
    </row>
    <row r="701" spans="1:58" ht="15.75" customHeight="1">
      <c r="A701" s="67"/>
      <c r="B701" s="67"/>
      <c r="C701" s="67"/>
      <c r="D701" s="68"/>
      <c r="E701" s="68"/>
      <c r="F701" s="68"/>
      <c r="G701" s="68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30"/>
      <c r="AO701" s="25"/>
      <c r="AP701" s="120"/>
      <c r="AQ701" s="120"/>
      <c r="AR701" s="121"/>
      <c r="AS701" s="96"/>
      <c r="AT701" s="122"/>
      <c r="AU701" s="96"/>
      <c r="AV701" s="122"/>
      <c r="AW701" s="122"/>
      <c r="AX701" s="30"/>
      <c r="AY701" s="30"/>
      <c r="AZ701" s="30"/>
      <c r="BA701" s="30"/>
      <c r="BB701" s="26"/>
      <c r="BC701" s="26"/>
      <c r="BD701" s="26"/>
      <c r="BE701" s="26"/>
      <c r="BF701" s="26"/>
    </row>
    <row r="702" spans="1:58" ht="15.75" customHeight="1">
      <c r="A702" s="67"/>
      <c r="B702" s="67"/>
      <c r="C702" s="67"/>
      <c r="D702" s="68"/>
      <c r="E702" s="68"/>
      <c r="F702" s="68"/>
      <c r="G702" s="68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30"/>
      <c r="AO702" s="25"/>
      <c r="AP702" s="120"/>
      <c r="AQ702" s="120"/>
      <c r="AR702" s="121"/>
      <c r="AS702" s="96"/>
      <c r="AT702" s="122"/>
      <c r="AU702" s="96"/>
      <c r="AV702" s="122"/>
      <c r="AW702" s="122"/>
      <c r="AX702" s="30"/>
      <c r="AY702" s="30"/>
      <c r="AZ702" s="30"/>
      <c r="BA702" s="30"/>
      <c r="BB702" s="26"/>
      <c r="BC702" s="26"/>
      <c r="BD702" s="26"/>
      <c r="BE702" s="26"/>
      <c r="BF702" s="26"/>
    </row>
    <row r="703" spans="1:58" ht="15.75" customHeight="1">
      <c r="A703" s="67"/>
      <c r="B703" s="67"/>
      <c r="C703" s="67"/>
      <c r="D703" s="68"/>
      <c r="E703" s="68"/>
      <c r="F703" s="68"/>
      <c r="G703" s="68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30"/>
      <c r="AO703" s="25"/>
      <c r="AP703" s="120"/>
      <c r="AQ703" s="120"/>
      <c r="AR703" s="121"/>
      <c r="AS703" s="96"/>
      <c r="AT703" s="122"/>
      <c r="AU703" s="96"/>
      <c r="AV703" s="122"/>
      <c r="AW703" s="122"/>
      <c r="AX703" s="30"/>
      <c r="AY703" s="30"/>
      <c r="AZ703" s="30"/>
      <c r="BA703" s="30"/>
      <c r="BB703" s="26"/>
      <c r="BC703" s="26"/>
      <c r="BD703" s="26"/>
      <c r="BE703" s="26"/>
      <c r="BF703" s="26"/>
    </row>
    <row r="704" spans="1:58" ht="15.75" customHeight="1">
      <c r="A704" s="67"/>
      <c r="B704" s="67"/>
      <c r="C704" s="67"/>
      <c r="D704" s="68"/>
      <c r="E704" s="68"/>
      <c r="F704" s="68"/>
      <c r="G704" s="68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30"/>
      <c r="AO704" s="25"/>
      <c r="AP704" s="120"/>
      <c r="AQ704" s="120"/>
      <c r="AR704" s="121"/>
      <c r="AS704" s="96"/>
      <c r="AT704" s="122"/>
      <c r="AU704" s="96"/>
      <c r="AV704" s="122"/>
      <c r="AW704" s="122"/>
      <c r="AX704" s="30"/>
      <c r="AY704" s="30"/>
      <c r="AZ704" s="30"/>
      <c r="BA704" s="30"/>
      <c r="BB704" s="26"/>
      <c r="BC704" s="26"/>
      <c r="BD704" s="26"/>
      <c r="BE704" s="26"/>
      <c r="BF704" s="26"/>
    </row>
    <row r="705" spans="1:58" ht="15.75" customHeight="1">
      <c r="A705" s="67"/>
      <c r="B705" s="67"/>
      <c r="C705" s="67"/>
      <c r="D705" s="68"/>
      <c r="E705" s="68"/>
      <c r="F705" s="68"/>
      <c r="G705" s="68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30"/>
      <c r="AO705" s="25"/>
      <c r="AP705" s="120"/>
      <c r="AQ705" s="120"/>
      <c r="AR705" s="121"/>
      <c r="AS705" s="96"/>
      <c r="AT705" s="122"/>
      <c r="AU705" s="96"/>
      <c r="AV705" s="122"/>
      <c r="AW705" s="122"/>
      <c r="AX705" s="30"/>
      <c r="AY705" s="30"/>
      <c r="AZ705" s="30"/>
      <c r="BA705" s="30"/>
      <c r="BB705" s="26"/>
      <c r="BC705" s="26"/>
      <c r="BD705" s="26"/>
      <c r="BE705" s="26"/>
      <c r="BF705" s="26"/>
    </row>
    <row r="706" spans="1:58" ht="15.75" customHeight="1">
      <c r="A706" s="67"/>
      <c r="B706" s="67"/>
      <c r="C706" s="67"/>
      <c r="D706" s="68"/>
      <c r="E706" s="68"/>
      <c r="F706" s="68"/>
      <c r="G706" s="68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30"/>
      <c r="AO706" s="25"/>
      <c r="AP706" s="120"/>
      <c r="AQ706" s="120"/>
      <c r="AR706" s="121"/>
      <c r="AS706" s="96"/>
      <c r="AT706" s="122"/>
      <c r="AU706" s="96"/>
      <c r="AV706" s="122"/>
      <c r="AW706" s="122"/>
      <c r="AX706" s="30"/>
      <c r="AY706" s="30"/>
      <c r="AZ706" s="30"/>
      <c r="BA706" s="30"/>
      <c r="BB706" s="26"/>
      <c r="BC706" s="26"/>
      <c r="BD706" s="26"/>
      <c r="BE706" s="26"/>
      <c r="BF706" s="26"/>
    </row>
    <row r="707" spans="1:58" ht="15.75" customHeight="1">
      <c r="A707" s="67"/>
      <c r="B707" s="67"/>
      <c r="C707" s="67"/>
      <c r="D707" s="68"/>
      <c r="E707" s="68"/>
      <c r="F707" s="68"/>
      <c r="G707" s="68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30"/>
      <c r="AO707" s="25"/>
      <c r="AP707" s="120"/>
      <c r="AQ707" s="120"/>
      <c r="AR707" s="121"/>
      <c r="AS707" s="96"/>
      <c r="AT707" s="122"/>
      <c r="AU707" s="96"/>
      <c r="AV707" s="122"/>
      <c r="AW707" s="122"/>
      <c r="AX707" s="30"/>
      <c r="AY707" s="30"/>
      <c r="AZ707" s="30"/>
      <c r="BA707" s="30"/>
      <c r="BB707" s="26"/>
      <c r="BC707" s="26"/>
      <c r="BD707" s="26"/>
      <c r="BE707" s="26"/>
      <c r="BF707" s="26"/>
    </row>
    <row r="708" spans="1:58" ht="15.75" customHeight="1">
      <c r="A708" s="67"/>
      <c r="B708" s="67"/>
      <c r="C708" s="67"/>
      <c r="D708" s="68"/>
      <c r="E708" s="68"/>
      <c r="F708" s="68"/>
      <c r="G708" s="68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30"/>
      <c r="AO708" s="25"/>
      <c r="AP708" s="120"/>
      <c r="AQ708" s="120"/>
      <c r="AR708" s="121"/>
      <c r="AS708" s="96"/>
      <c r="AT708" s="122"/>
      <c r="AU708" s="96"/>
      <c r="AV708" s="122"/>
      <c r="AW708" s="122"/>
      <c r="AX708" s="30"/>
      <c r="AY708" s="30"/>
      <c r="AZ708" s="30"/>
      <c r="BA708" s="30"/>
      <c r="BB708" s="26"/>
      <c r="BC708" s="26"/>
      <c r="BD708" s="26"/>
      <c r="BE708" s="26"/>
      <c r="BF708" s="26"/>
    </row>
    <row r="709" spans="1:58" ht="15.75" customHeight="1">
      <c r="A709" s="67"/>
      <c r="B709" s="67"/>
      <c r="C709" s="67"/>
      <c r="D709" s="68"/>
      <c r="E709" s="68"/>
      <c r="F709" s="68"/>
      <c r="G709" s="68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30"/>
      <c r="AO709" s="25"/>
      <c r="AP709" s="120"/>
      <c r="AQ709" s="120"/>
      <c r="AR709" s="121"/>
      <c r="AS709" s="96"/>
      <c r="AT709" s="122"/>
      <c r="AU709" s="96"/>
      <c r="AV709" s="122"/>
      <c r="AW709" s="122"/>
      <c r="AX709" s="30"/>
      <c r="AY709" s="30"/>
      <c r="AZ709" s="30"/>
      <c r="BA709" s="30"/>
      <c r="BB709" s="26"/>
      <c r="BC709" s="26"/>
      <c r="BD709" s="26"/>
      <c r="BE709" s="26"/>
      <c r="BF709" s="26"/>
    </row>
    <row r="710" spans="1:58" ht="15.75" customHeight="1">
      <c r="A710" s="67"/>
      <c r="B710" s="67"/>
      <c r="C710" s="67"/>
      <c r="D710" s="68"/>
      <c r="E710" s="68"/>
      <c r="F710" s="68"/>
      <c r="G710" s="68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30"/>
      <c r="AO710" s="25"/>
      <c r="AP710" s="120"/>
      <c r="AQ710" s="120"/>
      <c r="AR710" s="121"/>
      <c r="AS710" s="96"/>
      <c r="AT710" s="122"/>
      <c r="AU710" s="96"/>
      <c r="AV710" s="122"/>
      <c r="AW710" s="122"/>
      <c r="AX710" s="30"/>
      <c r="AY710" s="30"/>
      <c r="AZ710" s="30"/>
      <c r="BA710" s="30"/>
      <c r="BB710" s="26"/>
      <c r="BC710" s="26"/>
      <c r="BD710" s="26"/>
      <c r="BE710" s="26"/>
      <c r="BF710" s="26"/>
    </row>
    <row r="711" spans="1:58" ht="15.75" customHeight="1">
      <c r="A711" s="67"/>
      <c r="B711" s="67"/>
      <c r="C711" s="67"/>
      <c r="D711" s="68"/>
      <c r="E711" s="68"/>
      <c r="F711" s="68"/>
      <c r="G711" s="68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30"/>
      <c r="AO711" s="25"/>
      <c r="AP711" s="120"/>
      <c r="AQ711" s="120"/>
      <c r="AR711" s="121"/>
      <c r="AS711" s="96"/>
      <c r="AT711" s="122"/>
      <c r="AU711" s="96"/>
      <c r="AV711" s="122"/>
      <c r="AW711" s="122"/>
      <c r="AX711" s="30"/>
      <c r="AY711" s="30"/>
      <c r="AZ711" s="30"/>
      <c r="BA711" s="30"/>
      <c r="BB711" s="26"/>
      <c r="BC711" s="26"/>
      <c r="BD711" s="26"/>
      <c r="BE711" s="26"/>
      <c r="BF711" s="26"/>
    </row>
    <row r="712" spans="1:58" ht="15.75" customHeight="1">
      <c r="A712" s="67"/>
      <c r="B712" s="67"/>
      <c r="C712" s="67"/>
      <c r="D712" s="68"/>
      <c r="E712" s="68"/>
      <c r="F712" s="68"/>
      <c r="G712" s="68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30"/>
      <c r="AO712" s="25"/>
      <c r="AP712" s="120"/>
      <c r="AQ712" s="120"/>
      <c r="AR712" s="121"/>
      <c r="AS712" s="96"/>
      <c r="AT712" s="122"/>
      <c r="AU712" s="96"/>
      <c r="AV712" s="122"/>
      <c r="AW712" s="122"/>
      <c r="AX712" s="30"/>
      <c r="AY712" s="30"/>
      <c r="AZ712" s="30"/>
      <c r="BA712" s="30"/>
      <c r="BB712" s="26"/>
      <c r="BC712" s="26"/>
      <c r="BD712" s="26"/>
      <c r="BE712" s="26"/>
      <c r="BF712" s="26"/>
    </row>
    <row r="713" spans="1:58" ht="15.75" customHeight="1">
      <c r="A713" s="67"/>
      <c r="B713" s="67"/>
      <c r="C713" s="67"/>
      <c r="D713" s="68"/>
      <c r="E713" s="68"/>
      <c r="F713" s="68"/>
      <c r="G713" s="68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30"/>
      <c r="AO713" s="25"/>
      <c r="AP713" s="120"/>
      <c r="AQ713" s="120"/>
      <c r="AR713" s="121"/>
      <c r="AS713" s="96"/>
      <c r="AT713" s="122"/>
      <c r="AU713" s="96"/>
      <c r="AV713" s="122"/>
      <c r="AW713" s="122"/>
      <c r="AX713" s="30"/>
      <c r="AY713" s="30"/>
      <c r="AZ713" s="30"/>
      <c r="BA713" s="30"/>
      <c r="BB713" s="26"/>
      <c r="BC713" s="26"/>
      <c r="BD713" s="26"/>
      <c r="BE713" s="26"/>
      <c r="BF713" s="26"/>
    </row>
    <row r="714" spans="1:58" ht="15.75" customHeight="1">
      <c r="A714" s="67"/>
      <c r="B714" s="67"/>
      <c r="C714" s="67"/>
      <c r="D714" s="68"/>
      <c r="E714" s="68"/>
      <c r="F714" s="68"/>
      <c r="G714" s="68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30"/>
      <c r="AO714" s="25"/>
      <c r="AP714" s="120"/>
      <c r="AQ714" s="120"/>
      <c r="AR714" s="121"/>
      <c r="AS714" s="96"/>
      <c r="AT714" s="122"/>
      <c r="AU714" s="96"/>
      <c r="AV714" s="122"/>
      <c r="AW714" s="122"/>
      <c r="AX714" s="30"/>
      <c r="AY714" s="30"/>
      <c r="AZ714" s="30"/>
      <c r="BA714" s="30"/>
      <c r="BB714" s="26"/>
      <c r="BC714" s="26"/>
      <c r="BD714" s="26"/>
      <c r="BE714" s="26"/>
      <c r="BF714" s="26"/>
    </row>
    <row r="715" spans="1:58" ht="15.75" customHeight="1">
      <c r="A715" s="67"/>
      <c r="B715" s="67"/>
      <c r="C715" s="67"/>
      <c r="D715" s="68"/>
      <c r="E715" s="68"/>
      <c r="F715" s="68"/>
      <c r="G715" s="68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30"/>
      <c r="AO715" s="25"/>
      <c r="AP715" s="120"/>
      <c r="AQ715" s="120"/>
      <c r="AR715" s="121"/>
      <c r="AS715" s="96"/>
      <c r="AT715" s="122"/>
      <c r="AU715" s="96"/>
      <c r="AV715" s="122"/>
      <c r="AW715" s="122"/>
      <c r="AX715" s="30"/>
      <c r="AY715" s="30"/>
      <c r="AZ715" s="30"/>
      <c r="BA715" s="30"/>
      <c r="BB715" s="26"/>
      <c r="BC715" s="26"/>
      <c r="BD715" s="26"/>
      <c r="BE715" s="26"/>
      <c r="BF715" s="26"/>
    </row>
    <row r="716" spans="1:58" ht="15.75" customHeight="1">
      <c r="A716" s="67"/>
      <c r="B716" s="67"/>
      <c r="C716" s="67"/>
      <c r="D716" s="68"/>
      <c r="E716" s="68"/>
      <c r="F716" s="68"/>
      <c r="G716" s="68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30"/>
      <c r="AO716" s="25"/>
      <c r="AP716" s="120"/>
      <c r="AQ716" s="120"/>
      <c r="AR716" s="121"/>
      <c r="AS716" s="96"/>
      <c r="AT716" s="122"/>
      <c r="AU716" s="96"/>
      <c r="AV716" s="122"/>
      <c r="AW716" s="122"/>
      <c r="AX716" s="30"/>
      <c r="AY716" s="30"/>
      <c r="AZ716" s="30"/>
      <c r="BA716" s="30"/>
      <c r="BB716" s="26"/>
      <c r="BC716" s="26"/>
      <c r="BD716" s="26"/>
      <c r="BE716" s="26"/>
      <c r="BF716" s="26"/>
    </row>
    <row r="717" spans="1:58" ht="15.75" customHeight="1">
      <c r="A717" s="67"/>
      <c r="B717" s="67"/>
      <c r="C717" s="67"/>
      <c r="D717" s="68"/>
      <c r="E717" s="68"/>
      <c r="F717" s="68"/>
      <c r="G717" s="68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30"/>
      <c r="AO717" s="25"/>
      <c r="AP717" s="120"/>
      <c r="AQ717" s="120"/>
      <c r="AR717" s="121"/>
      <c r="AS717" s="96"/>
      <c r="AT717" s="122"/>
      <c r="AU717" s="96"/>
      <c r="AV717" s="122"/>
      <c r="AW717" s="122"/>
      <c r="AX717" s="30"/>
      <c r="AY717" s="30"/>
      <c r="AZ717" s="30"/>
      <c r="BA717" s="30"/>
      <c r="BB717" s="26"/>
      <c r="BC717" s="26"/>
      <c r="BD717" s="26"/>
      <c r="BE717" s="26"/>
      <c r="BF717" s="26"/>
    </row>
    <row r="718" spans="1:58" ht="15.75" customHeight="1">
      <c r="A718" s="67"/>
      <c r="B718" s="67"/>
      <c r="C718" s="67"/>
      <c r="D718" s="68"/>
      <c r="E718" s="68"/>
      <c r="F718" s="68"/>
      <c r="G718" s="68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30"/>
      <c r="AO718" s="25"/>
      <c r="AP718" s="120"/>
      <c r="AQ718" s="120"/>
      <c r="AR718" s="121"/>
      <c r="AS718" s="96"/>
      <c r="AT718" s="122"/>
      <c r="AU718" s="96"/>
      <c r="AV718" s="122"/>
      <c r="AW718" s="122"/>
      <c r="AX718" s="30"/>
      <c r="AY718" s="30"/>
      <c r="AZ718" s="30"/>
      <c r="BA718" s="30"/>
      <c r="BB718" s="26"/>
      <c r="BC718" s="26"/>
      <c r="BD718" s="26"/>
      <c r="BE718" s="26"/>
      <c r="BF718" s="26"/>
    </row>
    <row r="719" spans="1:58" ht="15.75" customHeight="1">
      <c r="A719" s="67"/>
      <c r="B719" s="67"/>
      <c r="C719" s="67"/>
      <c r="D719" s="68"/>
      <c r="E719" s="68"/>
      <c r="F719" s="68"/>
      <c r="G719" s="68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30"/>
      <c r="AO719" s="25"/>
      <c r="AP719" s="120"/>
      <c r="AQ719" s="120"/>
      <c r="AR719" s="121"/>
      <c r="AS719" s="96"/>
      <c r="AT719" s="122"/>
      <c r="AU719" s="96"/>
      <c r="AV719" s="122"/>
      <c r="AW719" s="122"/>
      <c r="AX719" s="30"/>
      <c r="AY719" s="30"/>
      <c r="AZ719" s="30"/>
      <c r="BA719" s="30"/>
      <c r="BB719" s="26"/>
      <c r="BC719" s="26"/>
      <c r="BD719" s="26"/>
      <c r="BE719" s="26"/>
      <c r="BF719" s="26"/>
    </row>
    <row r="720" spans="1:58" ht="15.75" customHeight="1">
      <c r="A720" s="67"/>
      <c r="B720" s="67"/>
      <c r="C720" s="67"/>
      <c r="D720" s="68"/>
      <c r="E720" s="68"/>
      <c r="F720" s="68"/>
      <c r="G720" s="68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30"/>
      <c r="AO720" s="25"/>
      <c r="AP720" s="120"/>
      <c r="AQ720" s="120"/>
      <c r="AR720" s="121"/>
      <c r="AS720" s="96"/>
      <c r="AT720" s="122"/>
      <c r="AU720" s="96"/>
      <c r="AV720" s="122"/>
      <c r="AW720" s="122"/>
      <c r="AX720" s="30"/>
      <c r="AY720" s="30"/>
      <c r="AZ720" s="30"/>
      <c r="BA720" s="30"/>
      <c r="BB720" s="26"/>
      <c r="BC720" s="26"/>
      <c r="BD720" s="26"/>
      <c r="BE720" s="26"/>
      <c r="BF720" s="26"/>
    </row>
    <row r="721" spans="1:58" ht="15.75" customHeight="1">
      <c r="A721" s="67"/>
      <c r="B721" s="67"/>
      <c r="C721" s="67"/>
      <c r="D721" s="68"/>
      <c r="E721" s="68"/>
      <c r="F721" s="68"/>
      <c r="G721" s="68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30"/>
      <c r="AO721" s="25"/>
      <c r="AP721" s="120"/>
      <c r="AQ721" s="120"/>
      <c r="AR721" s="121"/>
      <c r="AS721" s="96"/>
      <c r="AT721" s="122"/>
      <c r="AU721" s="96"/>
      <c r="AV721" s="122"/>
      <c r="AW721" s="122"/>
      <c r="AX721" s="30"/>
      <c r="AY721" s="30"/>
      <c r="AZ721" s="30"/>
      <c r="BA721" s="30"/>
      <c r="BB721" s="26"/>
      <c r="BC721" s="26"/>
      <c r="BD721" s="26"/>
      <c r="BE721" s="26"/>
      <c r="BF721" s="26"/>
    </row>
    <row r="722" spans="1:58" ht="15.75" customHeight="1">
      <c r="A722" s="67"/>
      <c r="B722" s="67"/>
      <c r="C722" s="67"/>
      <c r="D722" s="68"/>
      <c r="E722" s="68"/>
      <c r="F722" s="68"/>
      <c r="G722" s="68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30"/>
      <c r="AO722" s="25"/>
      <c r="AP722" s="120"/>
      <c r="AQ722" s="120"/>
      <c r="AR722" s="121"/>
      <c r="AS722" s="96"/>
      <c r="AT722" s="122"/>
      <c r="AU722" s="96"/>
      <c r="AV722" s="122"/>
      <c r="AW722" s="122"/>
      <c r="AX722" s="30"/>
      <c r="AY722" s="30"/>
      <c r="AZ722" s="30"/>
      <c r="BA722" s="30"/>
      <c r="BB722" s="26"/>
      <c r="BC722" s="26"/>
      <c r="BD722" s="26"/>
      <c r="BE722" s="26"/>
      <c r="BF722" s="26"/>
    </row>
    <row r="723" spans="1:58" ht="15.75" customHeight="1">
      <c r="A723" s="67"/>
      <c r="B723" s="67"/>
      <c r="C723" s="67"/>
      <c r="D723" s="68"/>
      <c r="E723" s="68"/>
      <c r="F723" s="68"/>
      <c r="G723" s="68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30"/>
      <c r="AO723" s="25"/>
      <c r="AP723" s="120"/>
      <c r="AQ723" s="120"/>
      <c r="AR723" s="121"/>
      <c r="AS723" s="96"/>
      <c r="AT723" s="122"/>
      <c r="AU723" s="96"/>
      <c r="AV723" s="122"/>
      <c r="AW723" s="122"/>
      <c r="AX723" s="30"/>
      <c r="AY723" s="30"/>
      <c r="AZ723" s="30"/>
      <c r="BA723" s="30"/>
      <c r="BB723" s="26"/>
      <c r="BC723" s="26"/>
      <c r="BD723" s="26"/>
      <c r="BE723" s="26"/>
      <c r="BF723" s="26"/>
    </row>
    <row r="724" spans="1:58" ht="15.75" customHeight="1">
      <c r="A724" s="67"/>
      <c r="B724" s="67"/>
      <c r="C724" s="67"/>
      <c r="D724" s="68"/>
      <c r="E724" s="68"/>
      <c r="F724" s="68"/>
      <c r="G724" s="68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30"/>
      <c r="AO724" s="25"/>
      <c r="AP724" s="120"/>
      <c r="AQ724" s="120"/>
      <c r="AR724" s="121"/>
      <c r="AS724" s="96"/>
      <c r="AT724" s="122"/>
      <c r="AU724" s="96"/>
      <c r="AV724" s="122"/>
      <c r="AW724" s="122"/>
      <c r="AX724" s="30"/>
      <c r="AY724" s="30"/>
      <c r="AZ724" s="30"/>
      <c r="BA724" s="30"/>
      <c r="BB724" s="26"/>
      <c r="BC724" s="26"/>
      <c r="BD724" s="26"/>
      <c r="BE724" s="26"/>
      <c r="BF724" s="26"/>
    </row>
    <row r="725" spans="1:58" ht="15.75" customHeight="1">
      <c r="A725" s="67"/>
      <c r="B725" s="67"/>
      <c r="C725" s="67"/>
      <c r="D725" s="68"/>
      <c r="E725" s="68"/>
      <c r="F725" s="68"/>
      <c r="G725" s="68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30"/>
      <c r="AO725" s="25"/>
      <c r="AP725" s="120"/>
      <c r="AQ725" s="120"/>
      <c r="AR725" s="121"/>
      <c r="AS725" s="96"/>
      <c r="AT725" s="122"/>
      <c r="AU725" s="96"/>
      <c r="AV725" s="122"/>
      <c r="AW725" s="122"/>
      <c r="AX725" s="30"/>
      <c r="AY725" s="30"/>
      <c r="AZ725" s="30"/>
      <c r="BA725" s="30"/>
      <c r="BB725" s="26"/>
      <c r="BC725" s="26"/>
      <c r="BD725" s="26"/>
      <c r="BE725" s="26"/>
      <c r="BF725" s="26"/>
    </row>
    <row r="726" spans="1:58" ht="15.75" customHeight="1">
      <c r="A726" s="67"/>
      <c r="B726" s="67"/>
      <c r="C726" s="67"/>
      <c r="D726" s="68"/>
      <c r="E726" s="68"/>
      <c r="F726" s="68"/>
      <c r="G726" s="68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30"/>
      <c r="AO726" s="25"/>
      <c r="AP726" s="120"/>
      <c r="AQ726" s="120"/>
      <c r="AR726" s="121"/>
      <c r="AS726" s="96"/>
      <c r="AT726" s="122"/>
      <c r="AU726" s="96"/>
      <c r="AV726" s="122"/>
      <c r="AW726" s="122"/>
      <c r="AX726" s="30"/>
      <c r="AY726" s="30"/>
      <c r="AZ726" s="30"/>
      <c r="BA726" s="30"/>
      <c r="BB726" s="26"/>
      <c r="BC726" s="26"/>
      <c r="BD726" s="26"/>
      <c r="BE726" s="26"/>
      <c r="BF726" s="26"/>
    </row>
    <row r="727" spans="1:58" ht="15.75" customHeight="1">
      <c r="A727" s="67"/>
      <c r="B727" s="67"/>
      <c r="C727" s="67"/>
      <c r="D727" s="68"/>
      <c r="E727" s="68"/>
      <c r="F727" s="68"/>
      <c r="G727" s="68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30"/>
      <c r="AO727" s="25"/>
      <c r="AP727" s="120"/>
      <c r="AQ727" s="120"/>
      <c r="AR727" s="121"/>
      <c r="AS727" s="96"/>
      <c r="AT727" s="122"/>
      <c r="AU727" s="96"/>
      <c r="AV727" s="122"/>
      <c r="AW727" s="122"/>
      <c r="AX727" s="30"/>
      <c r="AY727" s="30"/>
      <c r="AZ727" s="30"/>
      <c r="BA727" s="30"/>
      <c r="BB727" s="26"/>
      <c r="BC727" s="26"/>
      <c r="BD727" s="26"/>
      <c r="BE727" s="26"/>
      <c r="BF727" s="26"/>
    </row>
    <row r="728" spans="1:58" ht="15.75" customHeight="1">
      <c r="A728" s="67"/>
      <c r="B728" s="67"/>
      <c r="C728" s="67"/>
      <c r="D728" s="68"/>
      <c r="E728" s="68"/>
      <c r="F728" s="68"/>
      <c r="G728" s="68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30"/>
      <c r="AO728" s="25"/>
      <c r="AP728" s="120"/>
      <c r="AQ728" s="120"/>
      <c r="AR728" s="121"/>
      <c r="AS728" s="96"/>
      <c r="AT728" s="122"/>
      <c r="AU728" s="96"/>
      <c r="AV728" s="122"/>
      <c r="AW728" s="122"/>
      <c r="AX728" s="30"/>
      <c r="AY728" s="30"/>
      <c r="AZ728" s="30"/>
      <c r="BA728" s="30"/>
      <c r="BB728" s="26"/>
      <c r="BC728" s="26"/>
      <c r="BD728" s="26"/>
      <c r="BE728" s="26"/>
      <c r="BF728" s="26"/>
    </row>
    <row r="729" spans="1:58" ht="15.75" customHeight="1">
      <c r="A729" s="67"/>
      <c r="B729" s="67"/>
      <c r="C729" s="67"/>
      <c r="D729" s="68"/>
      <c r="E729" s="68"/>
      <c r="F729" s="68"/>
      <c r="G729" s="68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30"/>
      <c r="AO729" s="25"/>
      <c r="AP729" s="120"/>
      <c r="AQ729" s="120"/>
      <c r="AR729" s="121"/>
      <c r="AS729" s="96"/>
      <c r="AT729" s="122"/>
      <c r="AU729" s="96"/>
      <c r="AV729" s="122"/>
      <c r="AW729" s="122"/>
      <c r="AX729" s="30"/>
      <c r="AY729" s="30"/>
      <c r="AZ729" s="30"/>
      <c r="BA729" s="30"/>
      <c r="BB729" s="26"/>
      <c r="BC729" s="26"/>
      <c r="BD729" s="26"/>
      <c r="BE729" s="26"/>
      <c r="BF729" s="26"/>
    </row>
    <row r="730" spans="1:58" ht="15.75" customHeight="1">
      <c r="A730" s="67"/>
      <c r="B730" s="67"/>
      <c r="C730" s="67"/>
      <c r="D730" s="68"/>
      <c r="E730" s="68"/>
      <c r="F730" s="68"/>
      <c r="G730" s="68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30"/>
      <c r="AO730" s="25"/>
      <c r="AP730" s="120"/>
      <c r="AQ730" s="120"/>
      <c r="AR730" s="121"/>
      <c r="AS730" s="96"/>
      <c r="AT730" s="122"/>
      <c r="AU730" s="96"/>
      <c r="AV730" s="122"/>
      <c r="AW730" s="122"/>
      <c r="AX730" s="30"/>
      <c r="AY730" s="30"/>
      <c r="AZ730" s="30"/>
      <c r="BA730" s="30"/>
      <c r="BB730" s="26"/>
      <c r="BC730" s="26"/>
      <c r="BD730" s="26"/>
      <c r="BE730" s="26"/>
      <c r="BF730" s="26"/>
    </row>
    <row r="731" spans="1:58" ht="15.75" customHeight="1">
      <c r="A731" s="67"/>
      <c r="B731" s="67"/>
      <c r="C731" s="67"/>
      <c r="D731" s="68"/>
      <c r="E731" s="68"/>
      <c r="F731" s="68"/>
      <c r="G731" s="68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30"/>
      <c r="AO731" s="25"/>
      <c r="AP731" s="120"/>
      <c r="AQ731" s="120"/>
      <c r="AR731" s="121"/>
      <c r="AS731" s="96"/>
      <c r="AT731" s="122"/>
      <c r="AU731" s="96"/>
      <c r="AV731" s="122"/>
      <c r="AW731" s="122"/>
      <c r="AX731" s="30"/>
      <c r="AY731" s="30"/>
      <c r="AZ731" s="30"/>
      <c r="BA731" s="30"/>
      <c r="BB731" s="26"/>
      <c r="BC731" s="26"/>
      <c r="BD731" s="26"/>
      <c r="BE731" s="26"/>
      <c r="BF731" s="26"/>
    </row>
    <row r="732" spans="1:58" ht="15.75" customHeight="1">
      <c r="A732" s="67"/>
      <c r="B732" s="67"/>
      <c r="C732" s="67"/>
      <c r="D732" s="68"/>
      <c r="E732" s="68"/>
      <c r="F732" s="68"/>
      <c r="G732" s="68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30"/>
      <c r="AO732" s="25"/>
      <c r="AP732" s="120"/>
      <c r="AQ732" s="120"/>
      <c r="AR732" s="121"/>
      <c r="AS732" s="96"/>
      <c r="AT732" s="122"/>
      <c r="AU732" s="96"/>
      <c r="AV732" s="122"/>
      <c r="AW732" s="122"/>
      <c r="AX732" s="30"/>
      <c r="AY732" s="30"/>
      <c r="AZ732" s="30"/>
      <c r="BA732" s="30"/>
      <c r="BB732" s="26"/>
      <c r="BC732" s="26"/>
      <c r="BD732" s="26"/>
      <c r="BE732" s="26"/>
      <c r="BF732" s="26"/>
    </row>
    <row r="733" spans="1:58" ht="15.75" customHeight="1">
      <c r="A733" s="67"/>
      <c r="B733" s="67"/>
      <c r="C733" s="67"/>
      <c r="D733" s="68"/>
      <c r="E733" s="68"/>
      <c r="F733" s="68"/>
      <c r="G733" s="68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30"/>
      <c r="AO733" s="25"/>
      <c r="AP733" s="120"/>
      <c r="AQ733" s="120"/>
      <c r="AR733" s="121"/>
      <c r="AS733" s="96"/>
      <c r="AT733" s="122"/>
      <c r="AU733" s="96"/>
      <c r="AV733" s="122"/>
      <c r="AW733" s="122"/>
      <c r="AX733" s="30"/>
      <c r="AY733" s="30"/>
      <c r="AZ733" s="30"/>
      <c r="BA733" s="30"/>
      <c r="BB733" s="26"/>
      <c r="BC733" s="26"/>
      <c r="BD733" s="26"/>
      <c r="BE733" s="26"/>
      <c r="BF733" s="26"/>
    </row>
    <row r="734" spans="1:58" ht="15.75" customHeight="1">
      <c r="A734" s="67"/>
      <c r="B734" s="67"/>
      <c r="C734" s="67"/>
      <c r="D734" s="68"/>
      <c r="E734" s="68"/>
      <c r="F734" s="68"/>
      <c r="G734" s="68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30"/>
      <c r="AO734" s="25"/>
      <c r="AP734" s="120"/>
      <c r="AQ734" s="120"/>
      <c r="AR734" s="121"/>
      <c r="AS734" s="96"/>
      <c r="AT734" s="122"/>
      <c r="AU734" s="96"/>
      <c r="AV734" s="122"/>
      <c r="AW734" s="122"/>
      <c r="AX734" s="30"/>
      <c r="AY734" s="30"/>
      <c r="AZ734" s="30"/>
      <c r="BA734" s="30"/>
      <c r="BB734" s="26"/>
      <c r="BC734" s="26"/>
      <c r="BD734" s="26"/>
      <c r="BE734" s="26"/>
      <c r="BF734" s="26"/>
    </row>
    <row r="735" spans="1:58" ht="15.75" customHeight="1">
      <c r="A735" s="67"/>
      <c r="B735" s="67"/>
      <c r="C735" s="67"/>
      <c r="D735" s="68"/>
      <c r="E735" s="68"/>
      <c r="F735" s="68"/>
      <c r="G735" s="68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30"/>
      <c r="AO735" s="25"/>
      <c r="AP735" s="120"/>
      <c r="AQ735" s="120"/>
      <c r="AR735" s="121"/>
      <c r="AS735" s="96"/>
      <c r="AT735" s="122"/>
      <c r="AU735" s="96"/>
      <c r="AV735" s="122"/>
      <c r="AW735" s="122"/>
      <c r="AX735" s="30"/>
      <c r="AY735" s="30"/>
      <c r="AZ735" s="30"/>
      <c r="BA735" s="30"/>
      <c r="BB735" s="26"/>
      <c r="BC735" s="26"/>
      <c r="BD735" s="26"/>
      <c r="BE735" s="26"/>
      <c r="BF735" s="26"/>
    </row>
    <row r="736" spans="1:58" ht="15.75" customHeight="1">
      <c r="A736" s="67"/>
      <c r="B736" s="67"/>
      <c r="C736" s="67"/>
      <c r="D736" s="68"/>
      <c r="E736" s="68"/>
      <c r="F736" s="68"/>
      <c r="G736" s="68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30"/>
      <c r="AO736" s="25"/>
      <c r="AP736" s="120"/>
      <c r="AQ736" s="120"/>
      <c r="AR736" s="121"/>
      <c r="AS736" s="96"/>
      <c r="AT736" s="122"/>
      <c r="AU736" s="96"/>
      <c r="AV736" s="122"/>
      <c r="AW736" s="122"/>
      <c r="AX736" s="30"/>
      <c r="AY736" s="30"/>
      <c r="AZ736" s="30"/>
      <c r="BA736" s="30"/>
      <c r="BB736" s="26"/>
      <c r="BC736" s="26"/>
      <c r="BD736" s="26"/>
      <c r="BE736" s="26"/>
      <c r="BF736" s="26"/>
    </row>
    <row r="737" spans="1:58" ht="15.75" customHeight="1">
      <c r="A737" s="67"/>
      <c r="B737" s="67"/>
      <c r="C737" s="67"/>
      <c r="D737" s="68"/>
      <c r="E737" s="68"/>
      <c r="F737" s="68"/>
      <c r="G737" s="68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30"/>
      <c r="AO737" s="25"/>
      <c r="AP737" s="120"/>
      <c r="AQ737" s="120"/>
      <c r="AR737" s="121"/>
      <c r="AS737" s="96"/>
      <c r="AT737" s="122"/>
      <c r="AU737" s="96"/>
      <c r="AV737" s="122"/>
      <c r="AW737" s="122"/>
      <c r="AX737" s="30"/>
      <c r="AY737" s="30"/>
      <c r="AZ737" s="30"/>
      <c r="BA737" s="30"/>
      <c r="BB737" s="26"/>
      <c r="BC737" s="26"/>
      <c r="BD737" s="26"/>
      <c r="BE737" s="26"/>
      <c r="BF737" s="26"/>
    </row>
    <row r="738" spans="1:58" ht="15.75" customHeight="1">
      <c r="A738" s="67"/>
      <c r="B738" s="67"/>
      <c r="C738" s="67"/>
      <c r="D738" s="68"/>
      <c r="E738" s="68"/>
      <c r="F738" s="68"/>
      <c r="G738" s="68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30"/>
      <c r="AO738" s="25"/>
      <c r="AP738" s="120"/>
      <c r="AQ738" s="120"/>
      <c r="AR738" s="121"/>
      <c r="AS738" s="96"/>
      <c r="AT738" s="122"/>
      <c r="AU738" s="96"/>
      <c r="AV738" s="122"/>
      <c r="AW738" s="122"/>
      <c r="AX738" s="30"/>
      <c r="AY738" s="30"/>
      <c r="AZ738" s="30"/>
      <c r="BA738" s="30"/>
      <c r="BB738" s="26"/>
      <c r="BC738" s="26"/>
      <c r="BD738" s="26"/>
      <c r="BE738" s="26"/>
      <c r="BF738" s="26"/>
    </row>
    <row r="739" spans="1:58" ht="15.75" customHeight="1">
      <c r="A739" s="67"/>
      <c r="B739" s="67"/>
      <c r="C739" s="67"/>
      <c r="D739" s="68"/>
      <c r="E739" s="68"/>
      <c r="F739" s="68"/>
      <c r="G739" s="68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30"/>
      <c r="AO739" s="25"/>
      <c r="AP739" s="120"/>
      <c r="AQ739" s="120"/>
      <c r="AR739" s="121"/>
      <c r="AS739" s="96"/>
      <c r="AT739" s="122"/>
      <c r="AU739" s="96"/>
      <c r="AV739" s="122"/>
      <c r="AW739" s="122"/>
      <c r="AX739" s="30"/>
      <c r="AY739" s="30"/>
      <c r="AZ739" s="30"/>
      <c r="BA739" s="30"/>
      <c r="BB739" s="26"/>
      <c r="BC739" s="26"/>
      <c r="BD739" s="26"/>
      <c r="BE739" s="26"/>
      <c r="BF739" s="26"/>
    </row>
    <row r="740" spans="1:58" ht="15.75" customHeight="1">
      <c r="A740" s="67"/>
      <c r="B740" s="67"/>
      <c r="C740" s="67"/>
      <c r="D740" s="68"/>
      <c r="E740" s="68"/>
      <c r="F740" s="68"/>
      <c r="G740" s="68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30"/>
      <c r="AO740" s="25"/>
      <c r="AP740" s="120"/>
      <c r="AQ740" s="120"/>
      <c r="AR740" s="121"/>
      <c r="AS740" s="96"/>
      <c r="AT740" s="122"/>
      <c r="AU740" s="96"/>
      <c r="AV740" s="122"/>
      <c r="AW740" s="122"/>
      <c r="AX740" s="30"/>
      <c r="AY740" s="30"/>
      <c r="AZ740" s="30"/>
      <c r="BA740" s="30"/>
      <c r="BB740" s="26"/>
      <c r="BC740" s="26"/>
      <c r="BD740" s="26"/>
      <c r="BE740" s="26"/>
      <c r="BF740" s="26"/>
    </row>
    <row r="741" spans="1:58" ht="15.75" customHeight="1">
      <c r="A741" s="67"/>
      <c r="B741" s="67"/>
      <c r="C741" s="67"/>
      <c r="D741" s="68"/>
      <c r="E741" s="68"/>
      <c r="F741" s="68"/>
      <c r="G741" s="68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30"/>
      <c r="AO741" s="25"/>
      <c r="AP741" s="120"/>
      <c r="AQ741" s="120"/>
      <c r="AR741" s="121"/>
      <c r="AS741" s="96"/>
      <c r="AT741" s="122"/>
      <c r="AU741" s="96"/>
      <c r="AV741" s="122"/>
      <c r="AW741" s="122"/>
      <c r="AX741" s="30"/>
      <c r="AY741" s="30"/>
      <c r="AZ741" s="30"/>
      <c r="BA741" s="30"/>
      <c r="BB741" s="26"/>
      <c r="BC741" s="26"/>
      <c r="BD741" s="26"/>
      <c r="BE741" s="26"/>
      <c r="BF741" s="26"/>
    </row>
    <row r="742" spans="1:58" ht="15.75" customHeight="1">
      <c r="A742" s="67"/>
      <c r="B742" s="67"/>
      <c r="C742" s="67"/>
      <c r="D742" s="68"/>
      <c r="E742" s="68"/>
      <c r="F742" s="68"/>
      <c r="G742" s="68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30"/>
      <c r="AO742" s="25"/>
      <c r="AP742" s="120"/>
      <c r="AQ742" s="120"/>
      <c r="AR742" s="121"/>
      <c r="AS742" s="96"/>
      <c r="AT742" s="122"/>
      <c r="AU742" s="96"/>
      <c r="AV742" s="122"/>
      <c r="AW742" s="122"/>
      <c r="AX742" s="30"/>
      <c r="AY742" s="30"/>
      <c r="AZ742" s="30"/>
      <c r="BA742" s="30"/>
      <c r="BB742" s="26"/>
      <c r="BC742" s="26"/>
      <c r="BD742" s="26"/>
      <c r="BE742" s="26"/>
      <c r="BF742" s="26"/>
    </row>
    <row r="743" spans="1:58" ht="15.75" customHeight="1">
      <c r="A743" s="67"/>
      <c r="B743" s="67"/>
      <c r="C743" s="67"/>
      <c r="D743" s="68"/>
      <c r="E743" s="68"/>
      <c r="F743" s="68"/>
      <c r="G743" s="68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30"/>
      <c r="AO743" s="25"/>
      <c r="AP743" s="120"/>
      <c r="AQ743" s="120"/>
      <c r="AR743" s="121"/>
      <c r="AS743" s="96"/>
      <c r="AT743" s="122"/>
      <c r="AU743" s="96"/>
      <c r="AV743" s="122"/>
      <c r="AW743" s="122"/>
      <c r="AX743" s="30"/>
      <c r="AY743" s="30"/>
      <c r="AZ743" s="30"/>
      <c r="BA743" s="30"/>
      <c r="BB743" s="26"/>
      <c r="BC743" s="26"/>
      <c r="BD743" s="26"/>
      <c r="BE743" s="26"/>
      <c r="BF743" s="26"/>
    </row>
    <row r="744" spans="1:58" ht="15.75" customHeight="1">
      <c r="A744" s="67"/>
      <c r="B744" s="67"/>
      <c r="C744" s="67"/>
      <c r="D744" s="68"/>
      <c r="E744" s="68"/>
      <c r="F744" s="68"/>
      <c r="G744" s="68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30"/>
      <c r="AO744" s="25"/>
      <c r="AP744" s="120"/>
      <c r="AQ744" s="120"/>
      <c r="AR744" s="121"/>
      <c r="AS744" s="96"/>
      <c r="AT744" s="122"/>
      <c r="AU744" s="96"/>
      <c r="AV744" s="122"/>
      <c r="AW744" s="122"/>
      <c r="AX744" s="30"/>
      <c r="AY744" s="30"/>
      <c r="AZ744" s="30"/>
      <c r="BA744" s="30"/>
      <c r="BB744" s="26"/>
      <c r="BC744" s="26"/>
      <c r="BD744" s="26"/>
      <c r="BE744" s="26"/>
      <c r="BF744" s="26"/>
    </row>
    <row r="745" spans="1:58" ht="15.75" customHeight="1">
      <c r="A745" s="67"/>
      <c r="B745" s="67"/>
      <c r="C745" s="67"/>
      <c r="D745" s="68"/>
      <c r="E745" s="68"/>
      <c r="F745" s="68"/>
      <c r="G745" s="68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30"/>
      <c r="AO745" s="25"/>
      <c r="AP745" s="120"/>
      <c r="AQ745" s="120"/>
      <c r="AR745" s="121"/>
      <c r="AS745" s="96"/>
      <c r="AT745" s="122"/>
      <c r="AU745" s="96"/>
      <c r="AV745" s="122"/>
      <c r="AW745" s="122"/>
      <c r="AX745" s="30"/>
      <c r="AY745" s="30"/>
      <c r="AZ745" s="30"/>
      <c r="BA745" s="30"/>
      <c r="BB745" s="26"/>
      <c r="BC745" s="26"/>
      <c r="BD745" s="26"/>
      <c r="BE745" s="26"/>
      <c r="BF745" s="26"/>
    </row>
    <row r="746" spans="1:58" ht="15.75" customHeight="1">
      <c r="A746" s="67"/>
      <c r="B746" s="67"/>
      <c r="C746" s="67"/>
      <c r="D746" s="68"/>
      <c r="E746" s="68"/>
      <c r="F746" s="68"/>
      <c r="G746" s="68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30"/>
      <c r="AO746" s="25"/>
      <c r="AP746" s="120"/>
      <c r="AQ746" s="120"/>
      <c r="AR746" s="121"/>
      <c r="AS746" s="96"/>
      <c r="AT746" s="122"/>
      <c r="AU746" s="96"/>
      <c r="AV746" s="122"/>
      <c r="AW746" s="122"/>
      <c r="AX746" s="30"/>
      <c r="AY746" s="30"/>
      <c r="AZ746" s="30"/>
      <c r="BA746" s="30"/>
      <c r="BB746" s="26"/>
      <c r="BC746" s="26"/>
      <c r="BD746" s="26"/>
      <c r="BE746" s="26"/>
      <c r="BF746" s="26"/>
    </row>
    <row r="747" spans="1:58" ht="15.75" customHeight="1">
      <c r="A747" s="67"/>
      <c r="B747" s="67"/>
      <c r="C747" s="67"/>
      <c r="D747" s="68"/>
      <c r="E747" s="68"/>
      <c r="F747" s="68"/>
      <c r="G747" s="68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30"/>
      <c r="AO747" s="25"/>
      <c r="AP747" s="120"/>
      <c r="AQ747" s="120"/>
      <c r="AR747" s="121"/>
      <c r="AS747" s="96"/>
      <c r="AT747" s="122"/>
      <c r="AU747" s="96"/>
      <c r="AV747" s="122"/>
      <c r="AW747" s="122"/>
      <c r="AX747" s="30"/>
      <c r="AY747" s="30"/>
      <c r="AZ747" s="30"/>
      <c r="BA747" s="30"/>
      <c r="BB747" s="26"/>
      <c r="BC747" s="26"/>
      <c r="BD747" s="26"/>
      <c r="BE747" s="26"/>
      <c r="BF747" s="26"/>
    </row>
    <row r="748" spans="1:58" ht="15.75" customHeight="1">
      <c r="A748" s="67"/>
      <c r="B748" s="67"/>
      <c r="C748" s="67"/>
      <c r="D748" s="68"/>
      <c r="E748" s="68"/>
      <c r="F748" s="68"/>
      <c r="G748" s="68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30"/>
      <c r="AO748" s="25"/>
      <c r="AP748" s="120"/>
      <c r="AQ748" s="120"/>
      <c r="AR748" s="121"/>
      <c r="AS748" s="96"/>
      <c r="AT748" s="122"/>
      <c r="AU748" s="96"/>
      <c r="AV748" s="122"/>
      <c r="AW748" s="122"/>
      <c r="AX748" s="30"/>
      <c r="AY748" s="30"/>
      <c r="AZ748" s="30"/>
      <c r="BA748" s="30"/>
      <c r="BB748" s="26"/>
      <c r="BC748" s="26"/>
      <c r="BD748" s="26"/>
      <c r="BE748" s="26"/>
      <c r="BF748" s="26"/>
    </row>
    <row r="749" spans="1:58" ht="15.75" customHeight="1">
      <c r="A749" s="67"/>
      <c r="B749" s="67"/>
      <c r="C749" s="67"/>
      <c r="D749" s="68"/>
      <c r="E749" s="68"/>
      <c r="F749" s="68"/>
      <c r="G749" s="68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30"/>
      <c r="AO749" s="25"/>
      <c r="AP749" s="120"/>
      <c r="AQ749" s="120"/>
      <c r="AR749" s="121"/>
      <c r="AS749" s="96"/>
      <c r="AT749" s="122"/>
      <c r="AU749" s="96"/>
      <c r="AV749" s="122"/>
      <c r="AW749" s="122"/>
      <c r="AX749" s="30"/>
      <c r="AY749" s="30"/>
      <c r="AZ749" s="30"/>
      <c r="BA749" s="30"/>
      <c r="BB749" s="26"/>
      <c r="BC749" s="26"/>
      <c r="BD749" s="26"/>
      <c r="BE749" s="26"/>
      <c r="BF749" s="26"/>
    </row>
    <row r="750" spans="1:58" ht="15.75" customHeight="1">
      <c r="A750" s="67"/>
      <c r="B750" s="67"/>
      <c r="C750" s="67"/>
      <c r="D750" s="68"/>
      <c r="E750" s="68"/>
      <c r="F750" s="68"/>
      <c r="G750" s="68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30"/>
      <c r="AO750" s="25"/>
      <c r="AP750" s="120"/>
      <c r="AQ750" s="120"/>
      <c r="AR750" s="121"/>
      <c r="AS750" s="96"/>
      <c r="AT750" s="122"/>
      <c r="AU750" s="96"/>
      <c r="AV750" s="122"/>
      <c r="AW750" s="122"/>
      <c r="AX750" s="30"/>
      <c r="AY750" s="30"/>
      <c r="AZ750" s="30"/>
      <c r="BA750" s="30"/>
      <c r="BB750" s="26"/>
      <c r="BC750" s="26"/>
      <c r="BD750" s="26"/>
      <c r="BE750" s="26"/>
      <c r="BF750" s="26"/>
    </row>
    <row r="751" spans="1:58" ht="15.75" customHeight="1">
      <c r="A751" s="67"/>
      <c r="B751" s="67"/>
      <c r="C751" s="67"/>
      <c r="D751" s="68"/>
      <c r="E751" s="68"/>
      <c r="F751" s="68"/>
      <c r="G751" s="68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30"/>
      <c r="AO751" s="25"/>
      <c r="AP751" s="120"/>
      <c r="AQ751" s="120"/>
      <c r="AR751" s="121"/>
      <c r="AS751" s="96"/>
      <c r="AT751" s="122"/>
      <c r="AU751" s="96"/>
      <c r="AV751" s="122"/>
      <c r="AW751" s="122"/>
      <c r="AX751" s="30"/>
      <c r="AY751" s="30"/>
      <c r="AZ751" s="30"/>
      <c r="BA751" s="30"/>
      <c r="BB751" s="26"/>
      <c r="BC751" s="26"/>
      <c r="BD751" s="26"/>
      <c r="BE751" s="26"/>
      <c r="BF751" s="26"/>
    </row>
    <row r="752" spans="1:58" ht="15.75" customHeight="1">
      <c r="A752" s="67"/>
      <c r="B752" s="67"/>
      <c r="C752" s="67"/>
      <c r="D752" s="68"/>
      <c r="E752" s="68"/>
      <c r="F752" s="68"/>
      <c r="G752" s="68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30"/>
      <c r="AO752" s="25"/>
      <c r="AP752" s="120"/>
      <c r="AQ752" s="120"/>
      <c r="AR752" s="121"/>
      <c r="AS752" s="96"/>
      <c r="AT752" s="122"/>
      <c r="AU752" s="96"/>
      <c r="AV752" s="122"/>
      <c r="AW752" s="122"/>
      <c r="AX752" s="30"/>
      <c r="AY752" s="30"/>
      <c r="AZ752" s="30"/>
      <c r="BA752" s="30"/>
      <c r="BB752" s="26"/>
      <c r="BC752" s="26"/>
      <c r="BD752" s="26"/>
      <c r="BE752" s="26"/>
      <c r="BF752" s="26"/>
    </row>
    <row r="753" spans="1:58" ht="15.75" customHeight="1">
      <c r="A753" s="67"/>
      <c r="B753" s="67"/>
      <c r="C753" s="67"/>
      <c r="D753" s="68"/>
      <c r="E753" s="68"/>
      <c r="F753" s="68"/>
      <c r="G753" s="68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30"/>
      <c r="AO753" s="25"/>
      <c r="AP753" s="120"/>
      <c r="AQ753" s="120"/>
      <c r="AR753" s="121"/>
      <c r="AS753" s="96"/>
      <c r="AT753" s="122"/>
      <c r="AU753" s="96"/>
      <c r="AV753" s="122"/>
      <c r="AW753" s="122"/>
      <c r="AX753" s="30"/>
      <c r="AY753" s="30"/>
      <c r="AZ753" s="30"/>
      <c r="BA753" s="30"/>
      <c r="BB753" s="26"/>
      <c r="BC753" s="26"/>
      <c r="BD753" s="26"/>
      <c r="BE753" s="26"/>
      <c r="BF753" s="26"/>
    </row>
    <row r="754" spans="1:58" ht="15.75" customHeight="1">
      <c r="A754" s="67"/>
      <c r="B754" s="67"/>
      <c r="C754" s="67"/>
      <c r="D754" s="68"/>
      <c r="E754" s="68"/>
      <c r="F754" s="68"/>
      <c r="G754" s="68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30"/>
      <c r="AO754" s="25"/>
      <c r="AP754" s="120"/>
      <c r="AQ754" s="120"/>
      <c r="AR754" s="121"/>
      <c r="AS754" s="96"/>
      <c r="AT754" s="122"/>
      <c r="AU754" s="96"/>
      <c r="AV754" s="122"/>
      <c r="AW754" s="122"/>
      <c r="AX754" s="30"/>
      <c r="AY754" s="30"/>
      <c r="AZ754" s="30"/>
      <c r="BA754" s="30"/>
      <c r="BB754" s="26"/>
      <c r="BC754" s="26"/>
      <c r="BD754" s="26"/>
      <c r="BE754" s="26"/>
      <c r="BF754" s="26"/>
    </row>
    <row r="755" spans="1:58" ht="15.75" customHeight="1">
      <c r="A755" s="67"/>
      <c r="B755" s="67"/>
      <c r="C755" s="67"/>
      <c r="D755" s="68"/>
      <c r="E755" s="68"/>
      <c r="F755" s="68"/>
      <c r="G755" s="68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30"/>
      <c r="AO755" s="25"/>
      <c r="AP755" s="120"/>
      <c r="AQ755" s="120"/>
      <c r="AR755" s="121"/>
      <c r="AS755" s="96"/>
      <c r="AT755" s="122"/>
      <c r="AU755" s="96"/>
      <c r="AV755" s="122"/>
      <c r="AW755" s="122"/>
      <c r="AX755" s="30"/>
      <c r="AY755" s="30"/>
      <c r="AZ755" s="30"/>
      <c r="BA755" s="30"/>
      <c r="BB755" s="26"/>
      <c r="BC755" s="26"/>
      <c r="BD755" s="26"/>
      <c r="BE755" s="26"/>
      <c r="BF755" s="26"/>
    </row>
    <row r="756" spans="1:58" ht="15.75" customHeight="1">
      <c r="A756" s="67"/>
      <c r="B756" s="67"/>
      <c r="C756" s="67"/>
      <c r="D756" s="68"/>
      <c r="E756" s="68"/>
      <c r="F756" s="68"/>
      <c r="G756" s="68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30"/>
      <c r="AO756" s="25"/>
      <c r="AP756" s="120"/>
      <c r="AQ756" s="120"/>
      <c r="AR756" s="121"/>
      <c r="AS756" s="96"/>
      <c r="AT756" s="122"/>
      <c r="AU756" s="96"/>
      <c r="AV756" s="122"/>
      <c r="AW756" s="122"/>
      <c r="AX756" s="30"/>
      <c r="AY756" s="30"/>
      <c r="AZ756" s="30"/>
      <c r="BA756" s="30"/>
      <c r="BB756" s="26"/>
      <c r="BC756" s="26"/>
      <c r="BD756" s="26"/>
      <c r="BE756" s="26"/>
      <c r="BF756" s="26"/>
    </row>
    <row r="757" spans="1:58" ht="15.75" customHeight="1">
      <c r="A757" s="67"/>
      <c r="B757" s="67"/>
      <c r="C757" s="67"/>
      <c r="D757" s="68"/>
      <c r="E757" s="68"/>
      <c r="F757" s="68"/>
      <c r="G757" s="68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30"/>
      <c r="AO757" s="25"/>
      <c r="AP757" s="120"/>
      <c r="AQ757" s="120"/>
      <c r="AR757" s="121"/>
      <c r="AS757" s="96"/>
      <c r="AT757" s="122"/>
      <c r="AU757" s="96"/>
      <c r="AV757" s="122"/>
      <c r="AW757" s="122"/>
      <c r="AX757" s="30"/>
      <c r="AY757" s="30"/>
      <c r="AZ757" s="30"/>
      <c r="BA757" s="30"/>
      <c r="BB757" s="26"/>
      <c r="BC757" s="26"/>
      <c r="BD757" s="26"/>
      <c r="BE757" s="26"/>
      <c r="BF757" s="26"/>
    </row>
    <row r="758" spans="1:58" ht="15.75" customHeight="1">
      <c r="A758" s="67"/>
      <c r="B758" s="67"/>
      <c r="C758" s="67"/>
      <c r="D758" s="68"/>
      <c r="E758" s="68"/>
      <c r="F758" s="68"/>
      <c r="G758" s="68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30"/>
      <c r="AO758" s="25"/>
      <c r="AP758" s="120"/>
      <c r="AQ758" s="120"/>
      <c r="AR758" s="121"/>
      <c r="AS758" s="96"/>
      <c r="AT758" s="122"/>
      <c r="AU758" s="96"/>
      <c r="AV758" s="122"/>
      <c r="AW758" s="122"/>
      <c r="AX758" s="30"/>
      <c r="AY758" s="30"/>
      <c r="AZ758" s="30"/>
      <c r="BA758" s="30"/>
      <c r="BB758" s="26"/>
      <c r="BC758" s="26"/>
      <c r="BD758" s="26"/>
      <c r="BE758" s="26"/>
      <c r="BF758" s="26"/>
    </row>
    <row r="759" spans="1:58" ht="15.75" customHeight="1">
      <c r="A759" s="67"/>
      <c r="B759" s="67"/>
      <c r="C759" s="67"/>
      <c r="D759" s="68"/>
      <c r="E759" s="68"/>
      <c r="F759" s="68"/>
      <c r="G759" s="68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30"/>
      <c r="AO759" s="25"/>
      <c r="AP759" s="120"/>
      <c r="AQ759" s="120"/>
      <c r="AR759" s="121"/>
      <c r="AS759" s="96"/>
      <c r="AT759" s="122"/>
      <c r="AU759" s="96"/>
      <c r="AV759" s="122"/>
      <c r="AW759" s="122"/>
      <c r="AX759" s="30"/>
      <c r="AY759" s="30"/>
      <c r="AZ759" s="30"/>
      <c r="BA759" s="30"/>
      <c r="BB759" s="26"/>
      <c r="BC759" s="26"/>
      <c r="BD759" s="26"/>
      <c r="BE759" s="26"/>
      <c r="BF759" s="26"/>
    </row>
    <row r="760" spans="1:58" ht="15.75" customHeight="1">
      <c r="A760" s="67"/>
      <c r="B760" s="67"/>
      <c r="C760" s="67"/>
      <c r="D760" s="68"/>
      <c r="E760" s="68"/>
      <c r="F760" s="68"/>
      <c r="G760" s="68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30"/>
      <c r="AO760" s="25"/>
      <c r="AP760" s="120"/>
      <c r="AQ760" s="120"/>
      <c r="AR760" s="121"/>
      <c r="AS760" s="96"/>
      <c r="AT760" s="122"/>
      <c r="AU760" s="96"/>
      <c r="AV760" s="122"/>
      <c r="AW760" s="122"/>
      <c r="AX760" s="30"/>
      <c r="AY760" s="30"/>
      <c r="AZ760" s="30"/>
      <c r="BA760" s="30"/>
      <c r="BB760" s="26"/>
      <c r="BC760" s="26"/>
      <c r="BD760" s="26"/>
      <c r="BE760" s="26"/>
      <c r="BF760" s="26"/>
    </row>
    <row r="761" spans="1:58" ht="15.75" customHeight="1">
      <c r="A761" s="67"/>
      <c r="B761" s="67"/>
      <c r="C761" s="67"/>
      <c r="D761" s="68"/>
      <c r="E761" s="68"/>
      <c r="F761" s="68"/>
      <c r="G761" s="68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30"/>
      <c r="AO761" s="25"/>
      <c r="AP761" s="120"/>
      <c r="AQ761" s="120"/>
      <c r="AR761" s="121"/>
      <c r="AS761" s="96"/>
      <c r="AT761" s="122"/>
      <c r="AU761" s="96"/>
      <c r="AV761" s="122"/>
      <c r="AW761" s="122"/>
      <c r="AX761" s="30"/>
      <c r="AY761" s="30"/>
      <c r="AZ761" s="30"/>
      <c r="BA761" s="30"/>
      <c r="BB761" s="26"/>
      <c r="BC761" s="26"/>
      <c r="BD761" s="26"/>
      <c r="BE761" s="26"/>
      <c r="BF761" s="26"/>
    </row>
    <row r="762" spans="1:58" ht="15.75" customHeight="1">
      <c r="A762" s="67"/>
      <c r="B762" s="67"/>
      <c r="C762" s="67"/>
      <c r="D762" s="68"/>
      <c r="E762" s="68"/>
      <c r="F762" s="68"/>
      <c r="G762" s="68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30"/>
      <c r="AO762" s="25"/>
      <c r="AP762" s="120"/>
      <c r="AQ762" s="120"/>
      <c r="AR762" s="121"/>
      <c r="AS762" s="96"/>
      <c r="AT762" s="122"/>
      <c r="AU762" s="96"/>
      <c r="AV762" s="122"/>
      <c r="AW762" s="122"/>
      <c r="AX762" s="30"/>
      <c r="AY762" s="30"/>
      <c r="AZ762" s="30"/>
      <c r="BA762" s="30"/>
      <c r="BB762" s="26"/>
      <c r="BC762" s="26"/>
      <c r="BD762" s="26"/>
      <c r="BE762" s="26"/>
      <c r="BF762" s="26"/>
    </row>
    <row r="763" spans="1:58" ht="15.75" customHeight="1">
      <c r="A763" s="67"/>
      <c r="B763" s="67"/>
      <c r="C763" s="67"/>
      <c r="D763" s="68"/>
      <c r="E763" s="68"/>
      <c r="F763" s="68"/>
      <c r="G763" s="68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30"/>
      <c r="AO763" s="25"/>
      <c r="AP763" s="120"/>
      <c r="AQ763" s="120"/>
      <c r="AR763" s="121"/>
      <c r="AS763" s="96"/>
      <c r="AT763" s="122"/>
      <c r="AU763" s="96"/>
      <c r="AV763" s="122"/>
      <c r="AW763" s="122"/>
      <c r="AX763" s="30"/>
      <c r="AY763" s="30"/>
      <c r="AZ763" s="30"/>
      <c r="BA763" s="30"/>
      <c r="BB763" s="26"/>
      <c r="BC763" s="26"/>
      <c r="BD763" s="26"/>
      <c r="BE763" s="26"/>
      <c r="BF763" s="26"/>
    </row>
    <row r="764" spans="1:58" ht="15.75" customHeight="1">
      <c r="A764" s="67"/>
      <c r="B764" s="67"/>
      <c r="C764" s="67"/>
      <c r="D764" s="68"/>
      <c r="E764" s="68"/>
      <c r="F764" s="68"/>
      <c r="G764" s="68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30"/>
      <c r="AO764" s="25"/>
      <c r="AP764" s="120"/>
      <c r="AQ764" s="120"/>
      <c r="AR764" s="121"/>
      <c r="AS764" s="96"/>
      <c r="AT764" s="122"/>
      <c r="AU764" s="96"/>
      <c r="AV764" s="122"/>
      <c r="AW764" s="122"/>
      <c r="AX764" s="30"/>
      <c r="AY764" s="30"/>
      <c r="AZ764" s="30"/>
      <c r="BA764" s="30"/>
      <c r="BB764" s="26"/>
      <c r="BC764" s="26"/>
      <c r="BD764" s="26"/>
      <c r="BE764" s="26"/>
      <c r="BF764" s="26"/>
    </row>
    <row r="765" spans="1:58" ht="15.75" customHeight="1">
      <c r="A765" s="67"/>
      <c r="B765" s="67"/>
      <c r="C765" s="67"/>
      <c r="D765" s="68"/>
      <c r="E765" s="68"/>
      <c r="F765" s="68"/>
      <c r="G765" s="68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30"/>
      <c r="AO765" s="25"/>
      <c r="AP765" s="120"/>
      <c r="AQ765" s="120"/>
      <c r="AR765" s="121"/>
      <c r="AS765" s="96"/>
      <c r="AT765" s="122"/>
      <c r="AU765" s="96"/>
      <c r="AV765" s="122"/>
      <c r="AW765" s="122"/>
      <c r="AX765" s="30"/>
      <c r="AY765" s="30"/>
      <c r="AZ765" s="30"/>
      <c r="BA765" s="30"/>
      <c r="BB765" s="26"/>
      <c r="BC765" s="26"/>
      <c r="BD765" s="26"/>
      <c r="BE765" s="26"/>
      <c r="BF765" s="26"/>
    </row>
    <row r="766" spans="1:58" ht="15.75" customHeight="1">
      <c r="A766" s="67"/>
      <c r="B766" s="67"/>
      <c r="C766" s="67"/>
      <c r="D766" s="68"/>
      <c r="E766" s="68"/>
      <c r="F766" s="68"/>
      <c r="G766" s="68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30"/>
      <c r="AO766" s="25"/>
      <c r="AP766" s="120"/>
      <c r="AQ766" s="120"/>
      <c r="AR766" s="121"/>
      <c r="AS766" s="96"/>
      <c r="AT766" s="122"/>
      <c r="AU766" s="96"/>
      <c r="AV766" s="122"/>
      <c r="AW766" s="122"/>
      <c r="AX766" s="30"/>
      <c r="AY766" s="30"/>
      <c r="AZ766" s="30"/>
      <c r="BA766" s="30"/>
      <c r="BB766" s="26"/>
      <c r="BC766" s="26"/>
      <c r="BD766" s="26"/>
      <c r="BE766" s="26"/>
      <c r="BF766" s="26"/>
    </row>
    <row r="767" spans="1:58" ht="15.75" customHeight="1">
      <c r="A767" s="67"/>
      <c r="B767" s="67"/>
      <c r="C767" s="67"/>
      <c r="D767" s="68"/>
      <c r="E767" s="68"/>
      <c r="F767" s="68"/>
      <c r="G767" s="68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30"/>
      <c r="AO767" s="25"/>
      <c r="AP767" s="120"/>
      <c r="AQ767" s="120"/>
      <c r="AR767" s="121"/>
      <c r="AS767" s="96"/>
      <c r="AT767" s="122"/>
      <c r="AU767" s="96"/>
      <c r="AV767" s="122"/>
      <c r="AW767" s="122"/>
      <c r="AX767" s="30"/>
      <c r="AY767" s="30"/>
      <c r="AZ767" s="30"/>
      <c r="BA767" s="30"/>
      <c r="BB767" s="26"/>
      <c r="BC767" s="26"/>
      <c r="BD767" s="26"/>
      <c r="BE767" s="26"/>
      <c r="BF767" s="26"/>
    </row>
    <row r="768" spans="1:58" ht="15.75" customHeight="1">
      <c r="A768" s="67"/>
      <c r="B768" s="67"/>
      <c r="C768" s="67"/>
      <c r="D768" s="68"/>
      <c r="E768" s="68"/>
      <c r="F768" s="68"/>
      <c r="G768" s="68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30"/>
      <c r="AO768" s="25"/>
      <c r="AP768" s="120"/>
      <c r="AQ768" s="120"/>
      <c r="AR768" s="121"/>
      <c r="AS768" s="96"/>
      <c r="AT768" s="122"/>
      <c r="AU768" s="96"/>
      <c r="AV768" s="122"/>
      <c r="AW768" s="122"/>
      <c r="AX768" s="30"/>
      <c r="AY768" s="30"/>
      <c r="AZ768" s="30"/>
      <c r="BA768" s="30"/>
      <c r="BB768" s="26"/>
      <c r="BC768" s="26"/>
      <c r="BD768" s="26"/>
      <c r="BE768" s="26"/>
      <c r="BF768" s="26"/>
    </row>
    <row r="769" spans="1:58" ht="15.75" customHeight="1">
      <c r="A769" s="67"/>
      <c r="B769" s="67"/>
      <c r="C769" s="67"/>
      <c r="D769" s="68"/>
      <c r="E769" s="68"/>
      <c r="F769" s="68"/>
      <c r="G769" s="68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30"/>
      <c r="AO769" s="25"/>
      <c r="AP769" s="120"/>
      <c r="AQ769" s="120"/>
      <c r="AR769" s="121"/>
      <c r="AS769" s="96"/>
      <c r="AT769" s="122"/>
      <c r="AU769" s="96"/>
      <c r="AV769" s="122"/>
      <c r="AW769" s="122"/>
      <c r="AX769" s="30"/>
      <c r="AY769" s="30"/>
      <c r="AZ769" s="30"/>
      <c r="BA769" s="30"/>
      <c r="BB769" s="26"/>
      <c r="BC769" s="26"/>
      <c r="BD769" s="26"/>
      <c r="BE769" s="26"/>
      <c r="BF769" s="26"/>
    </row>
    <row r="770" spans="1:58" ht="15.75" customHeight="1">
      <c r="A770" s="67"/>
      <c r="B770" s="67"/>
      <c r="C770" s="67"/>
      <c r="D770" s="68"/>
      <c r="E770" s="68"/>
      <c r="F770" s="68"/>
      <c r="G770" s="68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30"/>
      <c r="AO770" s="25"/>
      <c r="AP770" s="120"/>
      <c r="AQ770" s="120"/>
      <c r="AR770" s="121"/>
      <c r="AS770" s="96"/>
      <c r="AT770" s="122"/>
      <c r="AU770" s="96"/>
      <c r="AV770" s="122"/>
      <c r="AW770" s="122"/>
      <c r="AX770" s="30"/>
      <c r="AY770" s="30"/>
      <c r="AZ770" s="30"/>
      <c r="BA770" s="30"/>
      <c r="BB770" s="26"/>
      <c r="BC770" s="26"/>
      <c r="BD770" s="26"/>
      <c r="BE770" s="26"/>
      <c r="BF770" s="26"/>
    </row>
    <row r="771" spans="1:58" ht="15.75" customHeight="1">
      <c r="A771" s="67"/>
      <c r="B771" s="67"/>
      <c r="C771" s="67"/>
      <c r="D771" s="68"/>
      <c r="E771" s="68"/>
      <c r="F771" s="68"/>
      <c r="G771" s="68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30"/>
      <c r="AO771" s="25"/>
      <c r="AP771" s="120"/>
      <c r="AQ771" s="120"/>
      <c r="AR771" s="121"/>
      <c r="AS771" s="96"/>
      <c r="AT771" s="122"/>
      <c r="AU771" s="96"/>
      <c r="AV771" s="122"/>
      <c r="AW771" s="122"/>
      <c r="AX771" s="30"/>
      <c r="AY771" s="30"/>
      <c r="AZ771" s="30"/>
      <c r="BA771" s="30"/>
      <c r="BB771" s="26"/>
      <c r="BC771" s="26"/>
      <c r="BD771" s="26"/>
      <c r="BE771" s="26"/>
      <c r="BF771" s="26"/>
    </row>
    <row r="772" spans="1:58" ht="15.75" customHeight="1">
      <c r="A772" s="67"/>
      <c r="B772" s="67"/>
      <c r="C772" s="67"/>
      <c r="D772" s="68"/>
      <c r="E772" s="68"/>
      <c r="F772" s="68"/>
      <c r="G772" s="68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30"/>
      <c r="AO772" s="25"/>
      <c r="AP772" s="120"/>
      <c r="AQ772" s="120"/>
      <c r="AR772" s="121"/>
      <c r="AS772" s="96"/>
      <c r="AT772" s="122"/>
      <c r="AU772" s="96"/>
      <c r="AV772" s="122"/>
      <c r="AW772" s="122"/>
      <c r="AX772" s="30"/>
      <c r="AY772" s="30"/>
      <c r="AZ772" s="30"/>
      <c r="BA772" s="30"/>
      <c r="BB772" s="26"/>
      <c r="BC772" s="26"/>
      <c r="BD772" s="26"/>
      <c r="BE772" s="26"/>
      <c r="BF772" s="26"/>
    </row>
    <row r="773" spans="1:58" ht="15.75" customHeight="1">
      <c r="A773" s="67"/>
      <c r="B773" s="67"/>
      <c r="C773" s="67"/>
      <c r="D773" s="68"/>
      <c r="E773" s="68"/>
      <c r="F773" s="68"/>
      <c r="G773" s="68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30"/>
      <c r="AO773" s="25"/>
      <c r="AP773" s="120"/>
      <c r="AQ773" s="120"/>
      <c r="AR773" s="121"/>
      <c r="AS773" s="96"/>
      <c r="AT773" s="122"/>
      <c r="AU773" s="96"/>
      <c r="AV773" s="122"/>
      <c r="AW773" s="122"/>
      <c r="AX773" s="30"/>
      <c r="AY773" s="30"/>
      <c r="AZ773" s="30"/>
      <c r="BA773" s="30"/>
      <c r="BB773" s="26"/>
      <c r="BC773" s="26"/>
      <c r="BD773" s="26"/>
      <c r="BE773" s="26"/>
      <c r="BF773" s="26"/>
    </row>
    <row r="774" spans="1:58" ht="15.75" customHeight="1">
      <c r="A774" s="67"/>
      <c r="B774" s="67"/>
      <c r="C774" s="67"/>
      <c r="D774" s="68"/>
      <c r="E774" s="68"/>
      <c r="F774" s="68"/>
      <c r="G774" s="68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30"/>
      <c r="AO774" s="25"/>
      <c r="AP774" s="120"/>
      <c r="AQ774" s="120"/>
      <c r="AR774" s="121"/>
      <c r="AS774" s="96"/>
      <c r="AT774" s="122"/>
      <c r="AU774" s="96"/>
      <c r="AV774" s="122"/>
      <c r="AW774" s="122"/>
      <c r="AX774" s="30"/>
      <c r="AY774" s="30"/>
      <c r="AZ774" s="30"/>
      <c r="BA774" s="30"/>
      <c r="BB774" s="26"/>
      <c r="BC774" s="26"/>
      <c r="BD774" s="26"/>
      <c r="BE774" s="26"/>
      <c r="BF774" s="26"/>
    </row>
    <row r="775" spans="1:58" ht="15.75" customHeight="1">
      <c r="A775" s="67"/>
      <c r="B775" s="67"/>
      <c r="C775" s="67"/>
      <c r="D775" s="68"/>
      <c r="E775" s="68"/>
      <c r="F775" s="68"/>
      <c r="G775" s="68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30"/>
      <c r="AO775" s="25"/>
      <c r="AP775" s="120"/>
      <c r="AQ775" s="120"/>
      <c r="AR775" s="121"/>
      <c r="AS775" s="96"/>
      <c r="AT775" s="122"/>
      <c r="AU775" s="96"/>
      <c r="AV775" s="122"/>
      <c r="AW775" s="122"/>
      <c r="AX775" s="30"/>
      <c r="AY775" s="30"/>
      <c r="AZ775" s="30"/>
      <c r="BA775" s="30"/>
      <c r="BB775" s="26"/>
      <c r="BC775" s="26"/>
      <c r="BD775" s="26"/>
      <c r="BE775" s="26"/>
      <c r="BF775" s="26"/>
    </row>
    <row r="776" spans="1:58" ht="15.75" customHeight="1">
      <c r="A776" s="67"/>
      <c r="B776" s="67"/>
      <c r="C776" s="67"/>
      <c r="D776" s="68"/>
      <c r="E776" s="68"/>
      <c r="F776" s="68"/>
      <c r="G776" s="68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30"/>
      <c r="AO776" s="25"/>
      <c r="AP776" s="120"/>
      <c r="AQ776" s="120"/>
      <c r="AR776" s="121"/>
      <c r="AS776" s="96"/>
      <c r="AT776" s="122"/>
      <c r="AU776" s="96"/>
      <c r="AV776" s="122"/>
      <c r="AW776" s="122"/>
      <c r="AX776" s="30"/>
      <c r="AY776" s="30"/>
      <c r="AZ776" s="30"/>
      <c r="BA776" s="30"/>
      <c r="BB776" s="26"/>
      <c r="BC776" s="26"/>
      <c r="BD776" s="26"/>
      <c r="BE776" s="26"/>
      <c r="BF776" s="26"/>
    </row>
    <row r="777" spans="1:58" ht="15.75" customHeight="1">
      <c r="A777" s="67"/>
      <c r="B777" s="67"/>
      <c r="C777" s="67"/>
      <c r="D777" s="68"/>
      <c r="E777" s="68"/>
      <c r="F777" s="68"/>
      <c r="G777" s="68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30"/>
      <c r="AO777" s="25"/>
      <c r="AP777" s="120"/>
      <c r="AQ777" s="120"/>
      <c r="AR777" s="121"/>
      <c r="AS777" s="96"/>
      <c r="AT777" s="122"/>
      <c r="AU777" s="96"/>
      <c r="AV777" s="122"/>
      <c r="AW777" s="122"/>
      <c r="AX777" s="30"/>
      <c r="AY777" s="30"/>
      <c r="AZ777" s="30"/>
      <c r="BA777" s="30"/>
      <c r="BB777" s="26"/>
      <c r="BC777" s="26"/>
      <c r="BD777" s="26"/>
      <c r="BE777" s="26"/>
      <c r="BF777" s="26"/>
    </row>
    <row r="778" spans="1:58" ht="15.75" customHeight="1">
      <c r="A778" s="67"/>
      <c r="B778" s="67"/>
      <c r="C778" s="67"/>
      <c r="D778" s="68"/>
      <c r="E778" s="68"/>
      <c r="F778" s="68"/>
      <c r="G778" s="68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30"/>
      <c r="AO778" s="25"/>
      <c r="AP778" s="120"/>
      <c r="AQ778" s="120"/>
      <c r="AR778" s="121"/>
      <c r="AS778" s="96"/>
      <c r="AT778" s="122"/>
      <c r="AU778" s="96"/>
      <c r="AV778" s="122"/>
      <c r="AW778" s="122"/>
      <c r="AX778" s="30"/>
      <c r="AY778" s="30"/>
      <c r="AZ778" s="30"/>
      <c r="BA778" s="30"/>
      <c r="BB778" s="26"/>
      <c r="BC778" s="26"/>
      <c r="BD778" s="26"/>
      <c r="BE778" s="26"/>
      <c r="BF778" s="26"/>
    </row>
    <row r="779" spans="1:58" ht="15.75" customHeight="1">
      <c r="A779" s="67"/>
      <c r="B779" s="67"/>
      <c r="C779" s="67"/>
      <c r="D779" s="68"/>
      <c r="E779" s="68"/>
      <c r="F779" s="68"/>
      <c r="G779" s="68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30"/>
      <c r="AO779" s="25"/>
      <c r="AP779" s="120"/>
      <c r="AQ779" s="120"/>
      <c r="AR779" s="121"/>
      <c r="AS779" s="96"/>
      <c r="AT779" s="122"/>
      <c r="AU779" s="96"/>
      <c r="AV779" s="122"/>
      <c r="AW779" s="122"/>
      <c r="AX779" s="30"/>
      <c r="AY779" s="30"/>
      <c r="AZ779" s="30"/>
      <c r="BA779" s="30"/>
      <c r="BB779" s="26"/>
      <c r="BC779" s="26"/>
      <c r="BD779" s="26"/>
      <c r="BE779" s="26"/>
      <c r="BF779" s="26"/>
    </row>
    <row r="780" spans="1:58" ht="15.75" customHeight="1">
      <c r="A780" s="67"/>
      <c r="B780" s="67"/>
      <c r="C780" s="67"/>
      <c r="D780" s="68"/>
      <c r="E780" s="68"/>
      <c r="F780" s="68"/>
      <c r="G780" s="68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30"/>
      <c r="AO780" s="25"/>
      <c r="AP780" s="120"/>
      <c r="AQ780" s="120"/>
      <c r="AR780" s="121"/>
      <c r="AS780" s="96"/>
      <c r="AT780" s="122"/>
      <c r="AU780" s="96"/>
      <c r="AV780" s="122"/>
      <c r="AW780" s="122"/>
      <c r="AX780" s="30"/>
      <c r="AY780" s="30"/>
      <c r="AZ780" s="30"/>
      <c r="BA780" s="30"/>
      <c r="BB780" s="26"/>
      <c r="BC780" s="26"/>
      <c r="BD780" s="26"/>
      <c r="BE780" s="26"/>
      <c r="BF780" s="26"/>
    </row>
    <row r="781" spans="1:58" ht="15.75" customHeight="1">
      <c r="A781" s="67"/>
      <c r="B781" s="67"/>
      <c r="C781" s="67"/>
      <c r="D781" s="68"/>
      <c r="E781" s="68"/>
      <c r="F781" s="68"/>
      <c r="G781" s="68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30"/>
      <c r="AO781" s="25"/>
      <c r="AP781" s="120"/>
      <c r="AQ781" s="120"/>
      <c r="AR781" s="121"/>
      <c r="AS781" s="96"/>
      <c r="AT781" s="122"/>
      <c r="AU781" s="96"/>
      <c r="AV781" s="122"/>
      <c r="AW781" s="122"/>
      <c r="AX781" s="30"/>
      <c r="AY781" s="30"/>
      <c r="AZ781" s="30"/>
      <c r="BA781" s="30"/>
      <c r="BB781" s="26"/>
      <c r="BC781" s="26"/>
      <c r="BD781" s="26"/>
      <c r="BE781" s="26"/>
      <c r="BF781" s="26"/>
    </row>
    <row r="782" spans="1:58" ht="15.75" customHeight="1">
      <c r="A782" s="67"/>
      <c r="B782" s="67"/>
      <c r="C782" s="67"/>
      <c r="D782" s="68"/>
      <c r="E782" s="68"/>
      <c r="F782" s="68"/>
      <c r="G782" s="68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30"/>
      <c r="AO782" s="25"/>
      <c r="AP782" s="120"/>
      <c r="AQ782" s="120"/>
      <c r="AR782" s="121"/>
      <c r="AS782" s="96"/>
      <c r="AT782" s="122"/>
      <c r="AU782" s="96"/>
      <c r="AV782" s="122"/>
      <c r="AW782" s="122"/>
      <c r="AX782" s="30"/>
      <c r="AY782" s="30"/>
      <c r="AZ782" s="30"/>
      <c r="BA782" s="30"/>
      <c r="BB782" s="26"/>
      <c r="BC782" s="26"/>
      <c r="BD782" s="26"/>
      <c r="BE782" s="26"/>
      <c r="BF782" s="26"/>
    </row>
    <row r="783" spans="1:58" ht="15.75" customHeight="1">
      <c r="A783" s="67"/>
      <c r="B783" s="67"/>
      <c r="C783" s="67"/>
      <c r="D783" s="68"/>
      <c r="E783" s="68"/>
      <c r="F783" s="68"/>
      <c r="G783" s="68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30"/>
      <c r="AO783" s="25"/>
      <c r="AP783" s="120"/>
      <c r="AQ783" s="120"/>
      <c r="AR783" s="121"/>
      <c r="AS783" s="96"/>
      <c r="AT783" s="122"/>
      <c r="AU783" s="96"/>
      <c r="AV783" s="122"/>
      <c r="AW783" s="122"/>
      <c r="AX783" s="30"/>
      <c r="AY783" s="30"/>
      <c r="AZ783" s="30"/>
      <c r="BA783" s="30"/>
      <c r="BB783" s="26"/>
      <c r="BC783" s="26"/>
      <c r="BD783" s="26"/>
      <c r="BE783" s="26"/>
      <c r="BF783" s="26"/>
    </row>
    <row r="784" spans="1:58" ht="15.75" customHeight="1">
      <c r="A784" s="67"/>
      <c r="B784" s="67"/>
      <c r="C784" s="67"/>
      <c r="D784" s="68"/>
      <c r="E784" s="68"/>
      <c r="F784" s="68"/>
      <c r="G784" s="68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30"/>
      <c r="AO784" s="25"/>
      <c r="AP784" s="120"/>
      <c r="AQ784" s="120"/>
      <c r="AR784" s="121"/>
      <c r="AS784" s="96"/>
      <c r="AT784" s="122"/>
      <c r="AU784" s="96"/>
      <c r="AV784" s="122"/>
      <c r="AW784" s="122"/>
      <c r="AX784" s="30"/>
      <c r="AY784" s="30"/>
      <c r="AZ784" s="30"/>
      <c r="BA784" s="30"/>
      <c r="BB784" s="26"/>
      <c r="BC784" s="26"/>
      <c r="BD784" s="26"/>
      <c r="BE784" s="26"/>
      <c r="BF784" s="26"/>
    </row>
    <row r="785" spans="1:58" ht="15.75" customHeight="1">
      <c r="A785" s="67"/>
      <c r="B785" s="67"/>
      <c r="C785" s="67"/>
      <c r="D785" s="68"/>
      <c r="E785" s="68"/>
      <c r="F785" s="68"/>
      <c r="G785" s="68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30"/>
      <c r="AO785" s="25"/>
      <c r="AP785" s="120"/>
      <c r="AQ785" s="120"/>
      <c r="AR785" s="121"/>
      <c r="AS785" s="96"/>
      <c r="AT785" s="122"/>
      <c r="AU785" s="96"/>
      <c r="AV785" s="122"/>
      <c r="AW785" s="122"/>
      <c r="AX785" s="30"/>
      <c r="AY785" s="30"/>
      <c r="AZ785" s="30"/>
      <c r="BA785" s="30"/>
      <c r="BB785" s="26"/>
      <c r="BC785" s="26"/>
      <c r="BD785" s="26"/>
      <c r="BE785" s="26"/>
      <c r="BF785" s="26"/>
    </row>
    <row r="786" spans="1:58" ht="15.75" customHeight="1">
      <c r="A786" s="67"/>
      <c r="B786" s="67"/>
      <c r="C786" s="67"/>
      <c r="D786" s="68"/>
      <c r="E786" s="68"/>
      <c r="F786" s="68"/>
      <c r="G786" s="68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30"/>
      <c r="AO786" s="25"/>
      <c r="AP786" s="120"/>
      <c r="AQ786" s="120"/>
      <c r="AR786" s="121"/>
      <c r="AS786" s="96"/>
      <c r="AT786" s="122"/>
      <c r="AU786" s="96"/>
      <c r="AV786" s="122"/>
      <c r="AW786" s="122"/>
      <c r="AX786" s="30"/>
      <c r="AY786" s="30"/>
      <c r="AZ786" s="30"/>
      <c r="BA786" s="30"/>
      <c r="BB786" s="26"/>
      <c r="BC786" s="26"/>
      <c r="BD786" s="26"/>
      <c r="BE786" s="26"/>
      <c r="BF786" s="26"/>
    </row>
    <row r="787" spans="1:58" ht="15.75" customHeight="1">
      <c r="A787" s="67"/>
      <c r="B787" s="67"/>
      <c r="C787" s="67"/>
      <c r="D787" s="68"/>
      <c r="E787" s="68"/>
      <c r="F787" s="68"/>
      <c r="G787" s="68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30"/>
      <c r="AO787" s="25"/>
      <c r="AP787" s="120"/>
      <c r="AQ787" s="120"/>
      <c r="AR787" s="121"/>
      <c r="AS787" s="96"/>
      <c r="AT787" s="122"/>
      <c r="AU787" s="96"/>
      <c r="AV787" s="122"/>
      <c r="AW787" s="122"/>
      <c r="AX787" s="30"/>
      <c r="AY787" s="30"/>
      <c r="AZ787" s="30"/>
      <c r="BA787" s="30"/>
      <c r="BB787" s="26"/>
      <c r="BC787" s="26"/>
      <c r="BD787" s="26"/>
      <c r="BE787" s="26"/>
      <c r="BF787" s="26"/>
    </row>
    <row r="788" spans="1:58" ht="15.75" customHeight="1">
      <c r="A788" s="67"/>
      <c r="B788" s="67"/>
      <c r="C788" s="67"/>
      <c r="D788" s="68"/>
      <c r="E788" s="68"/>
      <c r="F788" s="68"/>
      <c r="G788" s="68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30"/>
      <c r="AO788" s="25"/>
      <c r="AP788" s="120"/>
      <c r="AQ788" s="120"/>
      <c r="AR788" s="121"/>
      <c r="AS788" s="96"/>
      <c r="AT788" s="122"/>
      <c r="AU788" s="96"/>
      <c r="AV788" s="122"/>
      <c r="AW788" s="122"/>
      <c r="AX788" s="30"/>
      <c r="AY788" s="30"/>
      <c r="AZ788" s="30"/>
      <c r="BA788" s="30"/>
      <c r="BB788" s="26"/>
      <c r="BC788" s="26"/>
      <c r="BD788" s="26"/>
      <c r="BE788" s="26"/>
      <c r="BF788" s="26"/>
    </row>
    <row r="789" spans="1:58" ht="15.75" customHeight="1">
      <c r="A789" s="67"/>
      <c r="B789" s="67"/>
      <c r="C789" s="67"/>
      <c r="D789" s="68"/>
      <c r="E789" s="68"/>
      <c r="F789" s="68"/>
      <c r="G789" s="68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30"/>
      <c r="AO789" s="25"/>
      <c r="AP789" s="120"/>
      <c r="AQ789" s="120"/>
      <c r="AR789" s="121"/>
      <c r="AS789" s="96"/>
      <c r="AT789" s="122"/>
      <c r="AU789" s="96"/>
      <c r="AV789" s="122"/>
      <c r="AW789" s="122"/>
      <c r="AX789" s="30"/>
      <c r="AY789" s="30"/>
      <c r="AZ789" s="30"/>
      <c r="BA789" s="30"/>
      <c r="BB789" s="26"/>
      <c r="BC789" s="26"/>
      <c r="BD789" s="26"/>
      <c r="BE789" s="26"/>
      <c r="BF789" s="26"/>
    </row>
    <row r="790" spans="1:58" ht="15.75" customHeight="1">
      <c r="A790" s="67"/>
      <c r="B790" s="67"/>
      <c r="C790" s="67"/>
      <c r="D790" s="68"/>
      <c r="E790" s="68"/>
      <c r="F790" s="68"/>
      <c r="G790" s="68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30"/>
      <c r="AO790" s="25"/>
      <c r="AP790" s="120"/>
      <c r="AQ790" s="120"/>
      <c r="AR790" s="121"/>
      <c r="AS790" s="96"/>
      <c r="AT790" s="122"/>
      <c r="AU790" s="96"/>
      <c r="AV790" s="122"/>
      <c r="AW790" s="122"/>
      <c r="AX790" s="30"/>
      <c r="AY790" s="30"/>
      <c r="AZ790" s="30"/>
      <c r="BA790" s="30"/>
      <c r="BB790" s="26"/>
      <c r="BC790" s="26"/>
      <c r="BD790" s="26"/>
      <c r="BE790" s="26"/>
      <c r="BF790" s="26"/>
    </row>
    <row r="791" spans="1:58" ht="15.75" customHeight="1">
      <c r="A791" s="67"/>
      <c r="B791" s="67"/>
      <c r="C791" s="67"/>
      <c r="D791" s="68"/>
      <c r="E791" s="68"/>
      <c r="F791" s="68"/>
      <c r="G791" s="68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30"/>
      <c r="AO791" s="25"/>
      <c r="AP791" s="120"/>
      <c r="AQ791" s="120"/>
      <c r="AR791" s="121"/>
      <c r="AS791" s="96"/>
      <c r="AT791" s="122"/>
      <c r="AU791" s="96"/>
      <c r="AV791" s="122"/>
      <c r="AW791" s="122"/>
      <c r="AX791" s="30"/>
      <c r="AY791" s="30"/>
      <c r="AZ791" s="30"/>
      <c r="BA791" s="30"/>
      <c r="BB791" s="26"/>
      <c r="BC791" s="26"/>
      <c r="BD791" s="26"/>
      <c r="BE791" s="26"/>
      <c r="BF791" s="26"/>
    </row>
    <row r="792" spans="1:58" ht="15.75" customHeight="1">
      <c r="A792" s="67"/>
      <c r="B792" s="67"/>
      <c r="C792" s="67"/>
      <c r="D792" s="68"/>
      <c r="E792" s="68"/>
      <c r="F792" s="68"/>
      <c r="G792" s="68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30"/>
      <c r="AO792" s="25"/>
      <c r="AP792" s="120"/>
      <c r="AQ792" s="120"/>
      <c r="AR792" s="121"/>
      <c r="AS792" s="96"/>
      <c r="AT792" s="122"/>
      <c r="AU792" s="96"/>
      <c r="AV792" s="122"/>
      <c r="AW792" s="122"/>
      <c r="AX792" s="30"/>
      <c r="AY792" s="30"/>
      <c r="AZ792" s="30"/>
      <c r="BA792" s="30"/>
      <c r="BB792" s="26"/>
      <c r="BC792" s="26"/>
      <c r="BD792" s="26"/>
      <c r="BE792" s="26"/>
      <c r="BF792" s="26"/>
    </row>
    <row r="793" spans="1:58" ht="15.75" customHeight="1">
      <c r="A793" s="67"/>
      <c r="B793" s="67"/>
      <c r="C793" s="67"/>
      <c r="D793" s="68"/>
      <c r="E793" s="68"/>
      <c r="F793" s="68"/>
      <c r="G793" s="68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30"/>
      <c r="AO793" s="25"/>
      <c r="AP793" s="120"/>
      <c r="AQ793" s="120"/>
      <c r="AR793" s="121"/>
      <c r="AS793" s="96"/>
      <c r="AT793" s="122"/>
      <c r="AU793" s="96"/>
      <c r="AV793" s="122"/>
      <c r="AW793" s="122"/>
      <c r="AX793" s="30"/>
      <c r="AY793" s="30"/>
      <c r="AZ793" s="30"/>
      <c r="BA793" s="30"/>
      <c r="BB793" s="26"/>
      <c r="BC793" s="26"/>
      <c r="BD793" s="26"/>
      <c r="BE793" s="26"/>
      <c r="BF793" s="26"/>
    </row>
    <row r="794" spans="1:58" ht="15.75" customHeight="1">
      <c r="A794" s="67"/>
      <c r="B794" s="67"/>
      <c r="C794" s="67"/>
      <c r="D794" s="68"/>
      <c r="E794" s="68"/>
      <c r="F794" s="68"/>
      <c r="G794" s="68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30"/>
      <c r="AO794" s="25"/>
      <c r="AP794" s="120"/>
      <c r="AQ794" s="120"/>
      <c r="AR794" s="121"/>
      <c r="AS794" s="96"/>
      <c r="AT794" s="122"/>
      <c r="AU794" s="96"/>
      <c r="AV794" s="122"/>
      <c r="AW794" s="122"/>
      <c r="AX794" s="30"/>
      <c r="AY794" s="30"/>
      <c r="AZ794" s="30"/>
      <c r="BA794" s="30"/>
      <c r="BB794" s="26"/>
      <c r="BC794" s="26"/>
      <c r="BD794" s="26"/>
      <c r="BE794" s="26"/>
      <c r="BF794" s="26"/>
    </row>
    <row r="795" spans="1:58" ht="15.75" customHeight="1">
      <c r="A795" s="67"/>
      <c r="B795" s="67"/>
      <c r="C795" s="67"/>
      <c r="D795" s="68"/>
      <c r="E795" s="68"/>
      <c r="F795" s="68"/>
      <c r="G795" s="68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30"/>
      <c r="AO795" s="25"/>
      <c r="AP795" s="120"/>
      <c r="AQ795" s="120"/>
      <c r="AR795" s="121"/>
      <c r="AS795" s="96"/>
      <c r="AT795" s="122"/>
      <c r="AU795" s="96"/>
      <c r="AV795" s="122"/>
      <c r="AW795" s="122"/>
      <c r="AX795" s="30"/>
      <c r="AY795" s="30"/>
      <c r="AZ795" s="30"/>
      <c r="BA795" s="30"/>
      <c r="BB795" s="26"/>
      <c r="BC795" s="26"/>
      <c r="BD795" s="26"/>
      <c r="BE795" s="26"/>
      <c r="BF795" s="26"/>
    </row>
    <row r="796" spans="1:58" ht="15.75" customHeight="1">
      <c r="A796" s="67"/>
      <c r="B796" s="67"/>
      <c r="C796" s="67"/>
      <c r="D796" s="68"/>
      <c r="E796" s="68"/>
      <c r="F796" s="68"/>
      <c r="G796" s="68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30"/>
      <c r="AO796" s="25"/>
      <c r="AP796" s="120"/>
      <c r="AQ796" s="120"/>
      <c r="AR796" s="121"/>
      <c r="AS796" s="96"/>
      <c r="AT796" s="122"/>
      <c r="AU796" s="96"/>
      <c r="AV796" s="122"/>
      <c r="AW796" s="122"/>
      <c r="AX796" s="30"/>
      <c r="AY796" s="30"/>
      <c r="AZ796" s="30"/>
      <c r="BA796" s="30"/>
      <c r="BB796" s="26"/>
      <c r="BC796" s="26"/>
      <c r="BD796" s="26"/>
      <c r="BE796" s="26"/>
      <c r="BF796" s="26"/>
    </row>
    <row r="797" spans="1:58" ht="15.75" customHeight="1">
      <c r="A797" s="67"/>
      <c r="B797" s="67"/>
      <c r="C797" s="67"/>
      <c r="D797" s="68"/>
      <c r="E797" s="68"/>
      <c r="F797" s="68"/>
      <c r="G797" s="68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30"/>
      <c r="AO797" s="25"/>
      <c r="AP797" s="120"/>
      <c r="AQ797" s="120"/>
      <c r="AR797" s="121"/>
      <c r="AS797" s="96"/>
      <c r="AT797" s="122"/>
      <c r="AU797" s="96"/>
      <c r="AV797" s="122"/>
      <c r="AW797" s="122"/>
      <c r="AX797" s="30"/>
      <c r="AY797" s="30"/>
      <c r="AZ797" s="30"/>
      <c r="BA797" s="30"/>
      <c r="BB797" s="26"/>
      <c r="BC797" s="26"/>
      <c r="BD797" s="26"/>
      <c r="BE797" s="26"/>
      <c r="BF797" s="26"/>
    </row>
    <row r="798" spans="1:58" ht="15.75" customHeight="1">
      <c r="A798" s="67"/>
      <c r="B798" s="67"/>
      <c r="C798" s="67"/>
      <c r="D798" s="68"/>
      <c r="E798" s="68"/>
      <c r="F798" s="68"/>
      <c r="G798" s="68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30"/>
      <c r="AO798" s="25"/>
      <c r="AP798" s="120"/>
      <c r="AQ798" s="120"/>
      <c r="AR798" s="121"/>
      <c r="AS798" s="96"/>
      <c r="AT798" s="122"/>
      <c r="AU798" s="96"/>
      <c r="AV798" s="122"/>
      <c r="AW798" s="122"/>
      <c r="AX798" s="30"/>
      <c r="AY798" s="30"/>
      <c r="AZ798" s="30"/>
      <c r="BA798" s="30"/>
      <c r="BB798" s="26"/>
      <c r="BC798" s="26"/>
      <c r="BD798" s="26"/>
      <c r="BE798" s="26"/>
      <c r="BF798" s="26"/>
    </row>
    <row r="799" spans="1:58" ht="15.75" customHeight="1">
      <c r="A799" s="67"/>
      <c r="B799" s="67"/>
      <c r="C799" s="67"/>
      <c r="D799" s="68"/>
      <c r="E799" s="68"/>
      <c r="F799" s="68"/>
      <c r="G799" s="68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30"/>
      <c r="AO799" s="25"/>
      <c r="AP799" s="120"/>
      <c r="AQ799" s="120"/>
      <c r="AR799" s="121"/>
      <c r="AS799" s="96"/>
      <c r="AT799" s="122"/>
      <c r="AU799" s="96"/>
      <c r="AV799" s="122"/>
      <c r="AW799" s="122"/>
      <c r="AX799" s="30"/>
      <c r="AY799" s="30"/>
      <c r="AZ799" s="30"/>
      <c r="BA799" s="30"/>
      <c r="BB799" s="26"/>
      <c r="BC799" s="26"/>
      <c r="BD799" s="26"/>
      <c r="BE799" s="26"/>
      <c r="BF799" s="26"/>
    </row>
    <row r="800" spans="1:58" ht="15.75" customHeight="1">
      <c r="A800" s="67"/>
      <c r="B800" s="67"/>
      <c r="C800" s="67"/>
      <c r="D800" s="68"/>
      <c r="E800" s="68"/>
      <c r="F800" s="68"/>
      <c r="G800" s="68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30"/>
      <c r="AO800" s="25"/>
      <c r="AP800" s="120"/>
      <c r="AQ800" s="120"/>
      <c r="AR800" s="121"/>
      <c r="AS800" s="96"/>
      <c r="AT800" s="122"/>
      <c r="AU800" s="96"/>
      <c r="AV800" s="122"/>
      <c r="AW800" s="122"/>
      <c r="AX800" s="30"/>
      <c r="AY800" s="30"/>
      <c r="AZ800" s="30"/>
      <c r="BA800" s="30"/>
      <c r="BB800" s="26"/>
      <c r="BC800" s="26"/>
      <c r="BD800" s="26"/>
      <c r="BE800" s="26"/>
      <c r="BF800" s="26"/>
    </row>
    <row r="801" spans="1:58" ht="15.75" customHeight="1">
      <c r="A801" s="67"/>
      <c r="B801" s="67"/>
      <c r="C801" s="67"/>
      <c r="D801" s="68"/>
      <c r="E801" s="68"/>
      <c r="F801" s="68"/>
      <c r="G801" s="68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30"/>
      <c r="AO801" s="25"/>
      <c r="AP801" s="120"/>
      <c r="AQ801" s="120"/>
      <c r="AR801" s="121"/>
      <c r="AS801" s="96"/>
      <c r="AT801" s="122"/>
      <c r="AU801" s="96"/>
      <c r="AV801" s="122"/>
      <c r="AW801" s="122"/>
      <c r="AX801" s="30"/>
      <c r="AY801" s="30"/>
      <c r="AZ801" s="30"/>
      <c r="BA801" s="30"/>
      <c r="BB801" s="26"/>
      <c r="BC801" s="26"/>
      <c r="BD801" s="26"/>
      <c r="BE801" s="26"/>
      <c r="BF801" s="26"/>
    </row>
    <row r="802" spans="1:58" ht="15.75" customHeight="1">
      <c r="A802" s="67"/>
      <c r="B802" s="67"/>
      <c r="C802" s="67"/>
      <c r="D802" s="68"/>
      <c r="E802" s="68"/>
      <c r="F802" s="68"/>
      <c r="G802" s="68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30"/>
      <c r="AO802" s="25"/>
      <c r="AP802" s="120"/>
      <c r="AQ802" s="120"/>
      <c r="AR802" s="121"/>
      <c r="AS802" s="96"/>
      <c r="AT802" s="122"/>
      <c r="AU802" s="96"/>
      <c r="AV802" s="122"/>
      <c r="AW802" s="122"/>
      <c r="AX802" s="30"/>
      <c r="AY802" s="30"/>
      <c r="AZ802" s="30"/>
      <c r="BA802" s="30"/>
      <c r="BB802" s="26"/>
      <c r="BC802" s="26"/>
      <c r="BD802" s="26"/>
      <c r="BE802" s="26"/>
      <c r="BF802" s="26"/>
    </row>
    <row r="803" spans="1:58" ht="15.75" customHeight="1">
      <c r="A803" s="67"/>
      <c r="B803" s="67"/>
      <c r="C803" s="67"/>
      <c r="D803" s="68"/>
      <c r="E803" s="68"/>
      <c r="F803" s="68"/>
      <c r="G803" s="68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30"/>
      <c r="AO803" s="25"/>
      <c r="AP803" s="120"/>
      <c r="AQ803" s="120"/>
      <c r="AR803" s="121"/>
      <c r="AS803" s="96"/>
      <c r="AT803" s="122"/>
      <c r="AU803" s="96"/>
      <c r="AV803" s="122"/>
      <c r="AW803" s="122"/>
      <c r="AX803" s="30"/>
      <c r="AY803" s="30"/>
      <c r="AZ803" s="30"/>
      <c r="BA803" s="30"/>
      <c r="BB803" s="26"/>
      <c r="BC803" s="26"/>
      <c r="BD803" s="26"/>
      <c r="BE803" s="26"/>
      <c r="BF803" s="26"/>
    </row>
    <row r="804" spans="1:58" ht="15.75" customHeight="1">
      <c r="A804" s="67"/>
      <c r="B804" s="67"/>
      <c r="C804" s="67"/>
      <c r="D804" s="68"/>
      <c r="E804" s="68"/>
      <c r="F804" s="68"/>
      <c r="G804" s="68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30"/>
      <c r="AO804" s="25"/>
      <c r="AP804" s="120"/>
      <c r="AQ804" s="120"/>
      <c r="AR804" s="121"/>
      <c r="AS804" s="96"/>
      <c r="AT804" s="122"/>
      <c r="AU804" s="96"/>
      <c r="AV804" s="122"/>
      <c r="AW804" s="122"/>
      <c r="AX804" s="30"/>
      <c r="AY804" s="30"/>
      <c r="AZ804" s="30"/>
      <c r="BA804" s="30"/>
      <c r="BB804" s="26"/>
      <c r="BC804" s="26"/>
      <c r="BD804" s="26"/>
      <c r="BE804" s="26"/>
      <c r="BF804" s="26"/>
    </row>
    <row r="805" spans="1:58" ht="15.75" customHeight="1">
      <c r="A805" s="67"/>
      <c r="B805" s="67"/>
      <c r="C805" s="67"/>
      <c r="D805" s="68"/>
      <c r="E805" s="68"/>
      <c r="F805" s="68"/>
      <c r="G805" s="68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30"/>
      <c r="AO805" s="25"/>
      <c r="AP805" s="120"/>
      <c r="AQ805" s="120"/>
      <c r="AR805" s="121"/>
      <c r="AS805" s="96"/>
      <c r="AT805" s="122"/>
      <c r="AU805" s="96"/>
      <c r="AV805" s="122"/>
      <c r="AW805" s="122"/>
      <c r="AX805" s="30"/>
      <c r="AY805" s="30"/>
      <c r="AZ805" s="30"/>
      <c r="BA805" s="30"/>
      <c r="BB805" s="26"/>
      <c r="BC805" s="26"/>
      <c r="BD805" s="26"/>
      <c r="BE805" s="26"/>
      <c r="BF805" s="26"/>
    </row>
    <row r="806" spans="1:58" ht="15.75" customHeight="1">
      <c r="A806" s="67"/>
      <c r="B806" s="67"/>
      <c r="C806" s="67"/>
      <c r="D806" s="68"/>
      <c r="E806" s="68"/>
      <c r="F806" s="68"/>
      <c r="G806" s="68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30"/>
      <c r="AO806" s="25"/>
      <c r="AP806" s="120"/>
      <c r="AQ806" s="120"/>
      <c r="AR806" s="121"/>
      <c r="AS806" s="96"/>
      <c r="AT806" s="122"/>
      <c r="AU806" s="96"/>
      <c r="AV806" s="122"/>
      <c r="AW806" s="122"/>
      <c r="AX806" s="30"/>
      <c r="AY806" s="30"/>
      <c r="AZ806" s="30"/>
      <c r="BA806" s="30"/>
      <c r="BB806" s="26"/>
      <c r="BC806" s="26"/>
      <c r="BD806" s="26"/>
      <c r="BE806" s="26"/>
      <c r="BF806" s="26"/>
    </row>
    <row r="807" spans="1:58" ht="15.75" customHeight="1">
      <c r="A807" s="67"/>
      <c r="B807" s="67"/>
      <c r="C807" s="67"/>
      <c r="D807" s="68"/>
      <c r="E807" s="68"/>
      <c r="F807" s="68"/>
      <c r="G807" s="68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30"/>
      <c r="AO807" s="25"/>
      <c r="AP807" s="120"/>
      <c r="AQ807" s="120"/>
      <c r="AR807" s="121"/>
      <c r="AS807" s="96"/>
      <c r="AT807" s="122"/>
      <c r="AU807" s="96"/>
      <c r="AV807" s="122"/>
      <c r="AW807" s="122"/>
      <c r="AX807" s="30"/>
      <c r="AY807" s="30"/>
      <c r="AZ807" s="30"/>
      <c r="BA807" s="30"/>
      <c r="BB807" s="26"/>
      <c r="BC807" s="26"/>
      <c r="BD807" s="26"/>
      <c r="BE807" s="26"/>
      <c r="BF807" s="26"/>
    </row>
    <row r="808" spans="1:58" ht="15.75" customHeight="1">
      <c r="A808" s="67"/>
      <c r="B808" s="67"/>
      <c r="C808" s="67"/>
      <c r="D808" s="68"/>
      <c r="E808" s="68"/>
      <c r="F808" s="68"/>
      <c r="G808" s="68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30"/>
      <c r="AO808" s="25"/>
      <c r="AP808" s="120"/>
      <c r="AQ808" s="120"/>
      <c r="AR808" s="121"/>
      <c r="AS808" s="96"/>
      <c r="AT808" s="122"/>
      <c r="AU808" s="96"/>
      <c r="AV808" s="122"/>
      <c r="AW808" s="122"/>
      <c r="AX808" s="30"/>
      <c r="AY808" s="30"/>
      <c r="AZ808" s="30"/>
      <c r="BA808" s="30"/>
      <c r="BB808" s="26"/>
      <c r="BC808" s="26"/>
      <c r="BD808" s="26"/>
      <c r="BE808" s="26"/>
      <c r="BF808" s="26"/>
    </row>
    <row r="809" spans="1:58" ht="15.75" customHeight="1">
      <c r="A809" s="67"/>
      <c r="B809" s="67"/>
      <c r="C809" s="67"/>
      <c r="D809" s="68"/>
      <c r="E809" s="68"/>
      <c r="F809" s="68"/>
      <c r="G809" s="68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30"/>
      <c r="AO809" s="25"/>
      <c r="AP809" s="120"/>
      <c r="AQ809" s="120"/>
      <c r="AR809" s="121"/>
      <c r="AS809" s="96"/>
      <c r="AT809" s="122"/>
      <c r="AU809" s="96"/>
      <c r="AV809" s="122"/>
      <c r="AW809" s="122"/>
      <c r="AX809" s="30"/>
      <c r="AY809" s="30"/>
      <c r="AZ809" s="30"/>
      <c r="BA809" s="30"/>
      <c r="BB809" s="26"/>
      <c r="BC809" s="26"/>
      <c r="BD809" s="26"/>
      <c r="BE809" s="26"/>
      <c r="BF809" s="26"/>
    </row>
    <row r="810" spans="1:58" ht="15.75" customHeight="1">
      <c r="A810" s="67"/>
      <c r="B810" s="67"/>
      <c r="C810" s="67"/>
      <c r="D810" s="68"/>
      <c r="E810" s="68"/>
      <c r="F810" s="68"/>
      <c r="G810" s="68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30"/>
      <c r="AO810" s="25"/>
      <c r="AP810" s="120"/>
      <c r="AQ810" s="120"/>
      <c r="AR810" s="121"/>
      <c r="AS810" s="96"/>
      <c r="AT810" s="122"/>
      <c r="AU810" s="96"/>
      <c r="AV810" s="122"/>
      <c r="AW810" s="122"/>
      <c r="AX810" s="30"/>
      <c r="AY810" s="30"/>
      <c r="AZ810" s="30"/>
      <c r="BA810" s="30"/>
      <c r="BB810" s="26"/>
      <c r="BC810" s="26"/>
      <c r="BD810" s="26"/>
      <c r="BE810" s="26"/>
      <c r="BF810" s="26"/>
    </row>
    <row r="811" spans="1:58" ht="15.75" customHeight="1">
      <c r="A811" s="67"/>
      <c r="B811" s="67"/>
      <c r="C811" s="67"/>
      <c r="D811" s="68"/>
      <c r="E811" s="68"/>
      <c r="F811" s="68"/>
      <c r="G811" s="68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30"/>
      <c r="AO811" s="25"/>
      <c r="AP811" s="120"/>
      <c r="AQ811" s="120"/>
      <c r="AR811" s="121"/>
      <c r="AS811" s="96"/>
      <c r="AT811" s="122"/>
      <c r="AU811" s="96"/>
      <c r="AV811" s="122"/>
      <c r="AW811" s="122"/>
      <c r="AX811" s="30"/>
      <c r="AY811" s="30"/>
      <c r="AZ811" s="30"/>
      <c r="BA811" s="30"/>
      <c r="BB811" s="26"/>
      <c r="BC811" s="26"/>
      <c r="BD811" s="26"/>
      <c r="BE811" s="26"/>
      <c r="BF811" s="26"/>
    </row>
    <row r="812" spans="1:58" ht="15.75" customHeight="1">
      <c r="A812" s="67"/>
      <c r="B812" s="67"/>
      <c r="C812" s="67"/>
      <c r="D812" s="68"/>
      <c r="E812" s="68"/>
      <c r="F812" s="68"/>
      <c r="G812" s="68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30"/>
      <c r="AO812" s="25"/>
      <c r="AP812" s="120"/>
      <c r="AQ812" s="120"/>
      <c r="AR812" s="121"/>
      <c r="AS812" s="96"/>
      <c r="AT812" s="122"/>
      <c r="AU812" s="96"/>
      <c r="AV812" s="122"/>
      <c r="AW812" s="122"/>
      <c r="AX812" s="30"/>
      <c r="AY812" s="30"/>
      <c r="AZ812" s="30"/>
      <c r="BA812" s="30"/>
      <c r="BB812" s="26"/>
      <c r="BC812" s="26"/>
      <c r="BD812" s="26"/>
      <c r="BE812" s="26"/>
      <c r="BF812" s="26"/>
    </row>
    <row r="813" spans="1:58" ht="15.75" customHeight="1">
      <c r="A813" s="67"/>
      <c r="B813" s="67"/>
      <c r="C813" s="67"/>
      <c r="D813" s="68"/>
      <c r="E813" s="68"/>
      <c r="F813" s="68"/>
      <c r="G813" s="68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30"/>
      <c r="AO813" s="25"/>
      <c r="AP813" s="120"/>
      <c r="AQ813" s="120"/>
      <c r="AR813" s="121"/>
      <c r="AS813" s="96"/>
      <c r="AT813" s="122"/>
      <c r="AU813" s="96"/>
      <c r="AV813" s="122"/>
      <c r="AW813" s="122"/>
      <c r="AX813" s="30"/>
      <c r="AY813" s="30"/>
      <c r="AZ813" s="30"/>
      <c r="BA813" s="30"/>
      <c r="BB813" s="26"/>
      <c r="BC813" s="26"/>
      <c r="BD813" s="26"/>
      <c r="BE813" s="26"/>
      <c r="BF813" s="26"/>
    </row>
    <row r="814" spans="1:58" ht="15.75" customHeight="1">
      <c r="A814" s="67"/>
      <c r="B814" s="67"/>
      <c r="C814" s="67"/>
      <c r="D814" s="68"/>
      <c r="E814" s="68"/>
      <c r="F814" s="68"/>
      <c r="G814" s="68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30"/>
      <c r="AO814" s="25"/>
      <c r="AP814" s="120"/>
      <c r="AQ814" s="120"/>
      <c r="AR814" s="121"/>
      <c r="AS814" s="96"/>
      <c r="AT814" s="122"/>
      <c r="AU814" s="96"/>
      <c r="AV814" s="122"/>
      <c r="AW814" s="122"/>
      <c r="AX814" s="30"/>
      <c r="AY814" s="30"/>
      <c r="AZ814" s="30"/>
      <c r="BA814" s="30"/>
      <c r="BB814" s="26"/>
      <c r="BC814" s="26"/>
      <c r="BD814" s="26"/>
      <c r="BE814" s="26"/>
      <c r="BF814" s="26"/>
    </row>
    <row r="815" spans="1:58" ht="15.75" customHeight="1">
      <c r="A815" s="67"/>
      <c r="B815" s="67"/>
      <c r="C815" s="67"/>
      <c r="D815" s="68"/>
      <c r="E815" s="68"/>
      <c r="F815" s="68"/>
      <c r="G815" s="68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30"/>
      <c r="AO815" s="25"/>
      <c r="AP815" s="120"/>
      <c r="AQ815" s="120"/>
      <c r="AR815" s="121"/>
      <c r="AS815" s="96"/>
      <c r="AT815" s="122"/>
      <c r="AU815" s="96"/>
      <c r="AV815" s="122"/>
      <c r="AW815" s="122"/>
      <c r="AX815" s="30"/>
      <c r="AY815" s="30"/>
      <c r="AZ815" s="30"/>
      <c r="BA815" s="30"/>
      <c r="BB815" s="26"/>
      <c r="BC815" s="26"/>
      <c r="BD815" s="26"/>
      <c r="BE815" s="26"/>
      <c r="BF815" s="26"/>
    </row>
    <row r="816" spans="1:58" ht="15.75" customHeight="1">
      <c r="A816" s="67"/>
      <c r="B816" s="67"/>
      <c r="C816" s="67"/>
      <c r="D816" s="68"/>
      <c r="E816" s="68"/>
      <c r="F816" s="68"/>
      <c r="G816" s="68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30"/>
      <c r="AO816" s="25"/>
      <c r="AP816" s="120"/>
      <c r="AQ816" s="120"/>
      <c r="AR816" s="121"/>
      <c r="AS816" s="96"/>
      <c r="AT816" s="122"/>
      <c r="AU816" s="96"/>
      <c r="AV816" s="122"/>
      <c r="AW816" s="122"/>
      <c r="AX816" s="30"/>
      <c r="AY816" s="30"/>
      <c r="AZ816" s="30"/>
      <c r="BA816" s="30"/>
      <c r="BB816" s="26"/>
      <c r="BC816" s="26"/>
      <c r="BD816" s="26"/>
      <c r="BE816" s="26"/>
      <c r="BF816" s="26"/>
    </row>
    <row r="817" spans="1:58" ht="15.75" customHeight="1">
      <c r="A817" s="67"/>
      <c r="B817" s="67"/>
      <c r="C817" s="67"/>
      <c r="D817" s="68"/>
      <c r="E817" s="68"/>
      <c r="F817" s="68"/>
      <c r="G817" s="68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30"/>
      <c r="AO817" s="25"/>
      <c r="AP817" s="120"/>
      <c r="AQ817" s="120"/>
      <c r="AR817" s="121"/>
      <c r="AS817" s="96"/>
      <c r="AT817" s="122"/>
      <c r="AU817" s="96"/>
      <c r="AV817" s="122"/>
      <c r="AW817" s="122"/>
      <c r="AX817" s="30"/>
      <c r="AY817" s="30"/>
      <c r="AZ817" s="30"/>
      <c r="BA817" s="30"/>
      <c r="BB817" s="26"/>
      <c r="BC817" s="26"/>
      <c r="BD817" s="26"/>
      <c r="BE817" s="26"/>
      <c r="BF817" s="26"/>
    </row>
    <row r="818" spans="1:58" ht="15.75" customHeight="1">
      <c r="A818" s="67"/>
      <c r="B818" s="67"/>
      <c r="C818" s="67"/>
      <c r="D818" s="68"/>
      <c r="E818" s="68"/>
      <c r="F818" s="68"/>
      <c r="G818" s="68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30"/>
      <c r="AO818" s="25"/>
      <c r="AP818" s="120"/>
      <c r="AQ818" s="120"/>
      <c r="AR818" s="121"/>
      <c r="AS818" s="96"/>
      <c r="AT818" s="122"/>
      <c r="AU818" s="96"/>
      <c r="AV818" s="122"/>
      <c r="AW818" s="122"/>
      <c r="AX818" s="30"/>
      <c r="AY818" s="30"/>
      <c r="AZ818" s="30"/>
      <c r="BA818" s="30"/>
      <c r="BB818" s="26"/>
      <c r="BC818" s="26"/>
      <c r="BD818" s="26"/>
      <c r="BE818" s="26"/>
      <c r="BF818" s="26"/>
    </row>
    <row r="819" spans="1:58" ht="15.75" customHeight="1">
      <c r="A819" s="67"/>
      <c r="B819" s="67"/>
      <c r="C819" s="67"/>
      <c r="D819" s="68"/>
      <c r="E819" s="68"/>
      <c r="F819" s="68"/>
      <c r="G819" s="68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30"/>
      <c r="AO819" s="25"/>
      <c r="AP819" s="120"/>
      <c r="AQ819" s="120"/>
      <c r="AR819" s="121"/>
      <c r="AS819" s="96"/>
      <c r="AT819" s="122"/>
      <c r="AU819" s="96"/>
      <c r="AV819" s="122"/>
      <c r="AW819" s="122"/>
      <c r="AX819" s="30"/>
      <c r="AY819" s="30"/>
      <c r="AZ819" s="30"/>
      <c r="BA819" s="30"/>
      <c r="BB819" s="26"/>
      <c r="BC819" s="26"/>
      <c r="BD819" s="26"/>
      <c r="BE819" s="26"/>
      <c r="BF819" s="26"/>
    </row>
    <row r="820" spans="1:58" ht="15.75" customHeight="1">
      <c r="A820" s="67"/>
      <c r="B820" s="67"/>
      <c r="C820" s="67"/>
      <c r="D820" s="68"/>
      <c r="E820" s="68"/>
      <c r="F820" s="68"/>
      <c r="G820" s="68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30"/>
      <c r="AO820" s="25"/>
      <c r="AP820" s="120"/>
      <c r="AQ820" s="120"/>
      <c r="AR820" s="121"/>
      <c r="AS820" s="96"/>
      <c r="AT820" s="122"/>
      <c r="AU820" s="96"/>
      <c r="AV820" s="122"/>
      <c r="AW820" s="122"/>
      <c r="AX820" s="30"/>
      <c r="AY820" s="30"/>
      <c r="AZ820" s="30"/>
      <c r="BA820" s="30"/>
      <c r="BB820" s="26"/>
      <c r="BC820" s="26"/>
      <c r="BD820" s="26"/>
      <c r="BE820" s="26"/>
      <c r="BF820" s="26"/>
    </row>
    <row r="821" spans="1:58" ht="15.75" customHeight="1">
      <c r="A821" s="67"/>
      <c r="B821" s="67"/>
      <c r="C821" s="67"/>
      <c r="D821" s="68"/>
      <c r="E821" s="68"/>
      <c r="F821" s="68"/>
      <c r="G821" s="68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30"/>
      <c r="AO821" s="25"/>
      <c r="AP821" s="120"/>
      <c r="AQ821" s="120"/>
      <c r="AR821" s="121"/>
      <c r="AS821" s="96"/>
      <c r="AT821" s="122"/>
      <c r="AU821" s="96"/>
      <c r="AV821" s="122"/>
      <c r="AW821" s="122"/>
      <c r="AX821" s="30"/>
      <c r="AY821" s="30"/>
      <c r="AZ821" s="30"/>
      <c r="BA821" s="30"/>
      <c r="BB821" s="26"/>
      <c r="BC821" s="26"/>
      <c r="BD821" s="26"/>
      <c r="BE821" s="26"/>
      <c r="BF821" s="26"/>
    </row>
    <row r="822" spans="1:58" ht="15.75" customHeight="1">
      <c r="A822" s="67"/>
      <c r="B822" s="67"/>
      <c r="C822" s="67"/>
      <c r="D822" s="68"/>
      <c r="E822" s="68"/>
      <c r="F822" s="68"/>
      <c r="G822" s="68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30"/>
      <c r="AO822" s="25"/>
      <c r="AP822" s="120"/>
      <c r="AQ822" s="120"/>
      <c r="AR822" s="121"/>
      <c r="AS822" s="96"/>
      <c r="AT822" s="122"/>
      <c r="AU822" s="96"/>
      <c r="AV822" s="122"/>
      <c r="AW822" s="122"/>
      <c r="AX822" s="30"/>
      <c r="AY822" s="30"/>
      <c r="AZ822" s="30"/>
      <c r="BA822" s="30"/>
      <c r="BB822" s="26"/>
      <c r="BC822" s="26"/>
      <c r="BD822" s="26"/>
      <c r="BE822" s="26"/>
      <c r="BF822" s="26"/>
    </row>
    <row r="823" spans="1:58" ht="15.75" customHeight="1">
      <c r="A823" s="67"/>
      <c r="B823" s="67"/>
      <c r="C823" s="67"/>
      <c r="D823" s="68"/>
      <c r="E823" s="68"/>
      <c r="F823" s="68"/>
      <c r="G823" s="68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30"/>
      <c r="AO823" s="25"/>
      <c r="AP823" s="120"/>
      <c r="AQ823" s="120"/>
      <c r="AR823" s="121"/>
      <c r="AS823" s="96"/>
      <c r="AT823" s="122"/>
      <c r="AU823" s="96"/>
      <c r="AV823" s="122"/>
      <c r="AW823" s="122"/>
      <c r="AX823" s="30"/>
      <c r="AY823" s="30"/>
      <c r="AZ823" s="30"/>
      <c r="BA823" s="30"/>
      <c r="BB823" s="26"/>
      <c r="BC823" s="26"/>
      <c r="BD823" s="26"/>
      <c r="BE823" s="26"/>
      <c r="BF823" s="26"/>
    </row>
    <row r="824" spans="1:58" ht="15.75" customHeight="1">
      <c r="A824" s="67"/>
      <c r="B824" s="67"/>
      <c r="C824" s="67"/>
      <c r="D824" s="68"/>
      <c r="E824" s="68"/>
      <c r="F824" s="68"/>
      <c r="G824" s="68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30"/>
      <c r="AO824" s="25"/>
      <c r="AP824" s="120"/>
      <c r="AQ824" s="120"/>
      <c r="AR824" s="121"/>
      <c r="AS824" s="96"/>
      <c r="AT824" s="122"/>
      <c r="AU824" s="96"/>
      <c r="AV824" s="122"/>
      <c r="AW824" s="122"/>
      <c r="AX824" s="30"/>
      <c r="AY824" s="30"/>
      <c r="AZ824" s="30"/>
      <c r="BA824" s="30"/>
      <c r="BB824" s="26"/>
      <c r="BC824" s="26"/>
      <c r="BD824" s="26"/>
      <c r="BE824" s="26"/>
      <c r="BF824" s="26"/>
    </row>
    <row r="825" spans="1:58" ht="15.75" customHeight="1">
      <c r="A825" s="67"/>
      <c r="B825" s="67"/>
      <c r="C825" s="67"/>
      <c r="D825" s="68"/>
      <c r="E825" s="68"/>
      <c r="F825" s="68"/>
      <c r="G825" s="68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30"/>
      <c r="AO825" s="25"/>
      <c r="AP825" s="120"/>
      <c r="AQ825" s="120"/>
      <c r="AR825" s="121"/>
      <c r="AS825" s="96"/>
      <c r="AT825" s="122"/>
      <c r="AU825" s="96"/>
      <c r="AV825" s="122"/>
      <c r="AW825" s="122"/>
      <c r="AX825" s="30"/>
      <c r="AY825" s="30"/>
      <c r="AZ825" s="30"/>
      <c r="BA825" s="30"/>
      <c r="BB825" s="26"/>
      <c r="BC825" s="26"/>
      <c r="BD825" s="26"/>
      <c r="BE825" s="26"/>
      <c r="BF825" s="26"/>
    </row>
    <row r="826" spans="1:58" ht="15.75" customHeight="1">
      <c r="A826" s="67"/>
      <c r="B826" s="67"/>
      <c r="C826" s="67"/>
      <c r="D826" s="68"/>
      <c r="E826" s="68"/>
      <c r="F826" s="68"/>
      <c r="G826" s="68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30"/>
      <c r="AO826" s="25"/>
      <c r="AP826" s="120"/>
      <c r="AQ826" s="120"/>
      <c r="AR826" s="121"/>
      <c r="AS826" s="96"/>
      <c r="AT826" s="122"/>
      <c r="AU826" s="96"/>
      <c r="AV826" s="122"/>
      <c r="AW826" s="122"/>
      <c r="AX826" s="30"/>
      <c r="AY826" s="30"/>
      <c r="AZ826" s="30"/>
      <c r="BA826" s="30"/>
      <c r="BB826" s="26"/>
      <c r="BC826" s="26"/>
      <c r="BD826" s="26"/>
      <c r="BE826" s="26"/>
      <c r="BF826" s="26"/>
    </row>
    <row r="827" spans="1:58" ht="15.75" customHeight="1">
      <c r="A827" s="67"/>
      <c r="B827" s="67"/>
      <c r="C827" s="67"/>
      <c r="D827" s="68"/>
      <c r="E827" s="68"/>
      <c r="F827" s="68"/>
      <c r="G827" s="68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30"/>
      <c r="AO827" s="25"/>
      <c r="AP827" s="120"/>
      <c r="AQ827" s="120"/>
      <c r="AR827" s="121"/>
      <c r="AS827" s="96"/>
      <c r="AT827" s="122"/>
      <c r="AU827" s="96"/>
      <c r="AV827" s="122"/>
      <c r="AW827" s="122"/>
      <c r="AX827" s="30"/>
      <c r="AY827" s="30"/>
      <c r="AZ827" s="30"/>
      <c r="BA827" s="30"/>
      <c r="BB827" s="26"/>
      <c r="BC827" s="26"/>
      <c r="BD827" s="26"/>
      <c r="BE827" s="26"/>
      <c r="BF827" s="26"/>
    </row>
    <row r="828" spans="1:58" ht="15.75" customHeight="1">
      <c r="A828" s="67"/>
      <c r="B828" s="67"/>
      <c r="C828" s="67"/>
      <c r="D828" s="68"/>
      <c r="E828" s="68"/>
      <c r="F828" s="68"/>
      <c r="G828" s="68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30"/>
      <c r="AO828" s="25"/>
      <c r="AP828" s="120"/>
      <c r="AQ828" s="120"/>
      <c r="AR828" s="121"/>
      <c r="AS828" s="96"/>
      <c r="AT828" s="122"/>
      <c r="AU828" s="96"/>
      <c r="AV828" s="122"/>
      <c r="AW828" s="122"/>
      <c r="AX828" s="30"/>
      <c r="AY828" s="30"/>
      <c r="AZ828" s="30"/>
      <c r="BA828" s="30"/>
      <c r="BB828" s="26"/>
      <c r="BC828" s="26"/>
      <c r="BD828" s="26"/>
      <c r="BE828" s="26"/>
      <c r="BF828" s="26"/>
    </row>
    <row r="829" spans="1:58" ht="15.75" customHeight="1">
      <c r="A829" s="67"/>
      <c r="B829" s="67"/>
      <c r="C829" s="67"/>
      <c r="D829" s="68"/>
      <c r="E829" s="68"/>
      <c r="F829" s="68"/>
      <c r="G829" s="68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30"/>
      <c r="AO829" s="25"/>
      <c r="AP829" s="120"/>
      <c r="AQ829" s="120"/>
      <c r="AR829" s="121"/>
      <c r="AS829" s="96"/>
      <c r="AT829" s="122"/>
      <c r="AU829" s="96"/>
      <c r="AV829" s="122"/>
      <c r="AW829" s="122"/>
      <c r="AX829" s="30"/>
      <c r="AY829" s="30"/>
      <c r="AZ829" s="30"/>
      <c r="BA829" s="30"/>
      <c r="BB829" s="26"/>
      <c r="BC829" s="26"/>
      <c r="BD829" s="26"/>
      <c r="BE829" s="26"/>
      <c r="BF829" s="26"/>
    </row>
    <row r="830" spans="1:58" ht="15.75" customHeight="1">
      <c r="A830" s="67"/>
      <c r="B830" s="67"/>
      <c r="C830" s="67"/>
      <c r="D830" s="68"/>
      <c r="E830" s="68"/>
      <c r="F830" s="68"/>
      <c r="G830" s="68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30"/>
      <c r="AO830" s="25"/>
      <c r="AP830" s="120"/>
      <c r="AQ830" s="120"/>
      <c r="AR830" s="121"/>
      <c r="AS830" s="96"/>
      <c r="AT830" s="122"/>
      <c r="AU830" s="96"/>
      <c r="AV830" s="122"/>
      <c r="AW830" s="122"/>
      <c r="AX830" s="30"/>
      <c r="AY830" s="30"/>
      <c r="AZ830" s="30"/>
      <c r="BA830" s="30"/>
      <c r="BB830" s="26"/>
      <c r="BC830" s="26"/>
      <c r="BD830" s="26"/>
      <c r="BE830" s="26"/>
      <c r="BF830" s="26"/>
    </row>
    <row r="831" spans="1:58" ht="15.75" customHeight="1">
      <c r="A831" s="67"/>
      <c r="B831" s="67"/>
      <c r="C831" s="67"/>
      <c r="D831" s="68"/>
      <c r="E831" s="68"/>
      <c r="F831" s="68"/>
      <c r="G831" s="68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30"/>
      <c r="AO831" s="25"/>
      <c r="AP831" s="120"/>
      <c r="AQ831" s="120"/>
      <c r="AR831" s="121"/>
      <c r="AS831" s="96"/>
      <c r="AT831" s="122"/>
      <c r="AU831" s="96"/>
      <c r="AV831" s="122"/>
      <c r="AW831" s="122"/>
      <c r="AX831" s="30"/>
      <c r="AY831" s="30"/>
      <c r="AZ831" s="30"/>
      <c r="BA831" s="30"/>
      <c r="BB831" s="26"/>
      <c r="BC831" s="26"/>
      <c r="BD831" s="26"/>
      <c r="BE831" s="26"/>
      <c r="BF831" s="26"/>
    </row>
    <row r="832" spans="1:58" ht="15.75" customHeight="1">
      <c r="A832" s="67"/>
      <c r="B832" s="67"/>
      <c r="C832" s="67"/>
      <c r="D832" s="68"/>
      <c r="E832" s="68"/>
      <c r="F832" s="68"/>
      <c r="G832" s="68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30"/>
      <c r="AO832" s="25"/>
      <c r="AP832" s="120"/>
      <c r="AQ832" s="120"/>
      <c r="AR832" s="121"/>
      <c r="AS832" s="96"/>
      <c r="AT832" s="122"/>
      <c r="AU832" s="96"/>
      <c r="AV832" s="122"/>
      <c r="AW832" s="122"/>
      <c r="AX832" s="30"/>
      <c r="AY832" s="30"/>
      <c r="AZ832" s="30"/>
      <c r="BA832" s="30"/>
      <c r="BB832" s="26"/>
      <c r="BC832" s="26"/>
      <c r="BD832" s="26"/>
      <c r="BE832" s="26"/>
      <c r="BF832" s="26"/>
    </row>
    <row r="833" spans="1:58" ht="15.75" customHeight="1">
      <c r="A833" s="67"/>
      <c r="B833" s="67"/>
      <c r="C833" s="67"/>
      <c r="D833" s="68"/>
      <c r="E833" s="68"/>
      <c r="F833" s="68"/>
      <c r="G833" s="68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30"/>
      <c r="AO833" s="25"/>
      <c r="AP833" s="120"/>
      <c r="AQ833" s="120"/>
      <c r="AR833" s="121"/>
      <c r="AS833" s="96"/>
      <c r="AT833" s="122"/>
      <c r="AU833" s="96"/>
      <c r="AV833" s="122"/>
      <c r="AW833" s="122"/>
      <c r="AX833" s="30"/>
      <c r="AY833" s="30"/>
      <c r="AZ833" s="30"/>
      <c r="BA833" s="30"/>
      <c r="BB833" s="26"/>
      <c r="BC833" s="26"/>
      <c r="BD833" s="26"/>
      <c r="BE833" s="26"/>
      <c r="BF833" s="26"/>
    </row>
    <row r="834" spans="1:58" ht="15.75" customHeight="1">
      <c r="A834" s="67"/>
      <c r="B834" s="67"/>
      <c r="C834" s="67"/>
      <c r="D834" s="68"/>
      <c r="E834" s="68"/>
      <c r="F834" s="68"/>
      <c r="G834" s="68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30"/>
      <c r="AO834" s="25"/>
      <c r="AP834" s="120"/>
      <c r="AQ834" s="120"/>
      <c r="AR834" s="121"/>
      <c r="AS834" s="96"/>
      <c r="AT834" s="122"/>
      <c r="AU834" s="96"/>
      <c r="AV834" s="122"/>
      <c r="AW834" s="122"/>
      <c r="AX834" s="30"/>
      <c r="AY834" s="30"/>
      <c r="AZ834" s="30"/>
      <c r="BA834" s="30"/>
      <c r="BB834" s="26"/>
      <c r="BC834" s="26"/>
      <c r="BD834" s="26"/>
      <c r="BE834" s="26"/>
      <c r="BF834" s="26"/>
    </row>
    <row r="835" spans="1:58" ht="15.75" customHeight="1">
      <c r="A835" s="67"/>
      <c r="B835" s="67"/>
      <c r="C835" s="67"/>
      <c r="D835" s="68"/>
      <c r="E835" s="68"/>
      <c r="F835" s="68"/>
      <c r="G835" s="68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30"/>
      <c r="AO835" s="25"/>
      <c r="AP835" s="120"/>
      <c r="AQ835" s="120"/>
      <c r="AR835" s="121"/>
      <c r="AS835" s="96"/>
      <c r="AT835" s="122"/>
      <c r="AU835" s="96"/>
      <c r="AV835" s="122"/>
      <c r="AW835" s="122"/>
      <c r="AX835" s="30"/>
      <c r="AY835" s="30"/>
      <c r="AZ835" s="30"/>
      <c r="BA835" s="30"/>
      <c r="BB835" s="26"/>
      <c r="BC835" s="26"/>
      <c r="BD835" s="26"/>
      <c r="BE835" s="26"/>
      <c r="BF835" s="26"/>
    </row>
    <row r="836" spans="1:58" ht="15.75" customHeight="1">
      <c r="A836" s="67"/>
      <c r="B836" s="67"/>
      <c r="C836" s="67"/>
      <c r="D836" s="68"/>
      <c r="E836" s="68"/>
      <c r="F836" s="68"/>
      <c r="G836" s="68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30"/>
      <c r="AO836" s="25"/>
      <c r="AP836" s="120"/>
      <c r="AQ836" s="120"/>
      <c r="AR836" s="121"/>
      <c r="AS836" s="96"/>
      <c r="AT836" s="122"/>
      <c r="AU836" s="96"/>
      <c r="AV836" s="122"/>
      <c r="AW836" s="122"/>
      <c r="AX836" s="30"/>
      <c r="AY836" s="30"/>
      <c r="AZ836" s="30"/>
      <c r="BA836" s="30"/>
      <c r="BB836" s="26"/>
      <c r="BC836" s="26"/>
      <c r="BD836" s="26"/>
      <c r="BE836" s="26"/>
      <c r="BF836" s="26"/>
    </row>
    <row r="837" spans="1:58" ht="15.75" customHeight="1">
      <c r="A837" s="67"/>
      <c r="B837" s="67"/>
      <c r="C837" s="67"/>
      <c r="D837" s="68"/>
      <c r="E837" s="68"/>
      <c r="F837" s="68"/>
      <c r="G837" s="68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30"/>
      <c r="AO837" s="25"/>
      <c r="AP837" s="120"/>
      <c r="AQ837" s="120"/>
      <c r="AR837" s="121"/>
      <c r="AS837" s="96"/>
      <c r="AT837" s="122"/>
      <c r="AU837" s="96"/>
      <c r="AV837" s="122"/>
      <c r="AW837" s="122"/>
      <c r="AX837" s="30"/>
      <c r="AY837" s="30"/>
      <c r="AZ837" s="30"/>
      <c r="BA837" s="30"/>
      <c r="BB837" s="26"/>
      <c r="BC837" s="26"/>
      <c r="BD837" s="26"/>
      <c r="BE837" s="26"/>
      <c r="BF837" s="26"/>
    </row>
    <row r="838" spans="1:58" ht="15.75" customHeight="1">
      <c r="A838" s="67"/>
      <c r="B838" s="67"/>
      <c r="C838" s="67"/>
      <c r="D838" s="68"/>
      <c r="E838" s="68"/>
      <c r="F838" s="68"/>
      <c r="G838" s="68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30"/>
      <c r="AO838" s="25"/>
      <c r="AP838" s="120"/>
      <c r="AQ838" s="120"/>
      <c r="AR838" s="121"/>
      <c r="AS838" s="96"/>
      <c r="AT838" s="122"/>
      <c r="AU838" s="96"/>
      <c r="AV838" s="122"/>
      <c r="AW838" s="122"/>
      <c r="AX838" s="30"/>
      <c r="AY838" s="30"/>
      <c r="AZ838" s="30"/>
      <c r="BA838" s="30"/>
      <c r="BB838" s="26"/>
      <c r="BC838" s="26"/>
      <c r="BD838" s="26"/>
      <c r="BE838" s="26"/>
      <c r="BF838" s="26"/>
    </row>
    <row r="839" spans="1:58" ht="15.75" customHeight="1">
      <c r="A839" s="67"/>
      <c r="B839" s="67"/>
      <c r="C839" s="67"/>
      <c r="D839" s="68"/>
      <c r="E839" s="68"/>
      <c r="F839" s="68"/>
      <c r="G839" s="68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30"/>
      <c r="AO839" s="25"/>
      <c r="AP839" s="120"/>
      <c r="AQ839" s="120"/>
      <c r="AR839" s="121"/>
      <c r="AS839" s="96"/>
      <c r="AT839" s="122"/>
      <c r="AU839" s="96"/>
      <c r="AV839" s="122"/>
      <c r="AW839" s="122"/>
      <c r="AX839" s="30"/>
      <c r="AY839" s="30"/>
      <c r="AZ839" s="30"/>
      <c r="BA839" s="30"/>
      <c r="BB839" s="26"/>
      <c r="BC839" s="26"/>
      <c r="BD839" s="26"/>
      <c r="BE839" s="26"/>
      <c r="BF839" s="26"/>
    </row>
    <row r="840" spans="1:58" ht="15.75" customHeight="1">
      <c r="A840" s="67"/>
      <c r="B840" s="67"/>
      <c r="C840" s="67"/>
      <c r="D840" s="68"/>
      <c r="E840" s="68"/>
      <c r="F840" s="68"/>
      <c r="G840" s="68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30"/>
      <c r="AO840" s="25"/>
      <c r="AP840" s="120"/>
      <c r="AQ840" s="120"/>
      <c r="AR840" s="121"/>
      <c r="AS840" s="96"/>
      <c r="AT840" s="122"/>
      <c r="AU840" s="96"/>
      <c r="AV840" s="122"/>
      <c r="AW840" s="122"/>
      <c r="AX840" s="30"/>
      <c r="AY840" s="30"/>
      <c r="AZ840" s="30"/>
      <c r="BA840" s="30"/>
      <c r="BB840" s="26"/>
      <c r="BC840" s="26"/>
      <c r="BD840" s="26"/>
      <c r="BE840" s="26"/>
      <c r="BF840" s="26"/>
    </row>
    <row r="841" spans="1:58" ht="15.75" customHeight="1">
      <c r="A841" s="67"/>
      <c r="B841" s="67"/>
      <c r="C841" s="67"/>
      <c r="D841" s="68"/>
      <c r="E841" s="68"/>
      <c r="F841" s="68"/>
      <c r="G841" s="68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30"/>
      <c r="AO841" s="25"/>
      <c r="AP841" s="120"/>
      <c r="AQ841" s="120"/>
      <c r="AR841" s="121"/>
      <c r="AS841" s="96"/>
      <c r="AT841" s="122"/>
      <c r="AU841" s="96"/>
      <c r="AV841" s="122"/>
      <c r="AW841" s="122"/>
      <c r="AX841" s="30"/>
      <c r="AY841" s="30"/>
      <c r="AZ841" s="30"/>
      <c r="BA841" s="30"/>
      <c r="BB841" s="26"/>
      <c r="BC841" s="26"/>
      <c r="BD841" s="26"/>
      <c r="BE841" s="26"/>
      <c r="BF841" s="26"/>
    </row>
    <row r="842" spans="1:58" ht="15.75" customHeight="1">
      <c r="A842" s="67"/>
      <c r="B842" s="67"/>
      <c r="C842" s="67"/>
      <c r="D842" s="68"/>
      <c r="E842" s="68"/>
      <c r="F842" s="68"/>
      <c r="G842" s="68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30"/>
      <c r="AO842" s="25"/>
      <c r="AP842" s="120"/>
      <c r="AQ842" s="120"/>
      <c r="AR842" s="121"/>
      <c r="AS842" s="96"/>
      <c r="AT842" s="122"/>
      <c r="AU842" s="96"/>
      <c r="AV842" s="122"/>
      <c r="AW842" s="122"/>
      <c r="AX842" s="30"/>
      <c r="AY842" s="30"/>
      <c r="AZ842" s="30"/>
      <c r="BA842" s="30"/>
      <c r="BB842" s="26"/>
      <c r="BC842" s="26"/>
      <c r="BD842" s="26"/>
      <c r="BE842" s="26"/>
      <c r="BF842" s="26"/>
    </row>
    <row r="843" spans="1:58" ht="15.75" customHeight="1">
      <c r="A843" s="67"/>
      <c r="B843" s="67"/>
      <c r="C843" s="67"/>
      <c r="D843" s="68"/>
      <c r="E843" s="68"/>
      <c r="F843" s="68"/>
      <c r="G843" s="68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30"/>
      <c r="AO843" s="25"/>
      <c r="AP843" s="120"/>
      <c r="AQ843" s="120"/>
      <c r="AR843" s="121"/>
      <c r="AS843" s="96"/>
      <c r="AT843" s="122"/>
      <c r="AU843" s="96"/>
      <c r="AV843" s="122"/>
      <c r="AW843" s="122"/>
      <c r="AX843" s="30"/>
      <c r="AY843" s="30"/>
      <c r="AZ843" s="30"/>
      <c r="BA843" s="30"/>
      <c r="BB843" s="26"/>
      <c r="BC843" s="26"/>
      <c r="BD843" s="26"/>
      <c r="BE843" s="26"/>
      <c r="BF843" s="26"/>
    </row>
    <row r="844" spans="1:58" ht="15.75" customHeight="1">
      <c r="A844" s="67"/>
      <c r="B844" s="67"/>
      <c r="C844" s="67"/>
      <c r="D844" s="68"/>
      <c r="E844" s="68"/>
      <c r="F844" s="68"/>
      <c r="G844" s="68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30"/>
      <c r="AO844" s="25"/>
      <c r="AP844" s="120"/>
      <c r="AQ844" s="120"/>
      <c r="AR844" s="121"/>
      <c r="AS844" s="96"/>
      <c r="AT844" s="122"/>
      <c r="AU844" s="96"/>
      <c r="AV844" s="122"/>
      <c r="AW844" s="122"/>
      <c r="AX844" s="30"/>
      <c r="AY844" s="30"/>
      <c r="AZ844" s="30"/>
      <c r="BA844" s="30"/>
      <c r="BB844" s="26"/>
      <c r="BC844" s="26"/>
      <c r="BD844" s="26"/>
      <c r="BE844" s="26"/>
      <c r="BF844" s="26"/>
    </row>
    <row r="845" spans="1:58" ht="15.75" customHeight="1">
      <c r="A845" s="67"/>
      <c r="B845" s="67"/>
      <c r="C845" s="67"/>
      <c r="D845" s="68"/>
      <c r="E845" s="68"/>
      <c r="F845" s="68"/>
      <c r="G845" s="68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30"/>
      <c r="AO845" s="25"/>
      <c r="AP845" s="120"/>
      <c r="AQ845" s="120"/>
      <c r="AR845" s="121"/>
      <c r="AS845" s="96"/>
      <c r="AT845" s="122"/>
      <c r="AU845" s="96"/>
      <c r="AV845" s="122"/>
      <c r="AW845" s="122"/>
      <c r="AX845" s="30"/>
      <c r="AY845" s="30"/>
      <c r="AZ845" s="30"/>
      <c r="BA845" s="30"/>
      <c r="BB845" s="26"/>
      <c r="BC845" s="26"/>
      <c r="BD845" s="26"/>
      <c r="BE845" s="26"/>
      <c r="BF845" s="26"/>
    </row>
    <row r="846" spans="1:58" ht="15.75" customHeight="1">
      <c r="A846" s="67"/>
      <c r="B846" s="67"/>
      <c r="C846" s="67"/>
      <c r="D846" s="68"/>
      <c r="E846" s="68"/>
      <c r="F846" s="68"/>
      <c r="G846" s="68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30"/>
      <c r="AO846" s="25"/>
      <c r="AP846" s="120"/>
      <c r="AQ846" s="120"/>
      <c r="AR846" s="121"/>
      <c r="AS846" s="96"/>
      <c r="AT846" s="122"/>
      <c r="AU846" s="96"/>
      <c r="AV846" s="122"/>
      <c r="AW846" s="122"/>
      <c r="AX846" s="30"/>
      <c r="AY846" s="30"/>
      <c r="AZ846" s="30"/>
      <c r="BA846" s="30"/>
      <c r="BB846" s="26"/>
      <c r="BC846" s="26"/>
      <c r="BD846" s="26"/>
      <c r="BE846" s="26"/>
      <c r="BF846" s="26"/>
    </row>
    <row r="847" spans="1:58" ht="15.75" customHeight="1">
      <c r="A847" s="67"/>
      <c r="B847" s="67"/>
      <c r="C847" s="67"/>
      <c r="D847" s="68"/>
      <c r="E847" s="68"/>
      <c r="F847" s="68"/>
      <c r="G847" s="68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30"/>
      <c r="AO847" s="25"/>
      <c r="AP847" s="120"/>
      <c r="AQ847" s="120"/>
      <c r="AR847" s="121"/>
      <c r="AS847" s="96"/>
      <c r="AT847" s="122"/>
      <c r="AU847" s="96"/>
      <c r="AV847" s="122"/>
      <c r="AW847" s="122"/>
      <c r="AX847" s="30"/>
      <c r="AY847" s="30"/>
      <c r="AZ847" s="30"/>
      <c r="BA847" s="30"/>
      <c r="BB847" s="26"/>
      <c r="BC847" s="26"/>
      <c r="BD847" s="26"/>
      <c r="BE847" s="26"/>
      <c r="BF847" s="26"/>
    </row>
    <row r="848" spans="1:58" ht="15.75" customHeight="1">
      <c r="A848" s="67"/>
      <c r="B848" s="67"/>
      <c r="C848" s="67"/>
      <c r="D848" s="68"/>
      <c r="E848" s="68"/>
      <c r="F848" s="68"/>
      <c r="G848" s="68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30"/>
      <c r="AO848" s="25"/>
      <c r="AP848" s="120"/>
      <c r="AQ848" s="120"/>
      <c r="AR848" s="121"/>
      <c r="AS848" s="96"/>
      <c r="AT848" s="122"/>
      <c r="AU848" s="96"/>
      <c r="AV848" s="122"/>
      <c r="AW848" s="122"/>
      <c r="AX848" s="30"/>
      <c r="AY848" s="30"/>
      <c r="AZ848" s="30"/>
      <c r="BA848" s="30"/>
      <c r="BB848" s="26"/>
      <c r="BC848" s="26"/>
      <c r="BD848" s="26"/>
      <c r="BE848" s="26"/>
      <c r="BF848" s="26"/>
    </row>
    <row r="849" spans="1:58" ht="15.75" customHeight="1">
      <c r="A849" s="67"/>
      <c r="B849" s="67"/>
      <c r="C849" s="67"/>
      <c r="D849" s="68"/>
      <c r="E849" s="68"/>
      <c r="F849" s="68"/>
      <c r="G849" s="68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30"/>
      <c r="AO849" s="25"/>
      <c r="AP849" s="120"/>
      <c r="AQ849" s="120"/>
      <c r="AR849" s="121"/>
      <c r="AS849" s="96"/>
      <c r="AT849" s="122"/>
      <c r="AU849" s="96"/>
      <c r="AV849" s="122"/>
      <c r="AW849" s="122"/>
      <c r="AX849" s="30"/>
      <c r="AY849" s="30"/>
      <c r="AZ849" s="30"/>
      <c r="BA849" s="30"/>
      <c r="BB849" s="26"/>
      <c r="BC849" s="26"/>
      <c r="BD849" s="26"/>
      <c r="BE849" s="26"/>
      <c r="BF849" s="26"/>
    </row>
    <row r="850" spans="1:58" ht="15.75" customHeight="1">
      <c r="A850" s="67"/>
      <c r="B850" s="67"/>
      <c r="C850" s="67"/>
      <c r="D850" s="68"/>
      <c r="E850" s="68"/>
      <c r="F850" s="68"/>
      <c r="G850" s="68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30"/>
      <c r="AO850" s="25"/>
      <c r="AP850" s="120"/>
      <c r="AQ850" s="120"/>
      <c r="AR850" s="121"/>
      <c r="AS850" s="96"/>
      <c r="AT850" s="122"/>
      <c r="AU850" s="96"/>
      <c r="AV850" s="122"/>
      <c r="AW850" s="122"/>
      <c r="AX850" s="30"/>
      <c r="AY850" s="30"/>
      <c r="AZ850" s="30"/>
      <c r="BA850" s="30"/>
      <c r="BB850" s="26"/>
      <c r="BC850" s="26"/>
      <c r="BD850" s="26"/>
      <c r="BE850" s="26"/>
      <c r="BF850" s="26"/>
    </row>
    <row r="851" spans="1:58" ht="15.75" customHeight="1">
      <c r="A851" s="67"/>
      <c r="B851" s="67"/>
      <c r="C851" s="67"/>
      <c r="D851" s="68"/>
      <c r="E851" s="68"/>
      <c r="F851" s="68"/>
      <c r="G851" s="68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30"/>
      <c r="AO851" s="25"/>
      <c r="AP851" s="120"/>
      <c r="AQ851" s="120"/>
      <c r="AR851" s="121"/>
      <c r="AS851" s="96"/>
      <c r="AT851" s="122"/>
      <c r="AU851" s="96"/>
      <c r="AV851" s="122"/>
      <c r="AW851" s="122"/>
      <c r="AX851" s="30"/>
      <c r="AY851" s="30"/>
      <c r="AZ851" s="30"/>
      <c r="BA851" s="30"/>
      <c r="BB851" s="26"/>
      <c r="BC851" s="26"/>
      <c r="BD851" s="26"/>
      <c r="BE851" s="26"/>
      <c r="BF851" s="26"/>
    </row>
    <row r="852" spans="1:58" ht="15.75" customHeight="1">
      <c r="A852" s="67"/>
      <c r="B852" s="67"/>
      <c r="C852" s="67"/>
      <c r="D852" s="68"/>
      <c r="E852" s="68"/>
      <c r="F852" s="68"/>
      <c r="G852" s="68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30"/>
      <c r="AO852" s="25"/>
      <c r="AP852" s="120"/>
      <c r="AQ852" s="120"/>
      <c r="AR852" s="121"/>
      <c r="AS852" s="96"/>
      <c r="AT852" s="122"/>
      <c r="AU852" s="96"/>
      <c r="AV852" s="122"/>
      <c r="AW852" s="122"/>
      <c r="AX852" s="30"/>
      <c r="AY852" s="30"/>
      <c r="AZ852" s="30"/>
      <c r="BA852" s="30"/>
      <c r="BB852" s="26"/>
      <c r="BC852" s="26"/>
      <c r="BD852" s="26"/>
      <c r="BE852" s="26"/>
      <c r="BF852" s="26"/>
    </row>
    <row r="853" spans="1:58" ht="15.75" customHeight="1">
      <c r="A853" s="67"/>
      <c r="B853" s="67"/>
      <c r="C853" s="67"/>
      <c r="D853" s="68"/>
      <c r="E853" s="68"/>
      <c r="F853" s="68"/>
      <c r="G853" s="68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30"/>
      <c r="AO853" s="25"/>
      <c r="AP853" s="120"/>
      <c r="AQ853" s="120"/>
      <c r="AR853" s="121"/>
      <c r="AS853" s="96"/>
      <c r="AT853" s="122"/>
      <c r="AU853" s="96"/>
      <c r="AV853" s="122"/>
      <c r="AW853" s="122"/>
      <c r="AX853" s="30"/>
      <c r="AY853" s="30"/>
      <c r="AZ853" s="30"/>
      <c r="BA853" s="30"/>
      <c r="BB853" s="26"/>
      <c r="BC853" s="26"/>
      <c r="BD853" s="26"/>
      <c r="BE853" s="26"/>
      <c r="BF853" s="26"/>
    </row>
    <row r="854" spans="1:58" ht="15.75" customHeight="1">
      <c r="A854" s="67"/>
      <c r="B854" s="67"/>
      <c r="C854" s="67"/>
      <c r="D854" s="68"/>
      <c r="E854" s="68"/>
      <c r="F854" s="68"/>
      <c r="G854" s="68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30"/>
      <c r="AO854" s="25"/>
      <c r="AP854" s="120"/>
      <c r="AQ854" s="120"/>
      <c r="AR854" s="121"/>
      <c r="AS854" s="96"/>
      <c r="AT854" s="122"/>
      <c r="AU854" s="96"/>
      <c r="AV854" s="122"/>
      <c r="AW854" s="122"/>
      <c r="AX854" s="30"/>
      <c r="AY854" s="30"/>
      <c r="AZ854" s="30"/>
      <c r="BA854" s="30"/>
      <c r="BB854" s="26"/>
      <c r="BC854" s="26"/>
      <c r="BD854" s="26"/>
      <c r="BE854" s="26"/>
      <c r="BF854" s="26"/>
    </row>
    <row r="855" spans="1:58" ht="15.75" customHeight="1">
      <c r="A855" s="67"/>
      <c r="B855" s="67"/>
      <c r="C855" s="67"/>
      <c r="D855" s="68"/>
      <c r="E855" s="68"/>
      <c r="F855" s="68"/>
      <c r="G855" s="68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30"/>
      <c r="AO855" s="25"/>
      <c r="AP855" s="120"/>
      <c r="AQ855" s="120"/>
      <c r="AR855" s="121"/>
      <c r="AS855" s="96"/>
      <c r="AT855" s="122"/>
      <c r="AU855" s="96"/>
      <c r="AV855" s="122"/>
      <c r="AW855" s="122"/>
      <c r="AX855" s="30"/>
      <c r="AY855" s="30"/>
      <c r="AZ855" s="30"/>
      <c r="BA855" s="30"/>
      <c r="BB855" s="26"/>
      <c r="BC855" s="26"/>
      <c r="BD855" s="26"/>
      <c r="BE855" s="26"/>
      <c r="BF855" s="26"/>
    </row>
    <row r="856" spans="1:58" ht="15.75" customHeight="1">
      <c r="A856" s="67"/>
      <c r="B856" s="67"/>
      <c r="C856" s="67"/>
      <c r="D856" s="68"/>
      <c r="E856" s="68"/>
      <c r="F856" s="68"/>
      <c r="G856" s="68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30"/>
      <c r="AO856" s="25"/>
      <c r="AP856" s="120"/>
      <c r="AQ856" s="120"/>
      <c r="AR856" s="121"/>
      <c r="AS856" s="96"/>
      <c r="AT856" s="122"/>
      <c r="AU856" s="96"/>
      <c r="AV856" s="122"/>
      <c r="AW856" s="122"/>
      <c r="AX856" s="30"/>
      <c r="AY856" s="30"/>
      <c r="AZ856" s="30"/>
      <c r="BA856" s="30"/>
      <c r="BB856" s="26"/>
      <c r="BC856" s="26"/>
      <c r="BD856" s="26"/>
      <c r="BE856" s="26"/>
      <c r="BF856" s="26"/>
    </row>
    <row r="857" spans="1:58" ht="15.75" customHeight="1">
      <c r="A857" s="67"/>
      <c r="B857" s="67"/>
      <c r="C857" s="67"/>
      <c r="D857" s="68"/>
      <c r="E857" s="68"/>
      <c r="F857" s="68"/>
      <c r="G857" s="68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30"/>
      <c r="AO857" s="25"/>
      <c r="AP857" s="120"/>
      <c r="AQ857" s="120"/>
      <c r="AR857" s="121"/>
      <c r="AS857" s="96"/>
      <c r="AT857" s="122"/>
      <c r="AU857" s="96"/>
      <c r="AV857" s="122"/>
      <c r="AW857" s="122"/>
      <c r="AX857" s="30"/>
      <c r="AY857" s="30"/>
      <c r="AZ857" s="30"/>
      <c r="BA857" s="30"/>
      <c r="BB857" s="26"/>
      <c r="BC857" s="26"/>
      <c r="BD857" s="26"/>
      <c r="BE857" s="26"/>
      <c r="BF857" s="26"/>
    </row>
    <row r="858" spans="1:58" ht="15.75" customHeight="1">
      <c r="A858" s="67"/>
      <c r="B858" s="67"/>
      <c r="C858" s="67"/>
      <c r="D858" s="68"/>
      <c r="E858" s="68"/>
      <c r="F858" s="68"/>
      <c r="G858" s="68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30"/>
      <c r="AO858" s="25"/>
      <c r="AP858" s="120"/>
      <c r="AQ858" s="120"/>
      <c r="AR858" s="121"/>
      <c r="AS858" s="96"/>
      <c r="AT858" s="122"/>
      <c r="AU858" s="96"/>
      <c r="AV858" s="122"/>
      <c r="AW858" s="122"/>
      <c r="AX858" s="30"/>
      <c r="AY858" s="30"/>
      <c r="AZ858" s="30"/>
      <c r="BA858" s="30"/>
      <c r="BB858" s="26"/>
      <c r="BC858" s="26"/>
      <c r="BD858" s="26"/>
      <c r="BE858" s="26"/>
      <c r="BF858" s="26"/>
    </row>
    <row r="859" spans="1:58" ht="15.75" customHeight="1">
      <c r="A859" s="67"/>
      <c r="B859" s="67"/>
      <c r="C859" s="67"/>
      <c r="D859" s="68"/>
      <c r="E859" s="68"/>
      <c r="F859" s="68"/>
      <c r="G859" s="68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30"/>
      <c r="AO859" s="25"/>
      <c r="AP859" s="120"/>
      <c r="AQ859" s="120"/>
      <c r="AR859" s="121"/>
      <c r="AS859" s="96"/>
      <c r="AT859" s="122"/>
      <c r="AU859" s="96"/>
      <c r="AV859" s="122"/>
      <c r="AW859" s="122"/>
      <c r="AX859" s="30"/>
      <c r="AY859" s="30"/>
      <c r="AZ859" s="30"/>
      <c r="BA859" s="30"/>
      <c r="BB859" s="26"/>
      <c r="BC859" s="26"/>
      <c r="BD859" s="26"/>
      <c r="BE859" s="26"/>
      <c r="BF859" s="26"/>
    </row>
    <row r="860" spans="1:58" ht="15.75" customHeight="1">
      <c r="A860" s="67"/>
      <c r="B860" s="67"/>
      <c r="C860" s="67"/>
      <c r="D860" s="68"/>
      <c r="E860" s="68"/>
      <c r="F860" s="68"/>
      <c r="G860" s="68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30"/>
      <c r="AO860" s="25"/>
      <c r="AP860" s="120"/>
      <c r="AQ860" s="120"/>
      <c r="AR860" s="121"/>
      <c r="AS860" s="96"/>
      <c r="AT860" s="122"/>
      <c r="AU860" s="96"/>
      <c r="AV860" s="122"/>
      <c r="AW860" s="122"/>
      <c r="AX860" s="30"/>
      <c r="AY860" s="30"/>
      <c r="AZ860" s="30"/>
      <c r="BA860" s="30"/>
      <c r="BB860" s="26"/>
      <c r="BC860" s="26"/>
      <c r="BD860" s="26"/>
      <c r="BE860" s="26"/>
      <c r="BF860" s="26"/>
    </row>
    <row r="861" spans="1:58" ht="15.75" customHeight="1">
      <c r="A861" s="67"/>
      <c r="B861" s="67"/>
      <c r="C861" s="67"/>
      <c r="D861" s="68"/>
      <c r="E861" s="68"/>
      <c r="F861" s="68"/>
      <c r="G861" s="68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30"/>
      <c r="AO861" s="25"/>
      <c r="AP861" s="120"/>
      <c r="AQ861" s="120"/>
      <c r="AR861" s="121"/>
      <c r="AS861" s="96"/>
      <c r="AT861" s="122"/>
      <c r="AU861" s="96"/>
      <c r="AV861" s="122"/>
      <c r="AW861" s="122"/>
      <c r="AX861" s="30"/>
      <c r="AY861" s="30"/>
      <c r="AZ861" s="30"/>
      <c r="BA861" s="30"/>
      <c r="BB861" s="26"/>
      <c r="BC861" s="26"/>
      <c r="BD861" s="26"/>
      <c r="BE861" s="26"/>
      <c r="BF861" s="26"/>
    </row>
    <row r="862" spans="1:58" ht="15.75" customHeight="1">
      <c r="A862" s="67"/>
      <c r="B862" s="67"/>
      <c r="C862" s="67"/>
      <c r="D862" s="68"/>
      <c r="E862" s="68"/>
      <c r="F862" s="68"/>
      <c r="G862" s="68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30"/>
      <c r="AO862" s="25"/>
      <c r="AP862" s="120"/>
      <c r="AQ862" s="120"/>
      <c r="AR862" s="121"/>
      <c r="AS862" s="96"/>
      <c r="AT862" s="122"/>
      <c r="AU862" s="96"/>
      <c r="AV862" s="122"/>
      <c r="AW862" s="122"/>
      <c r="AX862" s="30"/>
      <c r="AY862" s="30"/>
      <c r="AZ862" s="30"/>
      <c r="BA862" s="30"/>
      <c r="BB862" s="26"/>
      <c r="BC862" s="26"/>
      <c r="BD862" s="26"/>
      <c r="BE862" s="26"/>
      <c r="BF862" s="26"/>
    </row>
    <row r="863" spans="1:58" ht="15.75" customHeight="1">
      <c r="A863" s="67"/>
      <c r="B863" s="67"/>
      <c r="C863" s="67"/>
      <c r="D863" s="68"/>
      <c r="E863" s="68"/>
      <c r="F863" s="68"/>
      <c r="G863" s="68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30"/>
      <c r="AO863" s="25"/>
      <c r="AP863" s="120"/>
      <c r="AQ863" s="120"/>
      <c r="AR863" s="121"/>
      <c r="AS863" s="96"/>
      <c r="AT863" s="122"/>
      <c r="AU863" s="96"/>
      <c r="AV863" s="122"/>
      <c r="AW863" s="122"/>
      <c r="AX863" s="30"/>
      <c r="AY863" s="30"/>
      <c r="AZ863" s="30"/>
      <c r="BA863" s="30"/>
      <c r="BB863" s="26"/>
      <c r="BC863" s="26"/>
      <c r="BD863" s="26"/>
      <c r="BE863" s="26"/>
      <c r="BF863" s="26"/>
    </row>
    <row r="864" spans="1:58" ht="15.75" customHeight="1">
      <c r="A864" s="67"/>
      <c r="B864" s="67"/>
      <c r="C864" s="67"/>
      <c r="D864" s="68"/>
      <c r="E864" s="68"/>
      <c r="F864" s="68"/>
      <c r="G864" s="68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30"/>
      <c r="AO864" s="25"/>
      <c r="AP864" s="120"/>
      <c r="AQ864" s="120"/>
      <c r="AR864" s="121"/>
      <c r="AS864" s="96"/>
      <c r="AT864" s="122"/>
      <c r="AU864" s="96"/>
      <c r="AV864" s="122"/>
      <c r="AW864" s="122"/>
      <c r="AX864" s="30"/>
      <c r="AY864" s="30"/>
      <c r="AZ864" s="30"/>
      <c r="BA864" s="30"/>
      <c r="BB864" s="26"/>
      <c r="BC864" s="26"/>
      <c r="BD864" s="26"/>
      <c r="BE864" s="26"/>
      <c r="BF864" s="26"/>
    </row>
    <row r="865" spans="1:58" ht="15.75" customHeight="1">
      <c r="A865" s="67"/>
      <c r="B865" s="67"/>
      <c r="C865" s="67"/>
      <c r="D865" s="68"/>
      <c r="E865" s="68"/>
      <c r="F865" s="68"/>
      <c r="G865" s="68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30"/>
      <c r="AO865" s="25"/>
      <c r="AP865" s="120"/>
      <c r="AQ865" s="120"/>
      <c r="AR865" s="121"/>
      <c r="AS865" s="96"/>
      <c r="AT865" s="122"/>
      <c r="AU865" s="96"/>
      <c r="AV865" s="122"/>
      <c r="AW865" s="122"/>
      <c r="AX865" s="30"/>
      <c r="AY865" s="30"/>
      <c r="AZ865" s="30"/>
      <c r="BA865" s="30"/>
      <c r="BB865" s="26"/>
      <c r="BC865" s="26"/>
      <c r="BD865" s="26"/>
      <c r="BE865" s="26"/>
      <c r="BF865" s="26"/>
    </row>
    <row r="866" spans="1:58" ht="15.75" customHeight="1">
      <c r="A866" s="67"/>
      <c r="B866" s="67"/>
      <c r="C866" s="67"/>
      <c r="D866" s="68"/>
      <c r="E866" s="68"/>
      <c r="F866" s="68"/>
      <c r="G866" s="68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30"/>
      <c r="AO866" s="25"/>
      <c r="AP866" s="120"/>
      <c r="AQ866" s="120"/>
      <c r="AR866" s="121"/>
      <c r="AS866" s="96"/>
      <c r="AT866" s="122"/>
      <c r="AU866" s="96"/>
      <c r="AV866" s="122"/>
      <c r="AW866" s="122"/>
      <c r="AX866" s="30"/>
      <c r="AY866" s="30"/>
      <c r="AZ866" s="30"/>
      <c r="BA866" s="30"/>
      <c r="BB866" s="26"/>
      <c r="BC866" s="26"/>
      <c r="BD866" s="26"/>
      <c r="BE866" s="26"/>
      <c r="BF866" s="26"/>
    </row>
    <row r="867" spans="1:58" ht="15.75" customHeight="1">
      <c r="A867" s="67"/>
      <c r="B867" s="67"/>
      <c r="C867" s="67"/>
      <c r="D867" s="68"/>
      <c r="E867" s="68"/>
      <c r="F867" s="68"/>
      <c r="G867" s="68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30"/>
      <c r="AO867" s="25"/>
      <c r="AP867" s="120"/>
      <c r="AQ867" s="120"/>
      <c r="AR867" s="121"/>
      <c r="AS867" s="96"/>
      <c r="AT867" s="122"/>
      <c r="AU867" s="96"/>
      <c r="AV867" s="122"/>
      <c r="AW867" s="122"/>
      <c r="AX867" s="30"/>
      <c r="AY867" s="30"/>
      <c r="AZ867" s="30"/>
      <c r="BA867" s="30"/>
      <c r="BB867" s="26"/>
      <c r="BC867" s="26"/>
      <c r="BD867" s="26"/>
      <c r="BE867" s="26"/>
      <c r="BF867" s="26"/>
    </row>
    <row r="868" spans="1:58" ht="15.75" customHeight="1">
      <c r="A868" s="67"/>
      <c r="B868" s="67"/>
      <c r="C868" s="67"/>
      <c r="D868" s="68"/>
      <c r="E868" s="68"/>
      <c r="F868" s="68"/>
      <c r="G868" s="68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30"/>
      <c r="AO868" s="25"/>
      <c r="AP868" s="120"/>
      <c r="AQ868" s="120"/>
      <c r="AR868" s="121"/>
      <c r="AS868" s="96"/>
      <c r="AT868" s="122"/>
      <c r="AU868" s="96"/>
      <c r="AV868" s="122"/>
      <c r="AW868" s="122"/>
      <c r="AX868" s="30"/>
      <c r="AY868" s="30"/>
      <c r="AZ868" s="30"/>
      <c r="BA868" s="30"/>
      <c r="BB868" s="26"/>
      <c r="BC868" s="26"/>
      <c r="BD868" s="26"/>
      <c r="BE868" s="26"/>
      <c r="BF868" s="26"/>
    </row>
    <row r="869" spans="1:58" ht="15.75" customHeight="1">
      <c r="A869" s="67"/>
      <c r="B869" s="67"/>
      <c r="C869" s="67"/>
      <c r="D869" s="68"/>
      <c r="E869" s="68"/>
      <c r="F869" s="68"/>
      <c r="G869" s="68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30"/>
      <c r="AO869" s="25"/>
      <c r="AP869" s="120"/>
      <c r="AQ869" s="120"/>
      <c r="AR869" s="121"/>
      <c r="AS869" s="96"/>
      <c r="AT869" s="122"/>
      <c r="AU869" s="96"/>
      <c r="AV869" s="122"/>
      <c r="AW869" s="122"/>
      <c r="AX869" s="30"/>
      <c r="AY869" s="30"/>
      <c r="AZ869" s="30"/>
      <c r="BA869" s="30"/>
      <c r="BB869" s="26"/>
      <c r="BC869" s="26"/>
      <c r="BD869" s="26"/>
      <c r="BE869" s="26"/>
      <c r="BF869" s="26"/>
    </row>
    <row r="870" spans="1:58" ht="15.75" customHeight="1">
      <c r="A870" s="67"/>
      <c r="B870" s="67"/>
      <c r="C870" s="67"/>
      <c r="D870" s="68"/>
      <c r="E870" s="68"/>
      <c r="F870" s="68"/>
      <c r="G870" s="68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30"/>
      <c r="AO870" s="25"/>
      <c r="AP870" s="120"/>
      <c r="AQ870" s="120"/>
      <c r="AR870" s="121"/>
      <c r="AS870" s="96"/>
      <c r="AT870" s="122"/>
      <c r="AU870" s="96"/>
      <c r="AV870" s="122"/>
      <c r="AW870" s="122"/>
      <c r="AX870" s="30"/>
      <c r="AY870" s="30"/>
      <c r="AZ870" s="30"/>
      <c r="BA870" s="30"/>
      <c r="BB870" s="26"/>
      <c r="BC870" s="26"/>
      <c r="BD870" s="26"/>
      <c r="BE870" s="26"/>
      <c r="BF870" s="26"/>
    </row>
    <row r="871" spans="1:58" ht="15.75" customHeight="1">
      <c r="A871" s="67"/>
      <c r="B871" s="67"/>
      <c r="C871" s="67"/>
      <c r="D871" s="68"/>
      <c r="E871" s="68"/>
      <c r="F871" s="68"/>
      <c r="G871" s="68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30"/>
      <c r="AO871" s="25"/>
      <c r="AP871" s="120"/>
      <c r="AQ871" s="120"/>
      <c r="AR871" s="121"/>
      <c r="AS871" s="96"/>
      <c r="AT871" s="122"/>
      <c r="AU871" s="96"/>
      <c r="AV871" s="122"/>
      <c r="AW871" s="122"/>
      <c r="AX871" s="30"/>
      <c r="AY871" s="30"/>
      <c r="AZ871" s="30"/>
      <c r="BA871" s="30"/>
      <c r="BB871" s="26"/>
      <c r="BC871" s="26"/>
      <c r="BD871" s="26"/>
      <c r="BE871" s="26"/>
      <c r="BF871" s="26"/>
    </row>
    <row r="872" spans="1:58" ht="15.75" customHeight="1">
      <c r="A872" s="67"/>
      <c r="B872" s="67"/>
      <c r="C872" s="67"/>
      <c r="D872" s="68"/>
      <c r="E872" s="68"/>
      <c r="F872" s="68"/>
      <c r="G872" s="68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30"/>
      <c r="AO872" s="25"/>
      <c r="AP872" s="120"/>
      <c r="AQ872" s="120"/>
      <c r="AR872" s="121"/>
      <c r="AS872" s="96"/>
      <c r="AT872" s="122"/>
      <c r="AU872" s="96"/>
      <c r="AV872" s="122"/>
      <c r="AW872" s="122"/>
      <c r="AX872" s="30"/>
      <c r="AY872" s="30"/>
      <c r="AZ872" s="30"/>
      <c r="BA872" s="30"/>
      <c r="BB872" s="26"/>
      <c r="BC872" s="26"/>
      <c r="BD872" s="26"/>
      <c r="BE872" s="26"/>
      <c r="BF872" s="26"/>
    </row>
    <row r="873" spans="1:58" ht="15.75" customHeight="1">
      <c r="A873" s="67"/>
      <c r="B873" s="67"/>
      <c r="C873" s="67"/>
      <c r="D873" s="68"/>
      <c r="E873" s="68"/>
      <c r="F873" s="68"/>
      <c r="G873" s="68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30"/>
      <c r="AO873" s="25"/>
      <c r="AP873" s="120"/>
      <c r="AQ873" s="120"/>
      <c r="AR873" s="121"/>
      <c r="AS873" s="96"/>
      <c r="AT873" s="122"/>
      <c r="AU873" s="96"/>
      <c r="AV873" s="122"/>
      <c r="AW873" s="122"/>
      <c r="AX873" s="30"/>
      <c r="AY873" s="30"/>
      <c r="AZ873" s="30"/>
      <c r="BA873" s="30"/>
      <c r="BB873" s="26"/>
      <c r="BC873" s="26"/>
      <c r="BD873" s="26"/>
      <c r="BE873" s="26"/>
      <c r="BF873" s="26"/>
    </row>
    <row r="874" spans="1:58" ht="15.75" customHeight="1">
      <c r="A874" s="67"/>
      <c r="B874" s="67"/>
      <c r="C874" s="67"/>
      <c r="D874" s="68"/>
      <c r="E874" s="68"/>
      <c r="F874" s="68"/>
      <c r="G874" s="68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30"/>
      <c r="AO874" s="25"/>
      <c r="AP874" s="120"/>
      <c r="AQ874" s="120"/>
      <c r="AR874" s="121"/>
      <c r="AS874" s="96"/>
      <c r="AT874" s="122"/>
      <c r="AU874" s="96"/>
      <c r="AV874" s="122"/>
      <c r="AW874" s="122"/>
      <c r="AX874" s="30"/>
      <c r="AY874" s="30"/>
      <c r="AZ874" s="30"/>
      <c r="BA874" s="30"/>
      <c r="BB874" s="26"/>
      <c r="BC874" s="26"/>
      <c r="BD874" s="26"/>
      <c r="BE874" s="26"/>
      <c r="BF874" s="26"/>
    </row>
    <row r="875" spans="1:58" ht="15.75" customHeight="1">
      <c r="A875" s="67"/>
      <c r="B875" s="67"/>
      <c r="C875" s="67"/>
      <c r="D875" s="68"/>
      <c r="E875" s="68"/>
      <c r="F875" s="68"/>
      <c r="G875" s="68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30"/>
      <c r="AO875" s="25"/>
      <c r="AP875" s="120"/>
      <c r="AQ875" s="120"/>
      <c r="AR875" s="121"/>
      <c r="AS875" s="96"/>
      <c r="AT875" s="122"/>
      <c r="AU875" s="96"/>
      <c r="AV875" s="122"/>
      <c r="AW875" s="122"/>
      <c r="AX875" s="30"/>
      <c r="AY875" s="30"/>
      <c r="AZ875" s="30"/>
      <c r="BA875" s="30"/>
      <c r="BB875" s="26"/>
      <c r="BC875" s="26"/>
      <c r="BD875" s="26"/>
      <c r="BE875" s="26"/>
      <c r="BF875" s="26"/>
    </row>
    <row r="876" spans="1:58" ht="15.75" customHeight="1">
      <c r="A876" s="67"/>
      <c r="B876" s="67"/>
      <c r="C876" s="67"/>
      <c r="D876" s="68"/>
      <c r="E876" s="68"/>
      <c r="F876" s="68"/>
      <c r="G876" s="68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30"/>
      <c r="AO876" s="25"/>
      <c r="AP876" s="120"/>
      <c r="AQ876" s="120"/>
      <c r="AR876" s="121"/>
      <c r="AS876" s="96"/>
      <c r="AT876" s="122"/>
      <c r="AU876" s="96"/>
      <c r="AV876" s="122"/>
      <c r="AW876" s="122"/>
      <c r="AX876" s="30"/>
      <c r="AY876" s="30"/>
      <c r="AZ876" s="30"/>
      <c r="BA876" s="30"/>
      <c r="BB876" s="26"/>
      <c r="BC876" s="26"/>
      <c r="BD876" s="26"/>
      <c r="BE876" s="26"/>
      <c r="BF876" s="26"/>
    </row>
    <row r="877" spans="1:58" ht="15.75" customHeight="1">
      <c r="A877" s="67"/>
      <c r="B877" s="67"/>
      <c r="C877" s="67"/>
      <c r="D877" s="68"/>
      <c r="E877" s="68"/>
      <c r="F877" s="68"/>
      <c r="G877" s="68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30"/>
      <c r="AO877" s="25"/>
      <c r="AP877" s="120"/>
      <c r="AQ877" s="120"/>
      <c r="AR877" s="121"/>
      <c r="AS877" s="96"/>
      <c r="AT877" s="122"/>
      <c r="AU877" s="96"/>
      <c r="AV877" s="122"/>
      <c r="AW877" s="122"/>
      <c r="AX877" s="30"/>
      <c r="AY877" s="30"/>
      <c r="AZ877" s="30"/>
      <c r="BA877" s="30"/>
      <c r="BB877" s="26"/>
      <c r="BC877" s="26"/>
      <c r="BD877" s="26"/>
      <c r="BE877" s="26"/>
      <c r="BF877" s="26"/>
    </row>
    <row r="878" spans="1:58" ht="15.75" customHeight="1">
      <c r="A878" s="67"/>
      <c r="B878" s="67"/>
      <c r="C878" s="67"/>
      <c r="D878" s="68"/>
      <c r="E878" s="68"/>
      <c r="F878" s="68"/>
      <c r="G878" s="68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30"/>
      <c r="AO878" s="25"/>
      <c r="AP878" s="120"/>
      <c r="AQ878" s="120"/>
      <c r="AR878" s="121"/>
      <c r="AS878" s="96"/>
      <c r="AT878" s="122"/>
      <c r="AU878" s="96"/>
      <c r="AV878" s="122"/>
      <c r="AW878" s="122"/>
      <c r="AX878" s="30"/>
      <c r="AY878" s="30"/>
      <c r="AZ878" s="30"/>
      <c r="BA878" s="30"/>
      <c r="BB878" s="26"/>
      <c r="BC878" s="26"/>
      <c r="BD878" s="26"/>
      <c r="BE878" s="26"/>
      <c r="BF878" s="26"/>
    </row>
    <row r="879" spans="1:58" ht="15.75" customHeight="1">
      <c r="A879" s="67"/>
      <c r="B879" s="67"/>
      <c r="C879" s="67"/>
      <c r="D879" s="68"/>
      <c r="E879" s="68"/>
      <c r="F879" s="68"/>
      <c r="G879" s="68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30"/>
      <c r="AO879" s="25"/>
      <c r="AP879" s="120"/>
      <c r="AQ879" s="120"/>
      <c r="AR879" s="121"/>
      <c r="AS879" s="96"/>
      <c r="AT879" s="122"/>
      <c r="AU879" s="96"/>
      <c r="AV879" s="122"/>
      <c r="AW879" s="122"/>
      <c r="AX879" s="30"/>
      <c r="AY879" s="30"/>
      <c r="AZ879" s="30"/>
      <c r="BA879" s="30"/>
      <c r="BB879" s="26"/>
      <c r="BC879" s="26"/>
      <c r="BD879" s="26"/>
      <c r="BE879" s="26"/>
      <c r="BF879" s="26"/>
    </row>
    <row r="880" spans="1:58" ht="15.75" customHeight="1">
      <c r="A880" s="67"/>
      <c r="B880" s="67"/>
      <c r="C880" s="67"/>
      <c r="D880" s="68"/>
      <c r="E880" s="68"/>
      <c r="F880" s="68"/>
      <c r="G880" s="68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30"/>
      <c r="AO880" s="25"/>
      <c r="AP880" s="120"/>
      <c r="AQ880" s="120"/>
      <c r="AR880" s="121"/>
      <c r="AS880" s="96"/>
      <c r="AT880" s="122"/>
      <c r="AU880" s="96"/>
      <c r="AV880" s="122"/>
      <c r="AW880" s="122"/>
      <c r="AX880" s="30"/>
      <c r="AY880" s="30"/>
      <c r="AZ880" s="30"/>
      <c r="BA880" s="30"/>
      <c r="BB880" s="26"/>
      <c r="BC880" s="26"/>
      <c r="BD880" s="26"/>
      <c r="BE880" s="26"/>
      <c r="BF880" s="26"/>
    </row>
    <row r="881" spans="1:58" ht="15.75" customHeight="1">
      <c r="A881" s="67"/>
      <c r="B881" s="67"/>
      <c r="C881" s="67"/>
      <c r="D881" s="68"/>
      <c r="E881" s="68"/>
      <c r="F881" s="68"/>
      <c r="G881" s="68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30"/>
      <c r="AO881" s="25"/>
      <c r="AP881" s="120"/>
      <c r="AQ881" s="120"/>
      <c r="AR881" s="121"/>
      <c r="AS881" s="96"/>
      <c r="AT881" s="122"/>
      <c r="AU881" s="96"/>
      <c r="AV881" s="122"/>
      <c r="AW881" s="122"/>
      <c r="AX881" s="30"/>
      <c r="AY881" s="30"/>
      <c r="AZ881" s="30"/>
      <c r="BA881" s="30"/>
      <c r="BB881" s="26"/>
      <c r="BC881" s="26"/>
      <c r="BD881" s="26"/>
      <c r="BE881" s="26"/>
      <c r="BF881" s="26"/>
    </row>
    <row r="882" spans="1:58" ht="15.75" customHeight="1">
      <c r="A882" s="67"/>
      <c r="B882" s="67"/>
      <c r="C882" s="67"/>
      <c r="D882" s="68"/>
      <c r="E882" s="68"/>
      <c r="F882" s="68"/>
      <c r="G882" s="68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30"/>
      <c r="AO882" s="25"/>
      <c r="AP882" s="120"/>
      <c r="AQ882" s="120"/>
      <c r="AR882" s="121"/>
      <c r="AS882" s="96"/>
      <c r="AT882" s="122"/>
      <c r="AU882" s="96"/>
      <c r="AV882" s="122"/>
      <c r="AW882" s="122"/>
      <c r="AX882" s="30"/>
      <c r="AY882" s="30"/>
      <c r="AZ882" s="30"/>
      <c r="BA882" s="30"/>
      <c r="BB882" s="26"/>
      <c r="BC882" s="26"/>
      <c r="BD882" s="26"/>
      <c r="BE882" s="26"/>
      <c r="BF882" s="26"/>
    </row>
    <row r="883" spans="1:58" ht="15.75" customHeight="1">
      <c r="A883" s="67"/>
      <c r="B883" s="67"/>
      <c r="C883" s="67"/>
      <c r="D883" s="68"/>
      <c r="E883" s="68"/>
      <c r="F883" s="68"/>
      <c r="G883" s="68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30"/>
      <c r="AO883" s="25"/>
      <c r="AP883" s="120"/>
      <c r="AQ883" s="120"/>
      <c r="AR883" s="121"/>
      <c r="AS883" s="96"/>
      <c r="AT883" s="122"/>
      <c r="AU883" s="96"/>
      <c r="AV883" s="122"/>
      <c r="AW883" s="122"/>
      <c r="AX883" s="30"/>
      <c r="AY883" s="30"/>
      <c r="AZ883" s="30"/>
      <c r="BA883" s="30"/>
      <c r="BB883" s="26"/>
      <c r="BC883" s="26"/>
      <c r="BD883" s="26"/>
      <c r="BE883" s="26"/>
      <c r="BF883" s="26"/>
    </row>
    <row r="884" spans="1:58" ht="15.75" customHeight="1">
      <c r="A884" s="67"/>
      <c r="B884" s="67"/>
      <c r="C884" s="67"/>
      <c r="D884" s="68"/>
      <c r="E884" s="68"/>
      <c r="F884" s="68"/>
      <c r="G884" s="68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30"/>
      <c r="AO884" s="25"/>
      <c r="AP884" s="120"/>
      <c r="AQ884" s="120"/>
      <c r="AR884" s="121"/>
      <c r="AS884" s="96"/>
      <c r="AT884" s="122"/>
      <c r="AU884" s="96"/>
      <c r="AV884" s="122"/>
      <c r="AW884" s="122"/>
      <c r="AX884" s="30"/>
      <c r="AY884" s="30"/>
      <c r="AZ884" s="30"/>
      <c r="BA884" s="30"/>
      <c r="BB884" s="26"/>
      <c r="BC884" s="26"/>
      <c r="BD884" s="26"/>
      <c r="BE884" s="26"/>
      <c r="BF884" s="26"/>
    </row>
    <row r="885" spans="1:58" ht="15.75" customHeight="1">
      <c r="A885" s="67"/>
      <c r="B885" s="67"/>
      <c r="C885" s="67"/>
      <c r="D885" s="68"/>
      <c r="E885" s="68"/>
      <c r="F885" s="68"/>
      <c r="G885" s="68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30"/>
      <c r="AO885" s="25"/>
      <c r="AP885" s="120"/>
      <c r="AQ885" s="120"/>
      <c r="AR885" s="121"/>
      <c r="AS885" s="96"/>
      <c r="AT885" s="122"/>
      <c r="AU885" s="96"/>
      <c r="AV885" s="122"/>
      <c r="AW885" s="122"/>
      <c r="AX885" s="30"/>
      <c r="AY885" s="30"/>
      <c r="AZ885" s="30"/>
      <c r="BA885" s="30"/>
      <c r="BB885" s="26"/>
      <c r="BC885" s="26"/>
      <c r="BD885" s="26"/>
      <c r="BE885" s="26"/>
      <c r="BF885" s="26"/>
    </row>
    <row r="886" spans="1:58" ht="15.75" customHeight="1">
      <c r="A886" s="67"/>
      <c r="B886" s="67"/>
      <c r="C886" s="67"/>
      <c r="D886" s="68"/>
      <c r="E886" s="68"/>
      <c r="F886" s="68"/>
      <c r="G886" s="68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30"/>
      <c r="AO886" s="25"/>
      <c r="AP886" s="120"/>
      <c r="AQ886" s="120"/>
      <c r="AR886" s="121"/>
      <c r="AS886" s="96"/>
      <c r="AT886" s="122"/>
      <c r="AU886" s="96"/>
      <c r="AV886" s="122"/>
      <c r="AW886" s="122"/>
      <c r="AX886" s="30"/>
      <c r="AY886" s="30"/>
      <c r="AZ886" s="30"/>
      <c r="BA886" s="30"/>
      <c r="BB886" s="26"/>
      <c r="BC886" s="26"/>
      <c r="BD886" s="26"/>
      <c r="BE886" s="26"/>
      <c r="BF886" s="26"/>
    </row>
    <row r="887" spans="1:58" ht="15.75" customHeight="1">
      <c r="A887" s="67"/>
      <c r="B887" s="67"/>
      <c r="C887" s="67"/>
      <c r="D887" s="68"/>
      <c r="E887" s="68"/>
      <c r="F887" s="68"/>
      <c r="G887" s="68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30"/>
      <c r="AO887" s="25"/>
      <c r="AP887" s="120"/>
      <c r="AQ887" s="120"/>
      <c r="AR887" s="121"/>
      <c r="AS887" s="96"/>
      <c r="AT887" s="122"/>
      <c r="AU887" s="96"/>
      <c r="AV887" s="122"/>
      <c r="AW887" s="122"/>
      <c r="AX887" s="30"/>
      <c r="AY887" s="30"/>
      <c r="AZ887" s="30"/>
      <c r="BA887" s="30"/>
      <c r="BB887" s="26"/>
      <c r="BC887" s="26"/>
      <c r="BD887" s="26"/>
      <c r="BE887" s="26"/>
      <c r="BF887" s="26"/>
    </row>
    <row r="888" spans="1:58" ht="15.75" customHeight="1">
      <c r="A888" s="67"/>
      <c r="B888" s="67"/>
      <c r="C888" s="67"/>
      <c r="D888" s="68"/>
      <c r="E888" s="68"/>
      <c r="F888" s="68"/>
      <c r="G888" s="68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30"/>
      <c r="AO888" s="25"/>
      <c r="AP888" s="120"/>
      <c r="AQ888" s="120"/>
      <c r="AR888" s="121"/>
      <c r="AS888" s="96"/>
      <c r="AT888" s="122"/>
      <c r="AU888" s="96"/>
      <c r="AV888" s="122"/>
      <c r="AW888" s="122"/>
      <c r="AX888" s="30"/>
      <c r="AY888" s="30"/>
      <c r="AZ888" s="30"/>
      <c r="BA888" s="30"/>
      <c r="BB888" s="26"/>
      <c r="BC888" s="26"/>
      <c r="BD888" s="26"/>
      <c r="BE888" s="26"/>
      <c r="BF888" s="26"/>
    </row>
    <row r="889" spans="1:58" ht="15.75" customHeight="1">
      <c r="A889" s="67"/>
      <c r="B889" s="67"/>
      <c r="C889" s="67"/>
      <c r="D889" s="68"/>
      <c r="E889" s="68"/>
      <c r="F889" s="68"/>
      <c r="G889" s="68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30"/>
      <c r="AO889" s="25"/>
      <c r="AP889" s="120"/>
      <c r="AQ889" s="120"/>
      <c r="AR889" s="121"/>
      <c r="AS889" s="96"/>
      <c r="AT889" s="122"/>
      <c r="AU889" s="96"/>
      <c r="AV889" s="122"/>
      <c r="AW889" s="122"/>
      <c r="AX889" s="30"/>
      <c r="AY889" s="30"/>
      <c r="AZ889" s="30"/>
      <c r="BA889" s="30"/>
      <c r="BB889" s="26"/>
      <c r="BC889" s="26"/>
      <c r="BD889" s="26"/>
      <c r="BE889" s="26"/>
      <c r="BF889" s="26"/>
    </row>
    <row r="890" spans="1:58" ht="15.75" customHeight="1">
      <c r="A890" s="67"/>
      <c r="B890" s="67"/>
      <c r="C890" s="67"/>
      <c r="D890" s="68"/>
      <c r="E890" s="68"/>
      <c r="F890" s="68"/>
      <c r="G890" s="68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30"/>
      <c r="AO890" s="25"/>
      <c r="AP890" s="120"/>
      <c r="AQ890" s="120"/>
      <c r="AR890" s="121"/>
      <c r="AS890" s="96"/>
      <c r="AT890" s="122"/>
      <c r="AU890" s="96"/>
      <c r="AV890" s="122"/>
      <c r="AW890" s="122"/>
      <c r="AX890" s="30"/>
      <c r="AY890" s="30"/>
      <c r="AZ890" s="30"/>
      <c r="BA890" s="30"/>
      <c r="BB890" s="26"/>
      <c r="BC890" s="26"/>
      <c r="BD890" s="26"/>
      <c r="BE890" s="26"/>
      <c r="BF890" s="26"/>
    </row>
    <row r="891" spans="1:58" ht="15.75" customHeight="1">
      <c r="A891" s="67"/>
      <c r="B891" s="67"/>
      <c r="C891" s="67"/>
      <c r="D891" s="68"/>
      <c r="E891" s="68"/>
      <c r="F891" s="68"/>
      <c r="G891" s="68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30"/>
      <c r="AO891" s="25"/>
      <c r="AP891" s="120"/>
      <c r="AQ891" s="120"/>
      <c r="AR891" s="121"/>
      <c r="AS891" s="96"/>
      <c r="AT891" s="122"/>
      <c r="AU891" s="96"/>
      <c r="AV891" s="122"/>
      <c r="AW891" s="122"/>
      <c r="AX891" s="30"/>
      <c r="AY891" s="30"/>
      <c r="AZ891" s="30"/>
      <c r="BA891" s="30"/>
      <c r="BB891" s="26"/>
      <c r="BC891" s="26"/>
      <c r="BD891" s="26"/>
      <c r="BE891" s="26"/>
      <c r="BF891" s="26"/>
    </row>
    <row r="892" spans="1:58" ht="15.75" customHeight="1">
      <c r="A892" s="67"/>
      <c r="B892" s="67"/>
      <c r="C892" s="67"/>
      <c r="D892" s="68"/>
      <c r="E892" s="68"/>
      <c r="F892" s="68"/>
      <c r="G892" s="68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30"/>
      <c r="AO892" s="25"/>
      <c r="AP892" s="120"/>
      <c r="AQ892" s="120"/>
      <c r="AR892" s="121"/>
      <c r="AS892" s="96"/>
      <c r="AT892" s="122"/>
      <c r="AU892" s="96"/>
      <c r="AV892" s="122"/>
      <c r="AW892" s="122"/>
      <c r="AX892" s="30"/>
      <c r="AY892" s="30"/>
      <c r="AZ892" s="30"/>
      <c r="BA892" s="30"/>
      <c r="BB892" s="26"/>
      <c r="BC892" s="26"/>
      <c r="BD892" s="26"/>
      <c r="BE892" s="26"/>
      <c r="BF892" s="26"/>
    </row>
    <row r="893" spans="1:58" ht="15.75" customHeight="1">
      <c r="A893" s="67"/>
      <c r="B893" s="67"/>
      <c r="C893" s="67"/>
      <c r="D893" s="68"/>
      <c r="E893" s="68"/>
      <c r="F893" s="68"/>
      <c r="G893" s="68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30"/>
      <c r="AO893" s="25"/>
      <c r="AP893" s="120"/>
      <c r="AQ893" s="120"/>
      <c r="AR893" s="121"/>
      <c r="AS893" s="96"/>
      <c r="AT893" s="122"/>
      <c r="AU893" s="96"/>
      <c r="AV893" s="122"/>
      <c r="AW893" s="122"/>
      <c r="AX893" s="30"/>
      <c r="AY893" s="30"/>
      <c r="AZ893" s="30"/>
      <c r="BA893" s="30"/>
      <c r="BB893" s="26"/>
      <c r="BC893" s="26"/>
      <c r="BD893" s="26"/>
      <c r="BE893" s="26"/>
      <c r="BF893" s="26"/>
    </row>
    <row r="894" spans="1:58" ht="15.75" customHeight="1">
      <c r="A894" s="67"/>
      <c r="B894" s="67"/>
      <c r="C894" s="67"/>
      <c r="D894" s="68"/>
      <c r="E894" s="68"/>
      <c r="F894" s="68"/>
      <c r="G894" s="68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30"/>
      <c r="AO894" s="25"/>
      <c r="AP894" s="120"/>
      <c r="AQ894" s="120"/>
      <c r="AR894" s="121"/>
      <c r="AS894" s="96"/>
      <c r="AT894" s="122"/>
      <c r="AU894" s="96"/>
      <c r="AV894" s="122"/>
      <c r="AW894" s="122"/>
      <c r="AX894" s="30"/>
      <c r="AY894" s="30"/>
      <c r="AZ894" s="30"/>
      <c r="BA894" s="30"/>
      <c r="BB894" s="26"/>
      <c r="BC894" s="26"/>
      <c r="BD894" s="26"/>
      <c r="BE894" s="26"/>
      <c r="BF894" s="26"/>
    </row>
    <row r="895" spans="1:58" ht="15.75" customHeight="1">
      <c r="A895" s="67"/>
      <c r="B895" s="67"/>
      <c r="C895" s="67"/>
      <c r="D895" s="68"/>
      <c r="E895" s="68"/>
      <c r="F895" s="68"/>
      <c r="G895" s="68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30"/>
      <c r="AO895" s="25"/>
      <c r="AP895" s="120"/>
      <c r="AQ895" s="120"/>
      <c r="AR895" s="121"/>
      <c r="AS895" s="96"/>
      <c r="AT895" s="122"/>
      <c r="AU895" s="96"/>
      <c r="AV895" s="122"/>
      <c r="AW895" s="122"/>
      <c r="AX895" s="30"/>
      <c r="AY895" s="30"/>
      <c r="AZ895" s="30"/>
      <c r="BA895" s="30"/>
      <c r="BB895" s="26"/>
      <c r="BC895" s="26"/>
      <c r="BD895" s="26"/>
      <c r="BE895" s="26"/>
      <c r="BF895" s="26"/>
    </row>
    <row r="896" spans="1:58" ht="15.75" customHeight="1">
      <c r="A896" s="67"/>
      <c r="B896" s="67"/>
      <c r="C896" s="67"/>
      <c r="D896" s="68"/>
      <c r="E896" s="68"/>
      <c r="F896" s="68"/>
      <c r="G896" s="68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30"/>
      <c r="AO896" s="25"/>
      <c r="AP896" s="120"/>
      <c r="AQ896" s="120"/>
      <c r="AR896" s="121"/>
      <c r="AS896" s="96"/>
      <c r="AT896" s="122"/>
      <c r="AU896" s="96"/>
      <c r="AV896" s="122"/>
      <c r="AW896" s="122"/>
      <c r="AX896" s="30"/>
      <c r="AY896" s="30"/>
      <c r="AZ896" s="30"/>
      <c r="BA896" s="30"/>
      <c r="BB896" s="26"/>
      <c r="BC896" s="26"/>
      <c r="BD896" s="26"/>
      <c r="BE896" s="26"/>
      <c r="BF896" s="26"/>
    </row>
    <row r="897" spans="1:58" ht="15.75" customHeight="1">
      <c r="A897" s="67"/>
      <c r="B897" s="67"/>
      <c r="C897" s="67"/>
      <c r="D897" s="68"/>
      <c r="E897" s="68"/>
      <c r="F897" s="68"/>
      <c r="G897" s="68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30"/>
      <c r="AO897" s="25"/>
      <c r="AP897" s="120"/>
      <c r="AQ897" s="120"/>
      <c r="AR897" s="121"/>
      <c r="AS897" s="96"/>
      <c r="AT897" s="122"/>
      <c r="AU897" s="96"/>
      <c r="AV897" s="122"/>
      <c r="AW897" s="122"/>
      <c r="AX897" s="30"/>
      <c r="AY897" s="30"/>
      <c r="AZ897" s="30"/>
      <c r="BA897" s="30"/>
      <c r="BB897" s="26"/>
      <c r="BC897" s="26"/>
      <c r="BD897" s="26"/>
      <c r="BE897" s="26"/>
      <c r="BF897" s="26"/>
    </row>
    <row r="898" spans="1:58" ht="15.75" customHeight="1">
      <c r="A898" s="67"/>
      <c r="B898" s="67"/>
      <c r="C898" s="67"/>
      <c r="D898" s="68"/>
      <c r="E898" s="68"/>
      <c r="F898" s="68"/>
      <c r="G898" s="68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30"/>
      <c r="AO898" s="25"/>
      <c r="AP898" s="120"/>
      <c r="AQ898" s="120"/>
      <c r="AR898" s="121"/>
      <c r="AS898" s="96"/>
      <c r="AT898" s="122"/>
      <c r="AU898" s="96"/>
      <c r="AV898" s="122"/>
      <c r="AW898" s="122"/>
      <c r="AX898" s="30"/>
      <c r="AY898" s="30"/>
      <c r="AZ898" s="30"/>
      <c r="BA898" s="30"/>
      <c r="BB898" s="26"/>
      <c r="BC898" s="26"/>
      <c r="BD898" s="26"/>
      <c r="BE898" s="26"/>
      <c r="BF898" s="26"/>
    </row>
    <row r="899" spans="1:58" ht="15.75" customHeight="1">
      <c r="A899" s="67"/>
      <c r="B899" s="67"/>
      <c r="C899" s="67"/>
      <c r="D899" s="68"/>
      <c r="E899" s="68"/>
      <c r="F899" s="68"/>
      <c r="G899" s="68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30"/>
      <c r="AO899" s="25"/>
      <c r="AP899" s="120"/>
      <c r="AQ899" s="120"/>
      <c r="AR899" s="121"/>
      <c r="AS899" s="96"/>
      <c r="AT899" s="122"/>
      <c r="AU899" s="96"/>
      <c r="AV899" s="122"/>
      <c r="AW899" s="122"/>
      <c r="AX899" s="30"/>
      <c r="AY899" s="30"/>
      <c r="AZ899" s="30"/>
      <c r="BA899" s="30"/>
      <c r="BB899" s="26"/>
      <c r="BC899" s="26"/>
      <c r="BD899" s="26"/>
      <c r="BE899" s="26"/>
      <c r="BF899" s="26"/>
    </row>
    <row r="900" spans="1:58" ht="15.75" customHeight="1">
      <c r="A900" s="67"/>
      <c r="B900" s="67"/>
      <c r="C900" s="67"/>
      <c r="D900" s="68"/>
      <c r="E900" s="68"/>
      <c r="F900" s="68"/>
      <c r="G900" s="68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30"/>
      <c r="AO900" s="25"/>
      <c r="AP900" s="120"/>
      <c r="AQ900" s="120"/>
      <c r="AR900" s="121"/>
      <c r="AS900" s="96"/>
      <c r="AT900" s="122"/>
      <c r="AU900" s="96"/>
      <c r="AV900" s="122"/>
      <c r="AW900" s="122"/>
      <c r="AX900" s="30"/>
      <c r="AY900" s="30"/>
      <c r="AZ900" s="30"/>
      <c r="BA900" s="30"/>
      <c r="BB900" s="26"/>
      <c r="BC900" s="26"/>
      <c r="BD900" s="26"/>
      <c r="BE900" s="26"/>
      <c r="BF900" s="26"/>
    </row>
    <row r="901" spans="1:58" ht="15.75" customHeight="1">
      <c r="A901" s="67"/>
      <c r="B901" s="67"/>
      <c r="C901" s="67"/>
      <c r="D901" s="68"/>
      <c r="E901" s="68"/>
      <c r="F901" s="68"/>
      <c r="G901" s="68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30"/>
      <c r="AO901" s="25"/>
      <c r="AP901" s="120"/>
      <c r="AQ901" s="120"/>
      <c r="AR901" s="121"/>
      <c r="AS901" s="96"/>
      <c r="AT901" s="122"/>
      <c r="AU901" s="96"/>
      <c r="AV901" s="122"/>
      <c r="AW901" s="122"/>
      <c r="AX901" s="30"/>
      <c r="AY901" s="30"/>
      <c r="AZ901" s="30"/>
      <c r="BA901" s="30"/>
      <c r="BB901" s="26"/>
      <c r="BC901" s="26"/>
      <c r="BD901" s="26"/>
      <c r="BE901" s="26"/>
      <c r="BF901" s="26"/>
    </row>
    <row r="902" spans="1:58" ht="15.75" customHeight="1">
      <c r="A902" s="67"/>
      <c r="B902" s="67"/>
      <c r="C902" s="67"/>
      <c r="D902" s="68"/>
      <c r="E902" s="68"/>
      <c r="F902" s="68"/>
      <c r="G902" s="68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30"/>
      <c r="AO902" s="25"/>
      <c r="AP902" s="120"/>
      <c r="AQ902" s="120"/>
      <c r="AR902" s="121"/>
      <c r="AS902" s="96"/>
      <c r="AT902" s="122"/>
      <c r="AU902" s="96"/>
      <c r="AV902" s="122"/>
      <c r="AW902" s="122"/>
      <c r="AX902" s="30"/>
      <c r="AY902" s="30"/>
      <c r="AZ902" s="30"/>
      <c r="BA902" s="30"/>
      <c r="BB902" s="26"/>
      <c r="BC902" s="26"/>
      <c r="BD902" s="26"/>
      <c r="BE902" s="26"/>
      <c r="BF902" s="26"/>
    </row>
    <row r="903" spans="1:58" ht="15.75" customHeight="1">
      <c r="A903" s="67"/>
      <c r="B903" s="67"/>
      <c r="C903" s="67"/>
      <c r="D903" s="68"/>
      <c r="E903" s="68"/>
      <c r="F903" s="68"/>
      <c r="G903" s="68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30"/>
      <c r="AO903" s="25"/>
      <c r="AP903" s="120"/>
      <c r="AQ903" s="120"/>
      <c r="AR903" s="121"/>
      <c r="AS903" s="96"/>
      <c r="AT903" s="122"/>
      <c r="AU903" s="96"/>
      <c r="AV903" s="122"/>
      <c r="AW903" s="122"/>
      <c r="AX903" s="30"/>
      <c r="AY903" s="30"/>
      <c r="AZ903" s="30"/>
      <c r="BA903" s="30"/>
      <c r="BB903" s="26"/>
      <c r="BC903" s="26"/>
      <c r="BD903" s="26"/>
      <c r="BE903" s="26"/>
      <c r="BF903" s="26"/>
    </row>
    <row r="904" spans="1:58" ht="15.75" customHeight="1">
      <c r="A904" s="67"/>
      <c r="B904" s="67"/>
      <c r="C904" s="67"/>
      <c r="D904" s="68"/>
      <c r="E904" s="68"/>
      <c r="F904" s="68"/>
      <c r="G904" s="68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30"/>
      <c r="AO904" s="25"/>
      <c r="AP904" s="120"/>
      <c r="AQ904" s="120"/>
      <c r="AR904" s="121"/>
      <c r="AS904" s="96"/>
      <c r="AT904" s="122"/>
      <c r="AU904" s="96"/>
      <c r="AV904" s="122"/>
      <c r="AW904" s="122"/>
      <c r="AX904" s="30"/>
      <c r="AY904" s="30"/>
      <c r="AZ904" s="30"/>
      <c r="BA904" s="30"/>
      <c r="BB904" s="26"/>
      <c r="BC904" s="26"/>
      <c r="BD904" s="26"/>
      <c r="BE904" s="26"/>
      <c r="BF904" s="26"/>
    </row>
    <row r="905" spans="1:58" ht="15.75" customHeight="1">
      <c r="A905" s="67"/>
      <c r="B905" s="67"/>
      <c r="C905" s="67"/>
      <c r="D905" s="68"/>
      <c r="E905" s="68"/>
      <c r="F905" s="68"/>
      <c r="G905" s="68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30"/>
      <c r="AO905" s="25"/>
      <c r="AP905" s="120"/>
      <c r="AQ905" s="120"/>
      <c r="AR905" s="121"/>
      <c r="AS905" s="96"/>
      <c r="AT905" s="122"/>
      <c r="AU905" s="96"/>
      <c r="AV905" s="122"/>
      <c r="AW905" s="122"/>
      <c r="AX905" s="30"/>
      <c r="AY905" s="30"/>
      <c r="AZ905" s="30"/>
      <c r="BA905" s="30"/>
      <c r="BB905" s="26"/>
      <c r="BC905" s="26"/>
      <c r="BD905" s="26"/>
      <c r="BE905" s="26"/>
      <c r="BF905" s="26"/>
    </row>
    <row r="906" spans="1:58" ht="15.75" customHeight="1">
      <c r="A906" s="67"/>
      <c r="B906" s="67"/>
      <c r="C906" s="67"/>
      <c r="D906" s="68"/>
      <c r="E906" s="68"/>
      <c r="F906" s="68"/>
      <c r="G906" s="68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30"/>
      <c r="AO906" s="25"/>
      <c r="AP906" s="120"/>
      <c r="AQ906" s="120"/>
      <c r="AR906" s="121"/>
      <c r="AS906" s="96"/>
      <c r="AT906" s="122"/>
      <c r="AU906" s="96"/>
      <c r="AV906" s="122"/>
      <c r="AW906" s="122"/>
      <c r="AX906" s="30"/>
      <c r="AY906" s="30"/>
      <c r="AZ906" s="30"/>
      <c r="BA906" s="30"/>
      <c r="BB906" s="26"/>
      <c r="BC906" s="26"/>
      <c r="BD906" s="26"/>
      <c r="BE906" s="26"/>
      <c r="BF906" s="26"/>
    </row>
    <row r="907" spans="1:58" ht="15.75" customHeight="1">
      <c r="A907" s="67"/>
      <c r="B907" s="67"/>
      <c r="C907" s="67"/>
      <c r="D907" s="68"/>
      <c r="E907" s="68"/>
      <c r="F907" s="68"/>
      <c r="G907" s="68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30"/>
      <c r="AO907" s="25"/>
      <c r="AP907" s="120"/>
      <c r="AQ907" s="120"/>
      <c r="AR907" s="121"/>
      <c r="AS907" s="96"/>
      <c r="AT907" s="122"/>
      <c r="AU907" s="96"/>
      <c r="AV907" s="122"/>
      <c r="AW907" s="122"/>
      <c r="AX907" s="30"/>
      <c r="AY907" s="30"/>
      <c r="AZ907" s="30"/>
      <c r="BA907" s="30"/>
      <c r="BB907" s="26"/>
      <c r="BC907" s="26"/>
      <c r="BD907" s="26"/>
      <c r="BE907" s="26"/>
      <c r="BF907" s="26"/>
    </row>
    <row r="908" spans="1:58" ht="15.75" customHeight="1">
      <c r="A908" s="67"/>
      <c r="B908" s="67"/>
      <c r="C908" s="67"/>
      <c r="D908" s="68"/>
      <c r="E908" s="68"/>
      <c r="F908" s="68"/>
      <c r="G908" s="68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30"/>
      <c r="AO908" s="25"/>
      <c r="AP908" s="120"/>
      <c r="AQ908" s="120"/>
      <c r="AR908" s="121"/>
      <c r="AS908" s="96"/>
      <c r="AT908" s="122"/>
      <c r="AU908" s="96"/>
      <c r="AV908" s="122"/>
      <c r="AW908" s="122"/>
      <c r="AX908" s="30"/>
      <c r="AY908" s="30"/>
      <c r="AZ908" s="30"/>
      <c r="BA908" s="30"/>
      <c r="BB908" s="26"/>
      <c r="BC908" s="26"/>
      <c r="BD908" s="26"/>
      <c r="BE908" s="26"/>
      <c r="BF908" s="26"/>
    </row>
    <row r="909" spans="1:58" ht="15.75" customHeight="1">
      <c r="A909" s="67"/>
      <c r="B909" s="67"/>
      <c r="C909" s="67"/>
      <c r="D909" s="68"/>
      <c r="E909" s="68"/>
      <c r="F909" s="68"/>
      <c r="G909" s="68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30"/>
      <c r="AO909" s="25"/>
      <c r="AP909" s="120"/>
      <c r="AQ909" s="120"/>
      <c r="AR909" s="121"/>
      <c r="AS909" s="96"/>
      <c r="AT909" s="122"/>
      <c r="AU909" s="96"/>
      <c r="AV909" s="122"/>
      <c r="AW909" s="122"/>
      <c r="AX909" s="30"/>
      <c r="AY909" s="30"/>
      <c r="AZ909" s="30"/>
      <c r="BA909" s="30"/>
      <c r="BB909" s="26"/>
      <c r="BC909" s="26"/>
      <c r="BD909" s="26"/>
      <c r="BE909" s="26"/>
      <c r="BF909" s="26"/>
    </row>
    <row r="910" spans="1:58" ht="15.75" customHeight="1">
      <c r="A910" s="67"/>
      <c r="B910" s="67"/>
      <c r="C910" s="67"/>
      <c r="D910" s="68"/>
      <c r="E910" s="68"/>
      <c r="F910" s="68"/>
      <c r="G910" s="68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30"/>
      <c r="AO910" s="25"/>
      <c r="AP910" s="120"/>
      <c r="AQ910" s="120"/>
      <c r="AR910" s="121"/>
      <c r="AS910" s="96"/>
      <c r="AT910" s="122"/>
      <c r="AU910" s="96"/>
      <c r="AV910" s="122"/>
      <c r="AW910" s="122"/>
      <c r="AX910" s="30"/>
      <c r="AY910" s="30"/>
      <c r="AZ910" s="30"/>
      <c r="BA910" s="30"/>
      <c r="BB910" s="26"/>
      <c r="BC910" s="26"/>
      <c r="BD910" s="26"/>
      <c r="BE910" s="26"/>
      <c r="BF910" s="26"/>
    </row>
    <row r="911" spans="1:58" ht="15.75" customHeight="1">
      <c r="A911" s="67"/>
      <c r="B911" s="67"/>
      <c r="C911" s="67"/>
      <c r="D911" s="68"/>
      <c r="E911" s="68"/>
      <c r="F911" s="68"/>
      <c r="G911" s="68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30"/>
      <c r="AO911" s="25"/>
      <c r="AP911" s="120"/>
      <c r="AQ911" s="120"/>
      <c r="AR911" s="121"/>
      <c r="AS911" s="96"/>
      <c r="AT911" s="122"/>
      <c r="AU911" s="96"/>
      <c r="AV911" s="122"/>
      <c r="AW911" s="122"/>
      <c r="AX911" s="30"/>
      <c r="AY911" s="30"/>
      <c r="AZ911" s="30"/>
      <c r="BA911" s="30"/>
      <c r="BB911" s="26"/>
      <c r="BC911" s="26"/>
      <c r="BD911" s="26"/>
      <c r="BE911" s="26"/>
      <c r="BF911" s="26"/>
    </row>
    <row r="912" spans="1:58" ht="15.75" customHeight="1">
      <c r="A912" s="67"/>
      <c r="B912" s="67"/>
      <c r="C912" s="67"/>
      <c r="D912" s="68"/>
      <c r="E912" s="68"/>
      <c r="F912" s="68"/>
      <c r="G912" s="68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30"/>
      <c r="AO912" s="25"/>
      <c r="AP912" s="120"/>
      <c r="AQ912" s="120"/>
      <c r="AR912" s="121"/>
      <c r="AS912" s="96"/>
      <c r="AT912" s="122"/>
      <c r="AU912" s="96"/>
      <c r="AV912" s="122"/>
      <c r="AW912" s="122"/>
      <c r="AX912" s="30"/>
      <c r="AY912" s="30"/>
      <c r="AZ912" s="30"/>
      <c r="BA912" s="30"/>
      <c r="BB912" s="26"/>
      <c r="BC912" s="26"/>
      <c r="BD912" s="26"/>
      <c r="BE912" s="26"/>
      <c r="BF912" s="26"/>
    </row>
    <row r="913" spans="1:58" ht="15.75" customHeight="1">
      <c r="A913" s="67"/>
      <c r="B913" s="67"/>
      <c r="C913" s="67"/>
      <c r="D913" s="68"/>
      <c r="E913" s="68"/>
      <c r="F913" s="68"/>
      <c r="G913" s="68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30"/>
      <c r="AO913" s="25"/>
      <c r="AP913" s="120"/>
      <c r="AQ913" s="120"/>
      <c r="AR913" s="121"/>
      <c r="AS913" s="96"/>
      <c r="AT913" s="122"/>
      <c r="AU913" s="96"/>
      <c r="AV913" s="122"/>
      <c r="AW913" s="122"/>
      <c r="AX913" s="30"/>
      <c r="AY913" s="30"/>
      <c r="AZ913" s="30"/>
      <c r="BA913" s="30"/>
      <c r="BB913" s="26"/>
      <c r="BC913" s="26"/>
      <c r="BD913" s="26"/>
      <c r="BE913" s="26"/>
      <c r="BF913" s="26"/>
    </row>
    <row r="914" spans="1:58" ht="15.75" customHeight="1">
      <c r="A914" s="67"/>
      <c r="B914" s="67"/>
      <c r="C914" s="67"/>
      <c r="D914" s="68"/>
      <c r="E914" s="68"/>
      <c r="F914" s="68"/>
      <c r="G914" s="68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30"/>
      <c r="AO914" s="25"/>
      <c r="AP914" s="120"/>
      <c r="AQ914" s="120"/>
      <c r="AR914" s="121"/>
      <c r="AS914" s="96"/>
      <c r="AT914" s="122"/>
      <c r="AU914" s="96"/>
      <c r="AV914" s="122"/>
      <c r="AW914" s="122"/>
      <c r="AX914" s="30"/>
      <c r="AY914" s="30"/>
      <c r="AZ914" s="30"/>
      <c r="BA914" s="30"/>
      <c r="BB914" s="26"/>
      <c r="BC914" s="26"/>
      <c r="BD914" s="26"/>
      <c r="BE914" s="26"/>
      <c r="BF914" s="26"/>
    </row>
    <row r="915" spans="1:58" ht="15.75" customHeight="1">
      <c r="A915" s="67"/>
      <c r="B915" s="67"/>
      <c r="C915" s="67"/>
      <c r="D915" s="68"/>
      <c r="E915" s="68"/>
      <c r="F915" s="68"/>
      <c r="G915" s="68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30"/>
      <c r="AO915" s="25"/>
      <c r="AP915" s="120"/>
      <c r="AQ915" s="120"/>
      <c r="AR915" s="121"/>
      <c r="AS915" s="96"/>
      <c r="AT915" s="122"/>
      <c r="AU915" s="96"/>
      <c r="AV915" s="122"/>
      <c r="AW915" s="122"/>
      <c r="AX915" s="30"/>
      <c r="AY915" s="30"/>
      <c r="AZ915" s="30"/>
      <c r="BA915" s="30"/>
      <c r="BB915" s="26"/>
      <c r="BC915" s="26"/>
      <c r="BD915" s="26"/>
      <c r="BE915" s="26"/>
      <c r="BF915" s="26"/>
    </row>
    <row r="916" spans="1:58" ht="15.75" customHeight="1">
      <c r="A916" s="67"/>
      <c r="B916" s="67"/>
      <c r="C916" s="67"/>
      <c r="D916" s="68"/>
      <c r="E916" s="68"/>
      <c r="F916" s="68"/>
      <c r="G916" s="68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30"/>
      <c r="AO916" s="25"/>
      <c r="AP916" s="120"/>
      <c r="AQ916" s="120"/>
      <c r="AR916" s="121"/>
      <c r="AS916" s="96"/>
      <c r="AT916" s="122"/>
      <c r="AU916" s="96"/>
      <c r="AV916" s="122"/>
      <c r="AW916" s="122"/>
      <c r="AX916" s="30"/>
      <c r="AY916" s="30"/>
      <c r="AZ916" s="30"/>
      <c r="BA916" s="30"/>
      <c r="BB916" s="26"/>
      <c r="BC916" s="26"/>
      <c r="BD916" s="26"/>
      <c r="BE916" s="26"/>
      <c r="BF916" s="26"/>
    </row>
    <row r="917" spans="1:58" ht="15.75" customHeight="1">
      <c r="A917" s="67"/>
      <c r="B917" s="67"/>
      <c r="C917" s="67"/>
      <c r="D917" s="68"/>
      <c r="E917" s="68"/>
      <c r="F917" s="68"/>
      <c r="G917" s="68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30"/>
      <c r="AO917" s="25"/>
      <c r="AP917" s="120"/>
      <c r="AQ917" s="120"/>
      <c r="AR917" s="121"/>
      <c r="AS917" s="96"/>
      <c r="AT917" s="122"/>
      <c r="AU917" s="96"/>
      <c r="AV917" s="122"/>
      <c r="AW917" s="122"/>
      <c r="AX917" s="30"/>
      <c r="AY917" s="30"/>
      <c r="AZ917" s="30"/>
      <c r="BA917" s="30"/>
      <c r="BB917" s="26"/>
      <c r="BC917" s="26"/>
      <c r="BD917" s="26"/>
      <c r="BE917" s="26"/>
      <c r="BF917" s="26"/>
    </row>
    <row r="918" spans="1:58" ht="15.75" customHeight="1">
      <c r="A918" s="67"/>
      <c r="B918" s="67"/>
      <c r="C918" s="67"/>
      <c r="D918" s="68"/>
      <c r="E918" s="68"/>
      <c r="F918" s="68"/>
      <c r="G918" s="68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30"/>
      <c r="AO918" s="25"/>
      <c r="AP918" s="120"/>
      <c r="AQ918" s="120"/>
      <c r="AR918" s="121"/>
      <c r="AS918" s="96"/>
      <c r="AT918" s="122"/>
      <c r="AU918" s="96"/>
      <c r="AV918" s="122"/>
      <c r="AW918" s="122"/>
      <c r="AX918" s="30"/>
      <c r="AY918" s="30"/>
      <c r="AZ918" s="30"/>
      <c r="BA918" s="30"/>
      <c r="BB918" s="26"/>
      <c r="BC918" s="26"/>
      <c r="BD918" s="26"/>
      <c r="BE918" s="26"/>
      <c r="BF918" s="26"/>
    </row>
    <row r="919" spans="1:58" ht="15.75" customHeight="1">
      <c r="A919" s="67"/>
      <c r="B919" s="67"/>
      <c r="C919" s="67"/>
      <c r="D919" s="68"/>
      <c r="E919" s="68"/>
      <c r="F919" s="68"/>
      <c r="G919" s="68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30"/>
      <c r="AO919" s="25"/>
      <c r="AP919" s="120"/>
      <c r="AQ919" s="120"/>
      <c r="AR919" s="121"/>
      <c r="AS919" s="96"/>
      <c r="AT919" s="122"/>
      <c r="AU919" s="96"/>
      <c r="AV919" s="122"/>
      <c r="AW919" s="122"/>
      <c r="AX919" s="30"/>
      <c r="AY919" s="30"/>
      <c r="AZ919" s="30"/>
      <c r="BA919" s="30"/>
      <c r="BB919" s="26"/>
      <c r="BC919" s="26"/>
      <c r="BD919" s="26"/>
      <c r="BE919" s="26"/>
      <c r="BF919" s="26"/>
    </row>
    <row r="920" spans="1:58" ht="15.75" customHeight="1">
      <c r="A920" s="67"/>
      <c r="B920" s="67"/>
      <c r="C920" s="67"/>
      <c r="D920" s="68"/>
      <c r="E920" s="68"/>
      <c r="F920" s="68"/>
      <c r="G920" s="68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30"/>
      <c r="AO920" s="25"/>
      <c r="AP920" s="120"/>
      <c r="AQ920" s="120"/>
      <c r="AR920" s="121"/>
      <c r="AS920" s="96"/>
      <c r="AT920" s="122"/>
      <c r="AU920" s="96"/>
      <c r="AV920" s="122"/>
      <c r="AW920" s="122"/>
      <c r="AX920" s="30"/>
      <c r="AY920" s="30"/>
      <c r="AZ920" s="30"/>
      <c r="BA920" s="30"/>
      <c r="BB920" s="26"/>
      <c r="BC920" s="26"/>
      <c r="BD920" s="26"/>
      <c r="BE920" s="26"/>
      <c r="BF920" s="26"/>
    </row>
    <row r="921" spans="1:58" ht="15.75" customHeight="1">
      <c r="A921" s="67"/>
      <c r="B921" s="67"/>
      <c r="C921" s="67"/>
      <c r="D921" s="68"/>
      <c r="E921" s="68"/>
      <c r="F921" s="68"/>
      <c r="G921" s="68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30"/>
      <c r="AO921" s="25"/>
      <c r="AP921" s="120"/>
      <c r="AQ921" s="120"/>
      <c r="AR921" s="121"/>
      <c r="AS921" s="96"/>
      <c r="AT921" s="122"/>
      <c r="AU921" s="96"/>
      <c r="AV921" s="122"/>
      <c r="AW921" s="122"/>
      <c r="AX921" s="30"/>
      <c r="AY921" s="30"/>
      <c r="AZ921" s="30"/>
      <c r="BA921" s="30"/>
      <c r="BB921" s="26"/>
      <c r="BC921" s="26"/>
      <c r="BD921" s="26"/>
      <c r="BE921" s="26"/>
      <c r="BF921" s="26"/>
    </row>
    <row r="922" spans="1:58" ht="15.75" customHeight="1">
      <c r="A922" s="67"/>
      <c r="B922" s="67"/>
      <c r="C922" s="67"/>
      <c r="D922" s="68"/>
      <c r="E922" s="68"/>
      <c r="F922" s="68"/>
      <c r="G922" s="68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30"/>
      <c r="AO922" s="25"/>
      <c r="AP922" s="120"/>
      <c r="AQ922" s="120"/>
      <c r="AR922" s="121"/>
      <c r="AS922" s="96"/>
      <c r="AT922" s="122"/>
      <c r="AU922" s="96"/>
      <c r="AV922" s="122"/>
      <c r="AW922" s="122"/>
      <c r="AX922" s="30"/>
      <c r="AY922" s="30"/>
      <c r="AZ922" s="30"/>
      <c r="BA922" s="30"/>
      <c r="BB922" s="26"/>
      <c r="BC922" s="26"/>
      <c r="BD922" s="26"/>
      <c r="BE922" s="26"/>
      <c r="BF922" s="26"/>
    </row>
    <row r="923" spans="1:58" ht="15.75" customHeight="1">
      <c r="A923" s="67"/>
      <c r="B923" s="67"/>
      <c r="C923" s="67"/>
      <c r="D923" s="68"/>
      <c r="E923" s="68"/>
      <c r="F923" s="68"/>
      <c r="G923" s="68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30"/>
      <c r="AO923" s="25"/>
      <c r="AP923" s="120"/>
      <c r="AQ923" s="120"/>
      <c r="AR923" s="121"/>
      <c r="AS923" s="96"/>
      <c r="AT923" s="122"/>
      <c r="AU923" s="96"/>
      <c r="AV923" s="122"/>
      <c r="AW923" s="122"/>
      <c r="AX923" s="30"/>
      <c r="AY923" s="30"/>
      <c r="AZ923" s="30"/>
      <c r="BA923" s="30"/>
      <c r="BB923" s="26"/>
      <c r="BC923" s="26"/>
      <c r="BD923" s="26"/>
      <c r="BE923" s="26"/>
      <c r="BF923" s="26"/>
    </row>
    <row r="924" spans="1:58" ht="15.75" customHeight="1">
      <c r="A924" s="67"/>
      <c r="B924" s="67"/>
      <c r="C924" s="67"/>
      <c r="D924" s="68"/>
      <c r="E924" s="68"/>
      <c r="F924" s="68"/>
      <c r="G924" s="68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30"/>
      <c r="AO924" s="25"/>
      <c r="AP924" s="120"/>
      <c r="AQ924" s="120"/>
      <c r="AR924" s="121"/>
      <c r="AS924" s="96"/>
      <c r="AT924" s="122"/>
      <c r="AU924" s="96"/>
      <c r="AV924" s="122"/>
      <c r="AW924" s="122"/>
      <c r="AX924" s="30"/>
      <c r="AY924" s="30"/>
      <c r="AZ924" s="30"/>
      <c r="BA924" s="30"/>
      <c r="BB924" s="26"/>
      <c r="BC924" s="26"/>
      <c r="BD924" s="26"/>
      <c r="BE924" s="26"/>
      <c r="BF924" s="26"/>
    </row>
    <row r="925" spans="1:58" ht="15.75" customHeight="1">
      <c r="A925" s="67"/>
      <c r="B925" s="67"/>
      <c r="C925" s="67"/>
      <c r="D925" s="68"/>
      <c r="E925" s="68"/>
      <c r="F925" s="68"/>
      <c r="G925" s="68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30"/>
      <c r="AO925" s="25"/>
      <c r="AP925" s="120"/>
      <c r="AQ925" s="120"/>
      <c r="AR925" s="121"/>
      <c r="AS925" s="96"/>
      <c r="AT925" s="122"/>
      <c r="AU925" s="96"/>
      <c r="AV925" s="122"/>
      <c r="AW925" s="122"/>
      <c r="AX925" s="30"/>
      <c r="AY925" s="30"/>
      <c r="AZ925" s="30"/>
      <c r="BA925" s="30"/>
      <c r="BB925" s="26"/>
      <c r="BC925" s="26"/>
      <c r="BD925" s="26"/>
      <c r="BE925" s="26"/>
      <c r="BF925" s="26"/>
    </row>
    <row r="926" spans="1:58" ht="15.75" customHeight="1">
      <c r="A926" s="67"/>
      <c r="B926" s="67"/>
      <c r="C926" s="67"/>
      <c r="D926" s="68"/>
      <c r="E926" s="68"/>
      <c r="F926" s="68"/>
      <c r="G926" s="68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30"/>
      <c r="AO926" s="25"/>
      <c r="AP926" s="120"/>
      <c r="AQ926" s="120"/>
      <c r="AR926" s="121"/>
      <c r="AS926" s="96"/>
      <c r="AT926" s="122"/>
      <c r="AU926" s="96"/>
      <c r="AV926" s="122"/>
      <c r="AW926" s="122"/>
      <c r="AX926" s="30"/>
      <c r="AY926" s="30"/>
      <c r="AZ926" s="30"/>
      <c r="BA926" s="30"/>
      <c r="BB926" s="26"/>
      <c r="BC926" s="26"/>
      <c r="BD926" s="26"/>
      <c r="BE926" s="26"/>
      <c r="BF926" s="26"/>
    </row>
    <row r="927" spans="1:58" ht="15.75" customHeight="1">
      <c r="A927" s="67"/>
      <c r="B927" s="67"/>
      <c r="C927" s="67"/>
      <c r="D927" s="68"/>
      <c r="E927" s="68"/>
      <c r="F927" s="68"/>
      <c r="G927" s="68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30"/>
      <c r="AO927" s="25"/>
      <c r="AP927" s="120"/>
      <c r="AQ927" s="120"/>
      <c r="AR927" s="121"/>
      <c r="AS927" s="96"/>
      <c r="AT927" s="122"/>
      <c r="AU927" s="96"/>
      <c r="AV927" s="122"/>
      <c r="AW927" s="122"/>
      <c r="AX927" s="30"/>
      <c r="AY927" s="30"/>
      <c r="AZ927" s="30"/>
      <c r="BA927" s="30"/>
      <c r="BB927" s="26"/>
      <c r="BC927" s="26"/>
      <c r="BD927" s="26"/>
      <c r="BE927" s="26"/>
      <c r="BF927" s="26"/>
    </row>
    <row r="928" spans="1:58" ht="15.75" customHeight="1">
      <c r="A928" s="67"/>
      <c r="B928" s="67"/>
      <c r="C928" s="67"/>
      <c r="D928" s="68"/>
      <c r="E928" s="68"/>
      <c r="F928" s="68"/>
      <c r="G928" s="68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30"/>
      <c r="AO928" s="25"/>
      <c r="AP928" s="120"/>
      <c r="AQ928" s="120"/>
      <c r="AR928" s="121"/>
      <c r="AS928" s="96"/>
      <c r="AT928" s="122"/>
      <c r="AU928" s="96"/>
      <c r="AV928" s="122"/>
      <c r="AW928" s="122"/>
      <c r="AX928" s="30"/>
      <c r="AY928" s="30"/>
      <c r="AZ928" s="30"/>
      <c r="BA928" s="30"/>
      <c r="BB928" s="26"/>
      <c r="BC928" s="26"/>
      <c r="BD928" s="26"/>
      <c r="BE928" s="26"/>
      <c r="BF928" s="26"/>
    </row>
    <row r="929" spans="1:58" ht="15.75" customHeight="1">
      <c r="A929" s="67"/>
      <c r="B929" s="67"/>
      <c r="C929" s="67"/>
      <c r="D929" s="68"/>
      <c r="E929" s="68"/>
      <c r="F929" s="68"/>
      <c r="G929" s="68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30"/>
      <c r="AO929" s="25"/>
      <c r="AP929" s="120"/>
      <c r="AQ929" s="120"/>
      <c r="AR929" s="121"/>
      <c r="AS929" s="96"/>
      <c r="AT929" s="122"/>
      <c r="AU929" s="96"/>
      <c r="AV929" s="122"/>
      <c r="AW929" s="122"/>
      <c r="AX929" s="30"/>
      <c r="AY929" s="30"/>
      <c r="AZ929" s="30"/>
      <c r="BA929" s="30"/>
      <c r="BB929" s="26"/>
      <c r="BC929" s="26"/>
      <c r="BD929" s="26"/>
      <c r="BE929" s="26"/>
      <c r="BF929" s="26"/>
    </row>
    <row r="930" spans="1:58" ht="15.75" customHeight="1">
      <c r="A930" s="67"/>
      <c r="B930" s="67"/>
      <c r="C930" s="67"/>
      <c r="D930" s="68"/>
      <c r="E930" s="68"/>
      <c r="F930" s="68"/>
      <c r="G930" s="68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30"/>
      <c r="AO930" s="25"/>
      <c r="AP930" s="120"/>
      <c r="AQ930" s="120"/>
      <c r="AR930" s="121"/>
      <c r="AS930" s="96"/>
      <c r="AT930" s="122"/>
      <c r="AU930" s="96"/>
      <c r="AV930" s="122"/>
      <c r="AW930" s="122"/>
      <c r="AX930" s="30"/>
      <c r="AY930" s="30"/>
      <c r="AZ930" s="30"/>
      <c r="BA930" s="30"/>
      <c r="BB930" s="26"/>
      <c r="BC930" s="26"/>
      <c r="BD930" s="26"/>
      <c r="BE930" s="26"/>
      <c r="BF930" s="26"/>
    </row>
    <row r="931" spans="1:58" ht="15.75" customHeight="1">
      <c r="A931" s="67"/>
      <c r="B931" s="67"/>
      <c r="C931" s="67"/>
      <c r="D931" s="68"/>
      <c r="E931" s="68"/>
      <c r="F931" s="68"/>
      <c r="G931" s="68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30"/>
      <c r="AO931" s="25"/>
      <c r="AP931" s="120"/>
      <c r="AQ931" s="120"/>
      <c r="AR931" s="121"/>
      <c r="AS931" s="96"/>
      <c r="AT931" s="122"/>
      <c r="AU931" s="96"/>
      <c r="AV931" s="122"/>
      <c r="AW931" s="122"/>
      <c r="AX931" s="30"/>
      <c r="AY931" s="30"/>
      <c r="AZ931" s="30"/>
      <c r="BA931" s="30"/>
      <c r="BB931" s="26"/>
      <c r="BC931" s="26"/>
      <c r="BD931" s="26"/>
      <c r="BE931" s="26"/>
      <c r="BF931" s="26"/>
    </row>
    <row r="932" spans="1:58" ht="15.75" customHeight="1">
      <c r="A932" s="67"/>
      <c r="B932" s="67"/>
      <c r="C932" s="67"/>
      <c r="D932" s="68"/>
      <c r="E932" s="68"/>
      <c r="F932" s="68"/>
      <c r="G932" s="68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30"/>
      <c r="AO932" s="25"/>
      <c r="AP932" s="120"/>
      <c r="AQ932" s="120"/>
      <c r="AR932" s="121"/>
      <c r="AS932" s="96"/>
      <c r="AT932" s="122"/>
      <c r="AU932" s="96"/>
      <c r="AV932" s="122"/>
      <c r="AW932" s="122"/>
      <c r="AX932" s="30"/>
      <c r="AY932" s="30"/>
      <c r="AZ932" s="30"/>
      <c r="BA932" s="30"/>
      <c r="BB932" s="26"/>
      <c r="BC932" s="26"/>
      <c r="BD932" s="26"/>
      <c r="BE932" s="26"/>
      <c r="BF932" s="26"/>
    </row>
    <row r="933" spans="1:58" ht="15.75" customHeight="1">
      <c r="A933" s="67"/>
      <c r="B933" s="67"/>
      <c r="C933" s="67"/>
      <c r="D933" s="68"/>
      <c r="E933" s="68"/>
      <c r="F933" s="68"/>
      <c r="G933" s="68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30"/>
      <c r="AO933" s="25"/>
      <c r="AP933" s="120"/>
      <c r="AQ933" s="120"/>
      <c r="AR933" s="121"/>
      <c r="AS933" s="96"/>
      <c r="AT933" s="122"/>
      <c r="AU933" s="96"/>
      <c r="AV933" s="122"/>
      <c r="AW933" s="122"/>
      <c r="AX933" s="30"/>
      <c r="AY933" s="30"/>
      <c r="AZ933" s="30"/>
      <c r="BA933" s="30"/>
      <c r="BB933" s="26"/>
      <c r="BC933" s="26"/>
      <c r="BD933" s="26"/>
      <c r="BE933" s="26"/>
      <c r="BF933" s="26"/>
    </row>
    <row r="934" spans="1:58" ht="15.75" customHeight="1">
      <c r="A934" s="67"/>
      <c r="B934" s="67"/>
      <c r="C934" s="67"/>
      <c r="D934" s="68"/>
      <c r="E934" s="68"/>
      <c r="F934" s="68"/>
      <c r="G934" s="68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30"/>
      <c r="AO934" s="25"/>
      <c r="AP934" s="120"/>
      <c r="AQ934" s="120"/>
      <c r="AR934" s="121"/>
      <c r="AS934" s="96"/>
      <c r="AT934" s="122"/>
      <c r="AU934" s="96"/>
      <c r="AV934" s="122"/>
      <c r="AW934" s="122"/>
      <c r="AX934" s="30"/>
      <c r="AY934" s="30"/>
      <c r="AZ934" s="30"/>
      <c r="BA934" s="30"/>
      <c r="BB934" s="26"/>
      <c r="BC934" s="26"/>
      <c r="BD934" s="26"/>
      <c r="BE934" s="26"/>
      <c r="BF934" s="26"/>
    </row>
    <row r="935" spans="1:58" ht="15.75" customHeight="1">
      <c r="A935" s="67"/>
      <c r="B935" s="67"/>
      <c r="C935" s="67"/>
      <c r="D935" s="68"/>
      <c r="E935" s="68"/>
      <c r="F935" s="68"/>
      <c r="G935" s="68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30"/>
      <c r="AO935" s="25"/>
      <c r="AP935" s="120"/>
      <c r="AQ935" s="120"/>
      <c r="AR935" s="121"/>
      <c r="AS935" s="96"/>
      <c r="AT935" s="122"/>
      <c r="AU935" s="96"/>
      <c r="AV935" s="122"/>
      <c r="AW935" s="122"/>
      <c r="AX935" s="30"/>
      <c r="AY935" s="30"/>
      <c r="AZ935" s="30"/>
      <c r="BA935" s="30"/>
      <c r="BB935" s="26"/>
      <c r="BC935" s="26"/>
      <c r="BD935" s="26"/>
      <c r="BE935" s="26"/>
      <c r="BF935" s="26"/>
    </row>
    <row r="936" spans="1:58" ht="15.75" customHeight="1">
      <c r="A936" s="67"/>
      <c r="B936" s="67"/>
      <c r="C936" s="67"/>
      <c r="D936" s="68"/>
      <c r="E936" s="68"/>
      <c r="F936" s="68"/>
      <c r="G936" s="68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30"/>
      <c r="AO936" s="25"/>
      <c r="AP936" s="120"/>
      <c r="AQ936" s="120"/>
      <c r="AR936" s="121"/>
      <c r="AS936" s="96"/>
      <c r="AT936" s="122"/>
      <c r="AU936" s="96"/>
      <c r="AV936" s="122"/>
      <c r="AW936" s="122"/>
      <c r="AX936" s="30"/>
      <c r="AY936" s="30"/>
      <c r="AZ936" s="30"/>
      <c r="BA936" s="30"/>
      <c r="BB936" s="26"/>
      <c r="BC936" s="26"/>
      <c r="BD936" s="26"/>
      <c r="BE936" s="26"/>
      <c r="BF936" s="26"/>
    </row>
    <row r="937" spans="1:58" ht="15.75" customHeight="1">
      <c r="A937" s="67"/>
      <c r="B937" s="67"/>
      <c r="C937" s="67"/>
      <c r="D937" s="68"/>
      <c r="E937" s="68"/>
      <c r="F937" s="68"/>
      <c r="G937" s="68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30"/>
      <c r="AO937" s="25"/>
      <c r="AP937" s="120"/>
      <c r="AQ937" s="120"/>
      <c r="AR937" s="121"/>
      <c r="AS937" s="96"/>
      <c r="AT937" s="122"/>
      <c r="AU937" s="96"/>
      <c r="AV937" s="122"/>
      <c r="AW937" s="122"/>
      <c r="AX937" s="30"/>
      <c r="AY937" s="30"/>
      <c r="AZ937" s="30"/>
      <c r="BA937" s="30"/>
      <c r="BB937" s="26"/>
      <c r="BC937" s="26"/>
      <c r="BD937" s="26"/>
      <c r="BE937" s="26"/>
      <c r="BF937" s="26"/>
    </row>
    <row r="938" spans="1:58" ht="15.75" customHeight="1">
      <c r="A938" s="67"/>
      <c r="B938" s="67"/>
      <c r="C938" s="67"/>
      <c r="D938" s="68"/>
      <c r="E938" s="68"/>
      <c r="F938" s="68"/>
      <c r="G938" s="68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30"/>
      <c r="AO938" s="25"/>
      <c r="AP938" s="120"/>
      <c r="AQ938" s="120"/>
      <c r="AR938" s="121"/>
      <c r="AS938" s="96"/>
      <c r="AT938" s="122"/>
      <c r="AU938" s="96"/>
      <c r="AV938" s="122"/>
      <c r="AW938" s="122"/>
      <c r="AX938" s="30"/>
      <c r="AY938" s="30"/>
      <c r="AZ938" s="30"/>
      <c r="BA938" s="30"/>
      <c r="BB938" s="26"/>
      <c r="BC938" s="26"/>
      <c r="BD938" s="26"/>
      <c r="BE938" s="26"/>
      <c r="BF938" s="26"/>
    </row>
    <row r="939" spans="1:58" ht="15.75" customHeight="1">
      <c r="A939" s="67"/>
      <c r="B939" s="67"/>
      <c r="C939" s="67"/>
      <c r="D939" s="68"/>
      <c r="E939" s="68"/>
      <c r="F939" s="68"/>
      <c r="G939" s="68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30"/>
      <c r="AO939" s="25"/>
      <c r="AP939" s="120"/>
      <c r="AQ939" s="120"/>
      <c r="AR939" s="121"/>
      <c r="AS939" s="96"/>
      <c r="AT939" s="122"/>
      <c r="AU939" s="96"/>
      <c r="AV939" s="122"/>
      <c r="AW939" s="122"/>
      <c r="AX939" s="30"/>
      <c r="AY939" s="30"/>
      <c r="AZ939" s="30"/>
      <c r="BA939" s="30"/>
      <c r="BB939" s="26"/>
      <c r="BC939" s="26"/>
      <c r="BD939" s="26"/>
      <c r="BE939" s="26"/>
      <c r="BF939" s="26"/>
    </row>
    <row r="940" spans="1:58" ht="15.75" customHeight="1">
      <c r="A940" s="67"/>
      <c r="B940" s="67"/>
      <c r="C940" s="67"/>
      <c r="D940" s="68"/>
      <c r="E940" s="68"/>
      <c r="F940" s="68"/>
      <c r="G940" s="68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30"/>
      <c r="AO940" s="25"/>
      <c r="AP940" s="120"/>
      <c r="AQ940" s="120"/>
      <c r="AR940" s="121"/>
      <c r="AS940" s="96"/>
      <c r="AT940" s="122"/>
      <c r="AU940" s="96"/>
      <c r="AV940" s="122"/>
      <c r="AW940" s="122"/>
      <c r="AX940" s="30"/>
      <c r="AY940" s="30"/>
      <c r="AZ940" s="30"/>
      <c r="BA940" s="30"/>
      <c r="BB940" s="26"/>
      <c r="BC940" s="26"/>
      <c r="BD940" s="26"/>
      <c r="BE940" s="26"/>
      <c r="BF940" s="26"/>
    </row>
    <row r="941" spans="1:58" ht="15.75" customHeight="1">
      <c r="A941" s="67"/>
      <c r="B941" s="67"/>
      <c r="C941" s="67"/>
      <c r="D941" s="68"/>
      <c r="E941" s="68"/>
      <c r="F941" s="68"/>
      <c r="G941" s="68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30"/>
      <c r="AO941" s="25"/>
      <c r="AP941" s="120"/>
      <c r="AQ941" s="120"/>
      <c r="AR941" s="121"/>
      <c r="AS941" s="96"/>
      <c r="AT941" s="122"/>
      <c r="AU941" s="96"/>
      <c r="AV941" s="122"/>
      <c r="AW941" s="122"/>
      <c r="AX941" s="30"/>
      <c r="AY941" s="30"/>
      <c r="AZ941" s="30"/>
      <c r="BA941" s="30"/>
      <c r="BB941" s="26"/>
      <c r="BC941" s="26"/>
      <c r="BD941" s="26"/>
      <c r="BE941" s="26"/>
      <c r="BF941" s="26"/>
    </row>
    <row r="942" spans="1:58" ht="15.75" customHeight="1">
      <c r="A942" s="67"/>
      <c r="B942" s="67"/>
      <c r="C942" s="67"/>
      <c r="D942" s="68"/>
      <c r="E942" s="68"/>
      <c r="F942" s="68"/>
      <c r="G942" s="68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30"/>
      <c r="AO942" s="25"/>
      <c r="AP942" s="120"/>
      <c r="AQ942" s="120"/>
      <c r="AR942" s="121"/>
      <c r="AS942" s="96"/>
      <c r="AT942" s="122"/>
      <c r="AU942" s="96"/>
      <c r="AV942" s="122"/>
      <c r="AW942" s="122"/>
      <c r="AX942" s="30"/>
      <c r="AY942" s="30"/>
      <c r="AZ942" s="30"/>
      <c r="BA942" s="30"/>
      <c r="BB942" s="26"/>
      <c r="BC942" s="26"/>
      <c r="BD942" s="26"/>
      <c r="BE942" s="26"/>
      <c r="BF942" s="26"/>
    </row>
    <row r="943" spans="1:58" ht="15.75" customHeight="1">
      <c r="A943" s="67"/>
      <c r="B943" s="67"/>
      <c r="C943" s="67"/>
      <c r="D943" s="68"/>
      <c r="E943" s="68"/>
      <c r="F943" s="68"/>
      <c r="G943" s="68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30"/>
      <c r="AO943" s="25"/>
      <c r="AP943" s="120"/>
      <c r="AQ943" s="120"/>
      <c r="AR943" s="121"/>
      <c r="AS943" s="96"/>
      <c r="AT943" s="122"/>
      <c r="AU943" s="96"/>
      <c r="AV943" s="122"/>
      <c r="AW943" s="122"/>
      <c r="AX943" s="30"/>
      <c r="AY943" s="30"/>
      <c r="AZ943" s="30"/>
      <c r="BA943" s="30"/>
      <c r="BB943" s="26"/>
      <c r="BC943" s="26"/>
      <c r="BD943" s="26"/>
      <c r="BE943" s="26"/>
      <c r="BF943" s="26"/>
    </row>
    <row r="944" spans="1:58" ht="15.75" customHeight="1">
      <c r="A944" s="67"/>
      <c r="B944" s="67"/>
      <c r="C944" s="67"/>
      <c r="D944" s="68"/>
      <c r="E944" s="68"/>
      <c r="F944" s="68"/>
      <c r="G944" s="68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30"/>
      <c r="AO944" s="25"/>
      <c r="AP944" s="120"/>
      <c r="AQ944" s="120"/>
      <c r="AR944" s="121"/>
      <c r="AS944" s="96"/>
      <c r="AT944" s="122"/>
      <c r="AU944" s="96"/>
      <c r="AV944" s="122"/>
      <c r="AW944" s="122"/>
      <c r="AX944" s="30"/>
      <c r="AY944" s="30"/>
      <c r="AZ944" s="30"/>
      <c r="BA944" s="30"/>
      <c r="BB944" s="26"/>
      <c r="BC944" s="26"/>
      <c r="BD944" s="26"/>
      <c r="BE944" s="26"/>
      <c r="BF944" s="26"/>
    </row>
    <row r="945" spans="1:58" ht="15.75" customHeight="1">
      <c r="A945" s="67"/>
      <c r="B945" s="67"/>
      <c r="C945" s="67"/>
      <c r="D945" s="68"/>
      <c r="E945" s="68"/>
      <c r="F945" s="68"/>
      <c r="G945" s="68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30"/>
      <c r="AO945" s="25"/>
      <c r="AP945" s="120"/>
      <c r="AQ945" s="120"/>
      <c r="AR945" s="121"/>
      <c r="AS945" s="96"/>
      <c r="AT945" s="122"/>
      <c r="AU945" s="96"/>
      <c r="AV945" s="122"/>
      <c r="AW945" s="122"/>
      <c r="AX945" s="30"/>
      <c r="AY945" s="30"/>
      <c r="AZ945" s="30"/>
      <c r="BA945" s="30"/>
      <c r="BB945" s="26"/>
      <c r="BC945" s="26"/>
      <c r="BD945" s="26"/>
      <c r="BE945" s="26"/>
      <c r="BF945" s="26"/>
    </row>
    <row r="946" spans="1:58" ht="15.75" customHeight="1">
      <c r="A946" s="67"/>
      <c r="B946" s="67"/>
      <c r="C946" s="67"/>
      <c r="D946" s="68"/>
      <c r="E946" s="68"/>
      <c r="F946" s="68"/>
      <c r="G946" s="68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30"/>
      <c r="AO946" s="25"/>
      <c r="AP946" s="120"/>
      <c r="AQ946" s="120"/>
      <c r="AR946" s="121"/>
      <c r="AS946" s="96"/>
      <c r="AT946" s="122"/>
      <c r="AU946" s="96"/>
      <c r="AV946" s="122"/>
      <c r="AW946" s="122"/>
      <c r="AX946" s="30"/>
      <c r="AY946" s="30"/>
      <c r="AZ946" s="30"/>
      <c r="BA946" s="30"/>
      <c r="BB946" s="26"/>
      <c r="BC946" s="26"/>
      <c r="BD946" s="26"/>
      <c r="BE946" s="26"/>
      <c r="BF946" s="26"/>
    </row>
    <row r="947" spans="1:58" ht="15.75" customHeight="1">
      <c r="A947" s="67"/>
      <c r="B947" s="67"/>
      <c r="C947" s="67"/>
      <c r="D947" s="68"/>
      <c r="E947" s="68"/>
      <c r="F947" s="68"/>
      <c r="G947" s="68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30"/>
      <c r="AO947" s="25"/>
      <c r="AP947" s="120"/>
      <c r="AQ947" s="120"/>
      <c r="AR947" s="121"/>
      <c r="AS947" s="96"/>
      <c r="AT947" s="122"/>
      <c r="AU947" s="96"/>
      <c r="AV947" s="122"/>
      <c r="AW947" s="122"/>
      <c r="AX947" s="30"/>
      <c r="AY947" s="30"/>
      <c r="AZ947" s="30"/>
      <c r="BA947" s="30"/>
      <c r="BB947" s="26"/>
      <c r="BC947" s="26"/>
      <c r="BD947" s="26"/>
      <c r="BE947" s="26"/>
      <c r="BF947" s="26"/>
    </row>
    <row r="948" spans="1:58" ht="15.75" customHeight="1">
      <c r="A948" s="67"/>
      <c r="B948" s="67"/>
      <c r="C948" s="67"/>
      <c r="D948" s="68"/>
      <c r="E948" s="68"/>
      <c r="F948" s="68"/>
      <c r="G948" s="68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30"/>
      <c r="AO948" s="25"/>
      <c r="AP948" s="120"/>
      <c r="AQ948" s="120"/>
      <c r="AR948" s="121"/>
      <c r="AS948" s="96"/>
      <c r="AT948" s="122"/>
      <c r="AU948" s="96"/>
      <c r="AV948" s="122"/>
      <c r="AW948" s="122"/>
      <c r="AX948" s="30"/>
      <c r="AY948" s="30"/>
      <c r="AZ948" s="30"/>
      <c r="BA948" s="30"/>
      <c r="BB948" s="26"/>
      <c r="BC948" s="26"/>
      <c r="BD948" s="26"/>
      <c r="BE948" s="26"/>
      <c r="BF948" s="26"/>
    </row>
    <row r="949" spans="1:58" ht="15.75" customHeight="1">
      <c r="A949" s="67"/>
      <c r="B949" s="67"/>
      <c r="C949" s="67"/>
      <c r="D949" s="68"/>
      <c r="E949" s="68"/>
      <c r="F949" s="68"/>
      <c r="G949" s="68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30"/>
      <c r="AO949" s="25"/>
      <c r="AP949" s="120"/>
      <c r="AQ949" s="120"/>
      <c r="AR949" s="121"/>
      <c r="AS949" s="96"/>
      <c r="AT949" s="122"/>
      <c r="AU949" s="96"/>
      <c r="AV949" s="122"/>
      <c r="AW949" s="122"/>
      <c r="AX949" s="30"/>
      <c r="AY949" s="30"/>
      <c r="AZ949" s="30"/>
      <c r="BA949" s="30"/>
      <c r="BB949" s="26"/>
      <c r="BC949" s="26"/>
      <c r="BD949" s="26"/>
      <c r="BE949" s="26"/>
      <c r="BF949" s="26"/>
    </row>
    <row r="950" spans="1:58" ht="15.75" customHeight="1">
      <c r="A950" s="67"/>
      <c r="B950" s="67"/>
      <c r="C950" s="67"/>
      <c r="D950" s="68"/>
      <c r="E950" s="68"/>
      <c r="F950" s="68"/>
      <c r="G950" s="68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30"/>
      <c r="AO950" s="25"/>
      <c r="AP950" s="120"/>
      <c r="AQ950" s="120"/>
      <c r="AR950" s="121"/>
      <c r="AS950" s="96"/>
      <c r="AT950" s="122"/>
      <c r="AU950" s="96"/>
      <c r="AV950" s="122"/>
      <c r="AW950" s="122"/>
      <c r="AX950" s="30"/>
      <c r="AY950" s="30"/>
      <c r="AZ950" s="30"/>
      <c r="BA950" s="30"/>
      <c r="BB950" s="26"/>
      <c r="BC950" s="26"/>
      <c r="BD950" s="26"/>
      <c r="BE950" s="26"/>
      <c r="BF950" s="26"/>
    </row>
    <row r="951" spans="1:58" ht="15.75" customHeight="1">
      <c r="A951" s="67"/>
      <c r="B951" s="67"/>
      <c r="C951" s="67"/>
      <c r="D951" s="68"/>
      <c r="E951" s="68"/>
      <c r="F951" s="68"/>
      <c r="G951" s="68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30"/>
      <c r="AO951" s="25"/>
      <c r="AP951" s="120"/>
      <c r="AQ951" s="120"/>
      <c r="AR951" s="121"/>
      <c r="AS951" s="96"/>
      <c r="AT951" s="122"/>
      <c r="AU951" s="96"/>
      <c r="AV951" s="122"/>
      <c r="AW951" s="122"/>
      <c r="AX951" s="30"/>
      <c r="AY951" s="30"/>
      <c r="AZ951" s="30"/>
      <c r="BA951" s="30"/>
      <c r="BB951" s="26"/>
      <c r="BC951" s="26"/>
      <c r="BD951" s="26"/>
      <c r="BE951" s="26"/>
      <c r="BF951" s="26"/>
    </row>
    <row r="952" spans="1:58" ht="15.75" customHeight="1">
      <c r="A952" s="67"/>
      <c r="B952" s="67"/>
      <c r="C952" s="67"/>
      <c r="D952" s="68"/>
      <c r="E952" s="68"/>
      <c r="F952" s="68"/>
      <c r="G952" s="68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30"/>
      <c r="AO952" s="25"/>
      <c r="AP952" s="120"/>
      <c r="AQ952" s="120"/>
      <c r="AR952" s="121"/>
      <c r="AS952" s="96"/>
      <c r="AT952" s="122"/>
      <c r="AU952" s="96"/>
      <c r="AV952" s="122"/>
      <c r="AW952" s="122"/>
      <c r="AX952" s="30"/>
      <c r="AY952" s="30"/>
      <c r="AZ952" s="30"/>
      <c r="BA952" s="30"/>
      <c r="BB952" s="26"/>
      <c r="BC952" s="26"/>
      <c r="BD952" s="26"/>
      <c r="BE952" s="26"/>
      <c r="BF952" s="26"/>
    </row>
    <row r="953" spans="1:58" ht="15.75" customHeight="1">
      <c r="A953" s="67"/>
      <c r="B953" s="67"/>
      <c r="C953" s="67"/>
      <c r="D953" s="68"/>
      <c r="E953" s="68"/>
      <c r="F953" s="68"/>
      <c r="G953" s="68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30"/>
      <c r="AO953" s="25"/>
      <c r="AP953" s="120"/>
      <c r="AQ953" s="120"/>
      <c r="AR953" s="121"/>
      <c r="AS953" s="96"/>
      <c r="AT953" s="122"/>
      <c r="AU953" s="96"/>
      <c r="AV953" s="122"/>
      <c r="AW953" s="122"/>
      <c r="AX953" s="30"/>
      <c r="AY953" s="30"/>
      <c r="AZ953" s="30"/>
      <c r="BA953" s="30"/>
      <c r="BB953" s="26"/>
      <c r="BC953" s="26"/>
      <c r="BD953" s="26"/>
      <c r="BE953" s="26"/>
      <c r="BF953" s="26"/>
    </row>
    <row r="954" spans="1:58" ht="15.75" customHeight="1">
      <c r="A954" s="67"/>
      <c r="B954" s="67"/>
      <c r="C954" s="67"/>
      <c r="D954" s="68"/>
      <c r="E954" s="68"/>
      <c r="F954" s="68"/>
      <c r="G954" s="68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30"/>
      <c r="AO954" s="25"/>
      <c r="AP954" s="120"/>
      <c r="AQ954" s="120"/>
      <c r="AR954" s="121"/>
      <c r="AS954" s="96"/>
      <c r="AT954" s="122"/>
      <c r="AU954" s="96"/>
      <c r="AV954" s="122"/>
      <c r="AW954" s="122"/>
      <c r="AX954" s="30"/>
      <c r="AY954" s="30"/>
      <c r="AZ954" s="30"/>
      <c r="BA954" s="30"/>
      <c r="BB954" s="26"/>
      <c r="BC954" s="26"/>
      <c r="BD954" s="26"/>
      <c r="BE954" s="26"/>
      <c r="BF954" s="26"/>
    </row>
    <row r="955" spans="1:58" ht="15.75" customHeight="1">
      <c r="A955" s="67"/>
      <c r="B955" s="67"/>
      <c r="C955" s="67"/>
      <c r="D955" s="68"/>
      <c r="E955" s="68"/>
      <c r="F955" s="68"/>
      <c r="G955" s="68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30"/>
      <c r="AO955" s="25"/>
      <c r="AP955" s="120"/>
      <c r="AQ955" s="120"/>
      <c r="AR955" s="121"/>
      <c r="AS955" s="96"/>
      <c r="AT955" s="122"/>
      <c r="AU955" s="96"/>
      <c r="AV955" s="122"/>
      <c r="AW955" s="122"/>
      <c r="AX955" s="30"/>
      <c r="AY955" s="30"/>
      <c r="AZ955" s="30"/>
      <c r="BA955" s="30"/>
      <c r="BB955" s="26"/>
      <c r="BC955" s="26"/>
      <c r="BD955" s="26"/>
      <c r="BE955" s="26"/>
      <c r="BF955" s="26"/>
    </row>
    <row r="956" spans="1:58" ht="15.75" customHeight="1">
      <c r="A956" s="67"/>
      <c r="B956" s="67"/>
      <c r="C956" s="67"/>
      <c r="D956" s="68"/>
      <c r="E956" s="68"/>
      <c r="F956" s="68"/>
      <c r="G956" s="68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30"/>
      <c r="AO956" s="25"/>
      <c r="AP956" s="120"/>
      <c r="AQ956" s="120"/>
      <c r="AR956" s="121"/>
      <c r="AS956" s="96"/>
      <c r="AT956" s="122"/>
      <c r="AU956" s="96"/>
      <c r="AV956" s="122"/>
      <c r="AW956" s="122"/>
      <c r="AX956" s="30"/>
      <c r="AY956" s="30"/>
      <c r="AZ956" s="30"/>
      <c r="BA956" s="30"/>
      <c r="BB956" s="26"/>
      <c r="BC956" s="26"/>
      <c r="BD956" s="26"/>
      <c r="BE956" s="26"/>
      <c r="BF956" s="26"/>
    </row>
    <row r="957" spans="1:58" ht="15.75" customHeight="1">
      <c r="A957" s="67"/>
      <c r="B957" s="67"/>
      <c r="C957" s="67"/>
      <c r="D957" s="68"/>
      <c r="E957" s="68"/>
      <c r="F957" s="68"/>
      <c r="G957" s="68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30"/>
      <c r="AO957" s="25"/>
      <c r="AP957" s="120"/>
      <c r="AQ957" s="120"/>
      <c r="AR957" s="121"/>
      <c r="AS957" s="96"/>
      <c r="AT957" s="122"/>
      <c r="AU957" s="96"/>
      <c r="AV957" s="122"/>
      <c r="AW957" s="122"/>
      <c r="AX957" s="30"/>
      <c r="AY957" s="30"/>
      <c r="AZ957" s="30"/>
      <c r="BA957" s="30"/>
      <c r="BB957" s="26"/>
      <c r="BC957" s="26"/>
      <c r="BD957" s="26"/>
      <c r="BE957" s="26"/>
      <c r="BF957" s="26"/>
    </row>
    <row r="958" spans="1:58" ht="15.75" customHeight="1">
      <c r="A958" s="67"/>
      <c r="B958" s="67"/>
      <c r="C958" s="67"/>
      <c r="D958" s="68"/>
      <c r="E958" s="68"/>
      <c r="F958" s="68"/>
      <c r="G958" s="68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30"/>
      <c r="AO958" s="25"/>
      <c r="AP958" s="120"/>
      <c r="AQ958" s="120"/>
      <c r="AR958" s="121"/>
      <c r="AS958" s="96"/>
      <c r="AT958" s="122"/>
      <c r="AU958" s="96"/>
      <c r="AV958" s="122"/>
      <c r="AW958" s="122"/>
      <c r="AX958" s="30"/>
      <c r="AY958" s="30"/>
      <c r="AZ958" s="30"/>
      <c r="BA958" s="30"/>
      <c r="BB958" s="26"/>
      <c r="BC958" s="26"/>
      <c r="BD958" s="26"/>
      <c r="BE958" s="26"/>
      <c r="BF958" s="26"/>
    </row>
    <row r="959" spans="1:58" ht="15.75" customHeight="1">
      <c r="A959" s="67"/>
      <c r="B959" s="67"/>
      <c r="C959" s="67"/>
      <c r="D959" s="68"/>
      <c r="E959" s="68"/>
      <c r="F959" s="68"/>
      <c r="G959" s="68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30"/>
      <c r="AO959" s="25"/>
      <c r="AP959" s="120"/>
      <c r="AQ959" s="120"/>
      <c r="AR959" s="121"/>
      <c r="AS959" s="96"/>
      <c r="AT959" s="122"/>
      <c r="AU959" s="96"/>
      <c r="AV959" s="122"/>
      <c r="AW959" s="122"/>
      <c r="AX959" s="30"/>
      <c r="AY959" s="30"/>
      <c r="AZ959" s="30"/>
      <c r="BA959" s="30"/>
      <c r="BB959" s="26"/>
      <c r="BC959" s="26"/>
      <c r="BD959" s="26"/>
      <c r="BE959" s="26"/>
      <c r="BF959" s="26"/>
    </row>
    <row r="960" spans="1:58" ht="15.75" customHeight="1">
      <c r="A960" s="67"/>
      <c r="B960" s="67"/>
      <c r="C960" s="67"/>
      <c r="D960" s="68"/>
      <c r="E960" s="68"/>
      <c r="F960" s="68"/>
      <c r="G960" s="68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30"/>
      <c r="AO960" s="25"/>
      <c r="AP960" s="120"/>
      <c r="AQ960" s="120"/>
      <c r="AR960" s="121"/>
      <c r="AS960" s="96"/>
      <c r="AT960" s="122"/>
      <c r="AU960" s="96"/>
      <c r="AV960" s="122"/>
      <c r="AW960" s="122"/>
      <c r="AX960" s="30"/>
      <c r="AY960" s="30"/>
      <c r="AZ960" s="30"/>
      <c r="BA960" s="30"/>
      <c r="BB960" s="26"/>
      <c r="BC960" s="26"/>
      <c r="BD960" s="26"/>
      <c r="BE960" s="26"/>
      <c r="BF960" s="26"/>
    </row>
    <row r="961" spans="1:58" ht="15.75" customHeight="1">
      <c r="A961" s="67"/>
      <c r="B961" s="67"/>
      <c r="C961" s="67"/>
      <c r="D961" s="68"/>
      <c r="E961" s="68"/>
      <c r="F961" s="68"/>
      <c r="G961" s="68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30"/>
      <c r="AO961" s="25"/>
      <c r="AP961" s="120"/>
      <c r="AQ961" s="120"/>
      <c r="AR961" s="121"/>
      <c r="AS961" s="96"/>
      <c r="AT961" s="122"/>
      <c r="AU961" s="96"/>
      <c r="AV961" s="122"/>
      <c r="AW961" s="122"/>
      <c r="AX961" s="30"/>
      <c r="AY961" s="30"/>
      <c r="AZ961" s="30"/>
      <c r="BA961" s="30"/>
      <c r="BB961" s="26"/>
      <c r="BC961" s="26"/>
      <c r="BD961" s="26"/>
      <c r="BE961" s="26"/>
      <c r="BF961" s="26"/>
    </row>
    <row r="962" spans="1:58" ht="15.75" customHeight="1">
      <c r="A962" s="67"/>
      <c r="B962" s="67"/>
      <c r="C962" s="67"/>
      <c r="D962" s="68"/>
      <c r="E962" s="68"/>
      <c r="F962" s="68"/>
      <c r="G962" s="68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30"/>
      <c r="AO962" s="25"/>
      <c r="AP962" s="120"/>
      <c r="AQ962" s="120"/>
      <c r="AR962" s="121"/>
      <c r="AS962" s="96"/>
      <c r="AT962" s="122"/>
      <c r="AU962" s="96"/>
      <c r="AV962" s="122"/>
      <c r="AW962" s="122"/>
      <c r="AX962" s="30"/>
      <c r="AY962" s="30"/>
      <c r="AZ962" s="30"/>
      <c r="BA962" s="30"/>
      <c r="BB962" s="26"/>
      <c r="BC962" s="26"/>
      <c r="BD962" s="26"/>
      <c r="BE962" s="26"/>
      <c r="BF962" s="26"/>
    </row>
    <row r="963" spans="1:58" ht="15.75" customHeight="1">
      <c r="A963" s="67"/>
      <c r="B963" s="67"/>
      <c r="C963" s="67"/>
      <c r="D963" s="68"/>
      <c r="E963" s="68"/>
      <c r="F963" s="68"/>
      <c r="G963" s="68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30"/>
      <c r="AO963" s="25"/>
      <c r="AP963" s="120"/>
      <c r="AQ963" s="120"/>
      <c r="AR963" s="121"/>
      <c r="AS963" s="96"/>
      <c r="AT963" s="122"/>
      <c r="AU963" s="96"/>
      <c r="AV963" s="122"/>
      <c r="AW963" s="122"/>
      <c r="AX963" s="30"/>
      <c r="AY963" s="30"/>
      <c r="AZ963" s="30"/>
      <c r="BA963" s="30"/>
      <c r="BB963" s="26"/>
      <c r="BC963" s="26"/>
      <c r="BD963" s="26"/>
      <c r="BE963" s="26"/>
      <c r="BF963" s="26"/>
    </row>
    <row r="964" spans="1:58" ht="15.75" customHeight="1">
      <c r="A964" s="67"/>
      <c r="B964" s="67"/>
      <c r="C964" s="67"/>
      <c r="D964" s="68"/>
      <c r="E964" s="68"/>
      <c r="F964" s="68"/>
      <c r="G964" s="68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30"/>
      <c r="AO964" s="25"/>
      <c r="AP964" s="120"/>
      <c r="AQ964" s="120"/>
      <c r="AR964" s="121"/>
      <c r="AS964" s="96"/>
      <c r="AT964" s="122"/>
      <c r="AU964" s="96"/>
      <c r="AV964" s="122"/>
      <c r="AW964" s="122"/>
      <c r="AX964" s="30"/>
      <c r="AY964" s="30"/>
      <c r="AZ964" s="30"/>
      <c r="BA964" s="30"/>
      <c r="BB964" s="26"/>
      <c r="BC964" s="26"/>
      <c r="BD964" s="26"/>
      <c r="BE964" s="26"/>
      <c r="BF964" s="26"/>
    </row>
    <row r="965" spans="1:58" ht="15.75" customHeight="1">
      <c r="A965" s="67"/>
      <c r="B965" s="67"/>
      <c r="C965" s="67"/>
      <c r="D965" s="68"/>
      <c r="E965" s="68"/>
      <c r="F965" s="68"/>
      <c r="G965" s="68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30"/>
      <c r="AO965" s="25"/>
      <c r="AP965" s="120"/>
      <c r="AQ965" s="120"/>
      <c r="AR965" s="121"/>
      <c r="AS965" s="96"/>
      <c r="AT965" s="122"/>
      <c r="AU965" s="96"/>
      <c r="AV965" s="122"/>
      <c r="AW965" s="122"/>
      <c r="AX965" s="30"/>
      <c r="AY965" s="30"/>
      <c r="AZ965" s="30"/>
      <c r="BA965" s="30"/>
      <c r="BB965" s="26"/>
      <c r="BC965" s="26"/>
      <c r="BD965" s="26"/>
      <c r="BE965" s="26"/>
      <c r="BF965" s="26"/>
    </row>
    <row r="966" spans="1:58" ht="15.75" customHeight="1">
      <c r="A966" s="67"/>
      <c r="B966" s="67"/>
      <c r="C966" s="67"/>
      <c r="D966" s="68"/>
      <c r="E966" s="68"/>
      <c r="F966" s="68"/>
      <c r="G966" s="68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30"/>
      <c r="AO966" s="25"/>
      <c r="AP966" s="120"/>
      <c r="AQ966" s="120"/>
      <c r="AR966" s="121"/>
      <c r="AS966" s="96"/>
      <c r="AT966" s="122"/>
      <c r="AU966" s="96"/>
      <c r="AV966" s="122"/>
      <c r="AW966" s="122"/>
      <c r="AX966" s="30"/>
      <c r="AY966" s="30"/>
      <c r="AZ966" s="30"/>
      <c r="BA966" s="30"/>
      <c r="BB966" s="26"/>
      <c r="BC966" s="26"/>
      <c r="BD966" s="26"/>
      <c r="BE966" s="26"/>
      <c r="BF966" s="26"/>
    </row>
    <row r="967" spans="1:58" ht="15.75" customHeight="1">
      <c r="A967" s="67"/>
      <c r="B967" s="67"/>
      <c r="C967" s="67"/>
      <c r="D967" s="68"/>
      <c r="E967" s="68"/>
      <c r="F967" s="68"/>
      <c r="G967" s="68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30"/>
      <c r="AO967" s="25"/>
      <c r="AP967" s="120"/>
      <c r="AQ967" s="120"/>
      <c r="AR967" s="121"/>
      <c r="AS967" s="96"/>
      <c r="AT967" s="122"/>
      <c r="AU967" s="96"/>
      <c r="AV967" s="122"/>
      <c r="AW967" s="122"/>
      <c r="AX967" s="30"/>
      <c r="AY967" s="30"/>
      <c r="AZ967" s="30"/>
      <c r="BA967" s="30"/>
      <c r="BB967" s="26"/>
      <c r="BC967" s="26"/>
      <c r="BD967" s="26"/>
      <c r="BE967" s="26"/>
      <c r="BF967" s="26"/>
    </row>
    <row r="968" spans="1:58" ht="15.75" customHeight="1">
      <c r="A968" s="67"/>
      <c r="B968" s="67"/>
      <c r="C968" s="67"/>
      <c r="D968" s="68"/>
      <c r="E968" s="68"/>
      <c r="F968" s="68"/>
      <c r="G968" s="68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30"/>
      <c r="AO968" s="25"/>
      <c r="AP968" s="120"/>
      <c r="AQ968" s="120"/>
      <c r="AR968" s="121"/>
      <c r="AS968" s="96"/>
      <c r="AT968" s="122"/>
      <c r="AU968" s="96"/>
      <c r="AV968" s="122"/>
      <c r="AW968" s="122"/>
      <c r="AX968" s="30"/>
      <c r="AY968" s="30"/>
      <c r="AZ968" s="30"/>
      <c r="BA968" s="30"/>
      <c r="BB968" s="26"/>
      <c r="BC968" s="26"/>
      <c r="BD968" s="26"/>
      <c r="BE968" s="26"/>
      <c r="BF968" s="26"/>
    </row>
    <row r="969" spans="1:58" ht="15.75" customHeight="1">
      <c r="A969" s="67"/>
      <c r="B969" s="67"/>
      <c r="C969" s="67"/>
      <c r="D969" s="68"/>
      <c r="E969" s="68"/>
      <c r="F969" s="68"/>
      <c r="G969" s="68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30"/>
      <c r="AO969" s="25"/>
      <c r="AP969" s="120"/>
      <c r="AQ969" s="120"/>
      <c r="AR969" s="121"/>
      <c r="AS969" s="96"/>
      <c r="AT969" s="122"/>
      <c r="AU969" s="96"/>
      <c r="AV969" s="122"/>
      <c r="AW969" s="122"/>
      <c r="AX969" s="30"/>
      <c r="AY969" s="30"/>
      <c r="AZ969" s="30"/>
      <c r="BA969" s="30"/>
      <c r="BB969" s="26"/>
      <c r="BC969" s="26"/>
      <c r="BD969" s="26"/>
      <c r="BE969" s="26"/>
      <c r="BF969" s="26"/>
    </row>
    <row r="970" spans="1:58" ht="15.75" customHeight="1">
      <c r="A970" s="67"/>
      <c r="B970" s="67"/>
      <c r="C970" s="67"/>
      <c r="D970" s="68"/>
      <c r="E970" s="68"/>
      <c r="F970" s="68"/>
      <c r="G970" s="68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30"/>
      <c r="AO970" s="25"/>
      <c r="AP970" s="120"/>
      <c r="AQ970" s="120"/>
      <c r="AR970" s="121"/>
      <c r="AS970" s="96"/>
      <c r="AT970" s="122"/>
      <c r="AU970" s="96"/>
      <c r="AV970" s="122"/>
      <c r="AW970" s="122"/>
      <c r="AX970" s="30"/>
      <c r="AY970" s="30"/>
      <c r="AZ970" s="30"/>
      <c r="BA970" s="30"/>
      <c r="BB970" s="26"/>
      <c r="BC970" s="26"/>
      <c r="BD970" s="26"/>
      <c r="BE970" s="26"/>
      <c r="BF970" s="26"/>
    </row>
    <row r="971" spans="1:58" ht="15.75" customHeight="1">
      <c r="A971" s="67"/>
      <c r="B971" s="67"/>
      <c r="C971" s="67"/>
      <c r="D971" s="68"/>
      <c r="E971" s="68"/>
      <c r="F971" s="68"/>
      <c r="G971" s="68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30"/>
      <c r="AO971" s="25"/>
      <c r="AP971" s="120"/>
      <c r="AQ971" s="120"/>
      <c r="AR971" s="121"/>
      <c r="AS971" s="96"/>
      <c r="AT971" s="122"/>
      <c r="AU971" s="96"/>
      <c r="AV971" s="122"/>
      <c r="AW971" s="122"/>
      <c r="AX971" s="30"/>
      <c r="AY971" s="30"/>
      <c r="AZ971" s="30"/>
      <c r="BA971" s="30"/>
      <c r="BB971" s="26"/>
      <c r="BC971" s="26"/>
      <c r="BD971" s="26"/>
      <c r="BE971" s="26"/>
      <c r="BF971" s="26"/>
    </row>
    <row r="972" spans="1:58" ht="15.75" customHeight="1">
      <c r="A972" s="67"/>
      <c r="B972" s="67"/>
      <c r="C972" s="67"/>
      <c r="D972" s="68"/>
      <c r="E972" s="68"/>
      <c r="F972" s="68"/>
      <c r="G972" s="68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30"/>
      <c r="AO972" s="25"/>
      <c r="AP972" s="120"/>
      <c r="AQ972" s="120"/>
      <c r="AR972" s="121"/>
      <c r="AS972" s="96"/>
      <c r="AT972" s="122"/>
      <c r="AU972" s="96"/>
      <c r="AV972" s="122"/>
      <c r="AW972" s="122"/>
      <c r="AX972" s="30"/>
      <c r="AY972" s="30"/>
      <c r="AZ972" s="30"/>
      <c r="BA972" s="30"/>
      <c r="BB972" s="26"/>
      <c r="BC972" s="26"/>
      <c r="BD972" s="26"/>
      <c r="BE972" s="26"/>
      <c r="BF972" s="26"/>
    </row>
    <row r="973" spans="1:58" ht="15.75" customHeight="1">
      <c r="A973" s="67"/>
      <c r="B973" s="67"/>
      <c r="C973" s="67"/>
      <c r="D973" s="68"/>
      <c r="E973" s="68"/>
      <c r="F973" s="68"/>
      <c r="G973" s="68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30"/>
      <c r="AO973" s="25"/>
      <c r="AP973" s="120"/>
      <c r="AQ973" s="120"/>
      <c r="AR973" s="121"/>
      <c r="AS973" s="96"/>
      <c r="AT973" s="122"/>
      <c r="AU973" s="96"/>
      <c r="AV973" s="122"/>
      <c r="AW973" s="122"/>
      <c r="AX973" s="30"/>
      <c r="AY973" s="30"/>
      <c r="AZ973" s="30"/>
      <c r="BA973" s="30"/>
      <c r="BB973" s="26"/>
      <c r="BC973" s="26"/>
      <c r="BD973" s="26"/>
      <c r="BE973" s="26"/>
      <c r="BF973" s="26"/>
    </row>
    <row r="974" spans="1:58" ht="15.75" customHeight="1">
      <c r="A974" s="67"/>
      <c r="B974" s="67"/>
      <c r="C974" s="67"/>
      <c r="D974" s="68"/>
      <c r="E974" s="68"/>
      <c r="F974" s="68"/>
      <c r="G974" s="68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30"/>
      <c r="AO974" s="25"/>
      <c r="AP974" s="120"/>
      <c r="AQ974" s="120"/>
      <c r="AR974" s="121"/>
      <c r="AS974" s="96"/>
      <c r="AT974" s="122"/>
      <c r="AU974" s="96"/>
      <c r="AV974" s="122"/>
      <c r="AW974" s="122"/>
      <c r="AX974" s="30"/>
      <c r="AY974" s="30"/>
      <c r="AZ974" s="30"/>
      <c r="BA974" s="30"/>
      <c r="BB974" s="26"/>
      <c r="BC974" s="26"/>
      <c r="BD974" s="26"/>
      <c r="BE974" s="26"/>
      <c r="BF974" s="26"/>
    </row>
    <row r="975" spans="1:58" ht="15.75" customHeight="1">
      <c r="A975" s="67"/>
      <c r="B975" s="67"/>
      <c r="C975" s="67"/>
      <c r="D975" s="68"/>
      <c r="E975" s="68"/>
      <c r="F975" s="68"/>
      <c r="G975" s="68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30"/>
      <c r="AO975" s="25"/>
      <c r="AP975" s="120"/>
      <c r="AQ975" s="120"/>
      <c r="AR975" s="121"/>
      <c r="AS975" s="96"/>
      <c r="AT975" s="122"/>
      <c r="AU975" s="96"/>
      <c r="AV975" s="122"/>
      <c r="AW975" s="122"/>
      <c r="AX975" s="30"/>
      <c r="AY975" s="30"/>
      <c r="AZ975" s="30"/>
      <c r="BA975" s="30"/>
      <c r="BB975" s="26"/>
      <c r="BC975" s="26"/>
      <c r="BD975" s="26"/>
      <c r="BE975" s="26"/>
      <c r="BF975" s="26"/>
    </row>
    <row r="976" spans="1:58" ht="15.75" customHeight="1">
      <c r="A976" s="67"/>
      <c r="B976" s="67"/>
      <c r="C976" s="67"/>
      <c r="D976" s="68"/>
      <c r="E976" s="68"/>
      <c r="F976" s="68"/>
      <c r="G976" s="68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30"/>
      <c r="AO976" s="25"/>
      <c r="AP976" s="120"/>
      <c r="AQ976" s="120"/>
      <c r="AR976" s="121"/>
      <c r="AS976" s="96"/>
      <c r="AT976" s="122"/>
      <c r="AU976" s="96"/>
      <c r="AV976" s="122"/>
      <c r="AW976" s="122"/>
      <c r="AX976" s="30"/>
      <c r="AY976" s="30"/>
      <c r="AZ976" s="30"/>
      <c r="BA976" s="30"/>
      <c r="BB976" s="26"/>
      <c r="BC976" s="26"/>
      <c r="BD976" s="26"/>
      <c r="BE976" s="26"/>
      <c r="BF976" s="26"/>
    </row>
    <row r="977" spans="1:58" ht="15.75" customHeight="1">
      <c r="A977" s="67"/>
      <c r="B977" s="67"/>
      <c r="C977" s="67"/>
      <c r="D977" s="68"/>
      <c r="E977" s="68"/>
      <c r="F977" s="68"/>
      <c r="G977" s="68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30"/>
      <c r="AO977" s="25"/>
      <c r="AP977" s="120"/>
      <c r="AQ977" s="120"/>
      <c r="AR977" s="121"/>
      <c r="AS977" s="96"/>
      <c r="AT977" s="122"/>
      <c r="AU977" s="96"/>
      <c r="AV977" s="122"/>
      <c r="AW977" s="122"/>
      <c r="AX977" s="30"/>
      <c r="AY977" s="30"/>
      <c r="AZ977" s="30"/>
      <c r="BA977" s="30"/>
      <c r="BB977" s="26"/>
      <c r="BC977" s="26"/>
      <c r="BD977" s="26"/>
      <c r="BE977" s="26"/>
      <c r="BF977" s="26"/>
    </row>
    <row r="978" spans="1:58" ht="15.75" customHeight="1">
      <c r="A978" s="67"/>
      <c r="B978" s="67"/>
      <c r="C978" s="67"/>
      <c r="D978" s="68"/>
      <c r="E978" s="68"/>
      <c r="F978" s="68"/>
      <c r="G978" s="68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30"/>
      <c r="AO978" s="25"/>
      <c r="AP978" s="120"/>
      <c r="AQ978" s="120"/>
      <c r="AR978" s="121"/>
      <c r="AS978" s="96"/>
      <c r="AT978" s="122"/>
      <c r="AU978" s="96"/>
      <c r="AV978" s="122"/>
      <c r="AW978" s="122"/>
      <c r="AX978" s="30"/>
      <c r="AY978" s="30"/>
      <c r="AZ978" s="30"/>
      <c r="BA978" s="30"/>
      <c r="BB978" s="26"/>
      <c r="BC978" s="26"/>
      <c r="BD978" s="26"/>
      <c r="BE978" s="26"/>
      <c r="BF978" s="26"/>
    </row>
    <row r="979" spans="1:58" ht="15.75" customHeight="1">
      <c r="A979" s="67"/>
      <c r="B979" s="67"/>
      <c r="C979" s="67"/>
      <c r="D979" s="68"/>
      <c r="E979" s="68"/>
      <c r="F979" s="68"/>
      <c r="G979" s="68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30"/>
      <c r="AO979" s="25"/>
      <c r="AP979" s="120"/>
      <c r="AQ979" s="120"/>
      <c r="AR979" s="121"/>
      <c r="AS979" s="96"/>
      <c r="AT979" s="122"/>
      <c r="AU979" s="96"/>
      <c r="AV979" s="122"/>
      <c r="AW979" s="122"/>
      <c r="AX979" s="30"/>
      <c r="AY979" s="30"/>
      <c r="AZ979" s="30"/>
      <c r="BA979" s="30"/>
      <c r="BB979" s="26"/>
      <c r="BC979" s="26"/>
      <c r="BD979" s="26"/>
      <c r="BE979" s="26"/>
      <c r="BF979" s="26"/>
    </row>
    <row r="980" spans="1:58" ht="15.75" customHeight="1">
      <c r="A980" s="67"/>
      <c r="B980" s="67"/>
      <c r="C980" s="67"/>
      <c r="D980" s="68"/>
      <c r="E980" s="68"/>
      <c r="F980" s="68"/>
      <c r="G980" s="68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30"/>
      <c r="AO980" s="25"/>
      <c r="AP980" s="120"/>
      <c r="AQ980" s="120"/>
      <c r="AR980" s="121"/>
      <c r="AS980" s="96"/>
      <c r="AT980" s="122"/>
      <c r="AU980" s="96"/>
      <c r="AV980" s="122"/>
      <c r="AW980" s="122"/>
      <c r="AX980" s="30"/>
      <c r="AY980" s="30"/>
      <c r="AZ980" s="30"/>
      <c r="BA980" s="30"/>
      <c r="BB980" s="26"/>
      <c r="BC980" s="26"/>
      <c r="BD980" s="26"/>
      <c r="BE980" s="26"/>
      <c r="BF980" s="26"/>
    </row>
    <row r="981" spans="1:58" ht="15.75" customHeight="1">
      <c r="A981" s="67"/>
      <c r="B981" s="67"/>
      <c r="C981" s="67"/>
      <c r="D981" s="68"/>
      <c r="E981" s="68"/>
      <c r="F981" s="68"/>
      <c r="G981" s="68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30"/>
      <c r="AO981" s="25"/>
      <c r="AP981" s="120"/>
      <c r="AQ981" s="120"/>
      <c r="AR981" s="121"/>
      <c r="AS981" s="96"/>
      <c r="AT981" s="122"/>
      <c r="AU981" s="96"/>
      <c r="AV981" s="122"/>
      <c r="AW981" s="122"/>
      <c r="AX981" s="30"/>
      <c r="AY981" s="30"/>
      <c r="AZ981" s="30"/>
      <c r="BA981" s="30"/>
      <c r="BB981" s="26"/>
      <c r="BC981" s="26"/>
      <c r="BD981" s="26"/>
      <c r="BE981" s="26"/>
      <c r="BF981" s="26"/>
    </row>
    <row r="982" spans="1:58" ht="15.75" customHeight="1">
      <c r="A982" s="67"/>
      <c r="B982" s="67"/>
      <c r="C982" s="67"/>
      <c r="D982" s="68"/>
      <c r="E982" s="68"/>
      <c r="F982" s="68"/>
      <c r="G982" s="68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30"/>
      <c r="AO982" s="25"/>
      <c r="AP982" s="120"/>
      <c r="AQ982" s="120"/>
      <c r="AR982" s="121"/>
      <c r="AS982" s="96"/>
      <c r="AT982" s="122"/>
      <c r="AU982" s="96"/>
      <c r="AV982" s="122"/>
      <c r="AW982" s="122"/>
      <c r="AX982" s="30"/>
      <c r="AY982" s="30"/>
      <c r="AZ982" s="30"/>
      <c r="BA982" s="30"/>
      <c r="BB982" s="26"/>
      <c r="BC982" s="26"/>
      <c r="BD982" s="26"/>
      <c r="BE982" s="26"/>
      <c r="BF982" s="26"/>
    </row>
    <row r="983" spans="1:58" ht="15.75" customHeight="1">
      <c r="A983" s="67"/>
      <c r="B983" s="67"/>
      <c r="C983" s="67"/>
      <c r="D983" s="68"/>
      <c r="E983" s="68"/>
      <c r="F983" s="68"/>
      <c r="G983" s="68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30"/>
      <c r="AO983" s="25"/>
      <c r="AP983" s="120"/>
      <c r="AQ983" s="120"/>
      <c r="AR983" s="121"/>
      <c r="AS983" s="96"/>
      <c r="AT983" s="122"/>
      <c r="AU983" s="96"/>
      <c r="AV983" s="122"/>
      <c r="AW983" s="122"/>
      <c r="AX983" s="30"/>
      <c r="AY983" s="30"/>
      <c r="AZ983" s="30"/>
      <c r="BA983" s="30"/>
      <c r="BB983" s="26"/>
      <c r="BC983" s="26"/>
      <c r="BD983" s="26"/>
      <c r="BE983" s="26"/>
      <c r="BF983" s="26"/>
    </row>
    <row r="984" spans="1:58" ht="15.75" customHeight="1">
      <c r="A984" s="67"/>
      <c r="B984" s="67"/>
      <c r="C984" s="67"/>
      <c r="D984" s="68"/>
      <c r="E984" s="68"/>
      <c r="F984" s="68"/>
      <c r="G984" s="68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30"/>
      <c r="AO984" s="25"/>
      <c r="AP984" s="120"/>
      <c r="AQ984" s="120"/>
      <c r="AR984" s="121"/>
      <c r="AS984" s="96"/>
      <c r="AT984" s="122"/>
      <c r="AU984" s="96"/>
      <c r="AV984" s="122"/>
      <c r="AW984" s="122"/>
      <c r="AX984" s="30"/>
      <c r="AY984" s="30"/>
      <c r="AZ984" s="30"/>
      <c r="BA984" s="30"/>
      <c r="BB984" s="26"/>
      <c r="BC984" s="26"/>
      <c r="BD984" s="26"/>
      <c r="BE984" s="26"/>
      <c r="BF984" s="26"/>
    </row>
    <row r="985" spans="1:58" ht="15.75" customHeight="1">
      <c r="A985" s="67"/>
      <c r="B985" s="67"/>
      <c r="C985" s="67"/>
      <c r="D985" s="68"/>
      <c r="E985" s="68"/>
      <c r="F985" s="68"/>
      <c r="G985" s="68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30"/>
      <c r="AO985" s="25"/>
      <c r="AP985" s="120"/>
      <c r="AQ985" s="120"/>
      <c r="AR985" s="121"/>
      <c r="AS985" s="96"/>
      <c r="AT985" s="122"/>
      <c r="AU985" s="96"/>
      <c r="AV985" s="122"/>
      <c r="AW985" s="122"/>
      <c r="AX985" s="30"/>
      <c r="AY985" s="30"/>
      <c r="AZ985" s="30"/>
      <c r="BA985" s="30"/>
      <c r="BB985" s="26"/>
      <c r="BC985" s="26"/>
      <c r="BD985" s="26"/>
      <c r="BE985" s="26"/>
      <c r="BF985" s="26"/>
    </row>
    <row r="986" spans="1:58" ht="15.75" customHeight="1">
      <c r="A986" s="67"/>
      <c r="B986" s="67"/>
      <c r="C986" s="67"/>
      <c r="D986" s="68"/>
      <c r="E986" s="68"/>
      <c r="F986" s="68"/>
      <c r="G986" s="68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30"/>
      <c r="AO986" s="25"/>
      <c r="AP986" s="120"/>
      <c r="AQ986" s="120"/>
      <c r="AR986" s="121"/>
      <c r="AS986" s="96"/>
      <c r="AT986" s="122"/>
      <c r="AU986" s="96"/>
      <c r="AV986" s="122"/>
      <c r="AW986" s="122"/>
      <c r="AX986" s="30"/>
      <c r="AY986" s="30"/>
      <c r="AZ986" s="30"/>
      <c r="BA986" s="30"/>
      <c r="BB986" s="26"/>
      <c r="BC986" s="26"/>
      <c r="BD986" s="26"/>
      <c r="BE986" s="26"/>
      <c r="BF986" s="26"/>
    </row>
    <row r="987" spans="1:58" ht="15.75" customHeight="1">
      <c r="A987" s="67"/>
      <c r="B987" s="67"/>
      <c r="C987" s="67"/>
      <c r="D987" s="68"/>
      <c r="E987" s="68"/>
      <c r="F987" s="68"/>
      <c r="G987" s="68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30"/>
      <c r="AO987" s="25"/>
      <c r="AP987" s="120"/>
      <c r="AQ987" s="120"/>
      <c r="AR987" s="121"/>
      <c r="AS987" s="96"/>
      <c r="AT987" s="122"/>
      <c r="AU987" s="96"/>
      <c r="AV987" s="122"/>
      <c r="AW987" s="122"/>
      <c r="AX987" s="30"/>
      <c r="AY987" s="30"/>
      <c r="AZ987" s="30"/>
      <c r="BA987" s="30"/>
      <c r="BB987" s="26"/>
      <c r="BC987" s="26"/>
      <c r="BD987" s="26"/>
      <c r="BE987" s="26"/>
      <c r="BF987" s="26"/>
    </row>
    <row r="988" spans="1:58" ht="15.75" customHeight="1">
      <c r="A988" s="67"/>
      <c r="B988" s="67"/>
      <c r="C988" s="67"/>
      <c r="D988" s="68"/>
      <c r="E988" s="68"/>
      <c r="F988" s="68"/>
      <c r="G988" s="68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30"/>
      <c r="AO988" s="25"/>
      <c r="AP988" s="120"/>
      <c r="AQ988" s="120"/>
      <c r="AR988" s="121"/>
      <c r="AS988" s="96"/>
      <c r="AT988" s="122"/>
      <c r="AU988" s="96"/>
      <c r="AV988" s="122"/>
      <c r="AW988" s="122"/>
      <c r="AX988" s="30"/>
      <c r="AY988" s="30"/>
      <c r="AZ988" s="30"/>
      <c r="BA988" s="30"/>
      <c r="BB988" s="26"/>
      <c r="BC988" s="26"/>
      <c r="BD988" s="26"/>
      <c r="BE988" s="26"/>
      <c r="BF988" s="26"/>
    </row>
    <row r="989" spans="1:58" ht="15.75" customHeight="1">
      <c r="A989" s="67"/>
      <c r="B989" s="67"/>
      <c r="C989" s="67"/>
      <c r="D989" s="68"/>
      <c r="E989" s="68"/>
      <c r="F989" s="68"/>
      <c r="G989" s="68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30"/>
      <c r="AO989" s="25"/>
      <c r="AP989" s="120"/>
      <c r="AQ989" s="120"/>
      <c r="AR989" s="121"/>
      <c r="AS989" s="96"/>
      <c r="AT989" s="122"/>
      <c r="AU989" s="96"/>
      <c r="AV989" s="122"/>
      <c r="AW989" s="122"/>
      <c r="AX989" s="30"/>
      <c r="AY989" s="30"/>
      <c r="AZ989" s="30"/>
      <c r="BA989" s="30"/>
      <c r="BB989" s="26"/>
      <c r="BC989" s="26"/>
      <c r="BD989" s="26"/>
      <c r="BE989" s="26"/>
      <c r="BF989" s="26"/>
    </row>
    <row r="990" spans="1:58" ht="15.75" customHeight="1">
      <c r="A990" s="67"/>
      <c r="B990" s="67"/>
      <c r="C990" s="67"/>
      <c r="D990" s="68"/>
      <c r="E990" s="68"/>
      <c r="F990" s="68"/>
      <c r="G990" s="68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30"/>
      <c r="AO990" s="25"/>
      <c r="AP990" s="120"/>
      <c r="AQ990" s="120"/>
      <c r="AR990" s="121"/>
      <c r="AS990" s="96"/>
      <c r="AT990" s="122"/>
      <c r="AU990" s="96"/>
      <c r="AV990" s="122"/>
      <c r="AW990" s="122"/>
      <c r="AX990" s="30"/>
      <c r="AY990" s="30"/>
      <c r="AZ990" s="30"/>
      <c r="BA990" s="30"/>
      <c r="BB990" s="26"/>
      <c r="BC990" s="26"/>
      <c r="BD990" s="26"/>
      <c r="BE990" s="26"/>
      <c r="BF990" s="26"/>
    </row>
    <row r="991" spans="1:58" ht="15.75" customHeight="1">
      <c r="A991" s="67"/>
      <c r="B991" s="67"/>
      <c r="C991" s="67"/>
      <c r="D991" s="68"/>
      <c r="E991" s="68"/>
      <c r="F991" s="68"/>
      <c r="G991" s="68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30"/>
      <c r="AO991" s="25"/>
      <c r="AP991" s="120"/>
      <c r="AQ991" s="120"/>
      <c r="AR991" s="121"/>
      <c r="AS991" s="96"/>
      <c r="AT991" s="122"/>
      <c r="AU991" s="96"/>
      <c r="AV991" s="122"/>
      <c r="AW991" s="122"/>
      <c r="AX991" s="30"/>
      <c r="AY991" s="30"/>
      <c r="AZ991" s="30"/>
      <c r="BA991" s="30"/>
      <c r="BB991" s="26"/>
      <c r="BC991" s="26"/>
      <c r="BD991" s="26"/>
      <c r="BE991" s="26"/>
      <c r="BF991" s="26"/>
    </row>
    <row r="992" spans="1:58" ht="15.75" customHeight="1">
      <c r="A992" s="67"/>
      <c r="B992" s="67"/>
      <c r="C992" s="67"/>
      <c r="D992" s="68"/>
      <c r="E992" s="68"/>
      <c r="F992" s="68"/>
      <c r="G992" s="68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30"/>
      <c r="AO992" s="25"/>
      <c r="AP992" s="120"/>
      <c r="AQ992" s="120"/>
      <c r="AR992" s="121"/>
      <c r="AS992" s="96"/>
      <c r="AT992" s="122"/>
      <c r="AU992" s="96"/>
      <c r="AV992" s="122"/>
      <c r="AW992" s="122"/>
      <c r="AX992" s="30"/>
      <c r="AY992" s="30"/>
      <c r="AZ992" s="30"/>
      <c r="BA992" s="30"/>
      <c r="BB992" s="26"/>
      <c r="BC992" s="26"/>
      <c r="BD992" s="26"/>
      <c r="BE992" s="26"/>
      <c r="BF992" s="26"/>
    </row>
    <row r="993" spans="1:58" ht="15.75" customHeight="1">
      <c r="A993" s="67"/>
      <c r="B993" s="67"/>
      <c r="C993" s="67"/>
      <c r="D993" s="68"/>
      <c r="E993" s="68"/>
      <c r="F993" s="68"/>
      <c r="G993" s="68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30"/>
      <c r="AO993" s="25"/>
      <c r="AP993" s="120"/>
      <c r="AQ993" s="120"/>
      <c r="AR993" s="121"/>
      <c r="AS993" s="96"/>
      <c r="AT993" s="122"/>
      <c r="AU993" s="96"/>
      <c r="AV993" s="122"/>
      <c r="AW993" s="122"/>
      <c r="AX993" s="30"/>
      <c r="AY993" s="30"/>
      <c r="AZ993" s="30"/>
      <c r="BA993" s="30"/>
      <c r="BB993" s="26"/>
      <c r="BC993" s="26"/>
      <c r="BD993" s="26"/>
      <c r="BE993" s="26"/>
      <c r="BF993" s="26"/>
    </row>
    <row r="994" spans="1:58" ht="15.75" customHeight="1">
      <c r="A994" s="67"/>
      <c r="B994" s="67"/>
      <c r="C994" s="67"/>
      <c r="D994" s="68"/>
      <c r="E994" s="68"/>
      <c r="F994" s="68"/>
      <c r="G994" s="68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30"/>
      <c r="AO994" s="25"/>
      <c r="AP994" s="120"/>
      <c r="AQ994" s="120"/>
      <c r="AR994" s="121"/>
      <c r="AS994" s="96"/>
      <c r="AT994" s="122"/>
      <c r="AU994" s="96"/>
      <c r="AV994" s="122"/>
      <c r="AW994" s="122"/>
      <c r="AX994" s="30"/>
      <c r="AY994" s="30"/>
      <c r="AZ994" s="30"/>
      <c r="BA994" s="30"/>
      <c r="BB994" s="26"/>
      <c r="BC994" s="26"/>
      <c r="BD994" s="26"/>
      <c r="BE994" s="26"/>
      <c r="BF994" s="26"/>
    </row>
    <row r="995" spans="1:58" ht="15.75" customHeight="1">
      <c r="A995" s="67"/>
      <c r="B995" s="67"/>
      <c r="C995" s="67"/>
      <c r="D995" s="68"/>
      <c r="E995" s="68"/>
      <c r="F995" s="68"/>
      <c r="G995" s="68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30"/>
      <c r="AO995" s="25"/>
      <c r="AP995" s="120"/>
      <c r="AQ995" s="120"/>
      <c r="AR995" s="121"/>
      <c r="AS995" s="96"/>
      <c r="AT995" s="122"/>
      <c r="AU995" s="96"/>
      <c r="AV995" s="122"/>
      <c r="AW995" s="122"/>
      <c r="AX995" s="30"/>
      <c r="AY995" s="30"/>
      <c r="AZ995" s="30"/>
      <c r="BA995" s="30"/>
      <c r="BB995" s="26"/>
      <c r="BC995" s="26"/>
      <c r="BD995" s="26"/>
      <c r="BE995" s="26"/>
      <c r="BF995" s="26"/>
    </row>
    <row r="996" spans="1:58" ht="15.75" customHeight="1">
      <c r="A996" s="67"/>
      <c r="B996" s="67"/>
      <c r="C996" s="67"/>
      <c r="D996" s="68"/>
      <c r="E996" s="68"/>
      <c r="F996" s="68"/>
      <c r="G996" s="68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30"/>
      <c r="AO996" s="25"/>
      <c r="AP996" s="120"/>
      <c r="AQ996" s="120"/>
      <c r="AR996" s="121"/>
      <c r="AS996" s="96"/>
      <c r="AT996" s="122"/>
      <c r="AU996" s="96"/>
      <c r="AV996" s="122"/>
      <c r="AW996" s="122"/>
      <c r="AX996" s="30"/>
      <c r="AY996" s="30"/>
      <c r="AZ996" s="30"/>
      <c r="BA996" s="30"/>
      <c r="BB996" s="26"/>
      <c r="BC996" s="26"/>
      <c r="BD996" s="26"/>
      <c r="BE996" s="26"/>
      <c r="BF996" s="26"/>
    </row>
    <row r="997" spans="1:58" ht="15.75" customHeight="1">
      <c r="A997" s="67"/>
      <c r="B997" s="67"/>
      <c r="C997" s="67"/>
      <c r="D997" s="68"/>
      <c r="E997" s="68"/>
      <c r="F997" s="68"/>
      <c r="G997" s="68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30"/>
      <c r="AO997" s="25"/>
      <c r="AP997" s="120"/>
      <c r="AQ997" s="120"/>
      <c r="AR997" s="121"/>
      <c r="AS997" s="96"/>
      <c r="AT997" s="122"/>
      <c r="AU997" s="96"/>
      <c r="AV997" s="122"/>
      <c r="AW997" s="122"/>
      <c r="AX997" s="30"/>
      <c r="AY997" s="30"/>
      <c r="AZ997" s="30"/>
      <c r="BA997" s="30"/>
      <c r="BB997" s="26"/>
      <c r="BC997" s="26"/>
      <c r="BD997" s="26"/>
      <c r="BE997" s="26"/>
      <c r="BF997" s="26"/>
    </row>
    <row r="998" spans="1:58" ht="15.75" customHeight="1">
      <c r="A998" s="67"/>
      <c r="B998" s="67"/>
      <c r="C998" s="67"/>
      <c r="D998" s="68"/>
      <c r="E998" s="68"/>
      <c r="F998" s="68"/>
      <c r="G998" s="68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30"/>
      <c r="AO998" s="25"/>
      <c r="AP998" s="120"/>
      <c r="AQ998" s="120"/>
      <c r="AR998" s="121"/>
      <c r="AS998" s="96"/>
      <c r="AT998" s="122"/>
      <c r="AU998" s="96"/>
      <c r="AV998" s="122"/>
      <c r="AW998" s="122"/>
      <c r="AX998" s="30"/>
      <c r="AY998" s="30"/>
      <c r="AZ998" s="30"/>
      <c r="BA998" s="30"/>
      <c r="BB998" s="26"/>
      <c r="BC998" s="26"/>
      <c r="BD998" s="26"/>
      <c r="BE998" s="26"/>
      <c r="BF998" s="26"/>
    </row>
    <row r="999" spans="1:58" ht="15.75" customHeight="1">
      <c r="A999" s="67"/>
      <c r="B999" s="67"/>
      <c r="C999" s="67"/>
      <c r="D999" s="68"/>
      <c r="E999" s="68"/>
      <c r="F999" s="68"/>
      <c r="G999" s="68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30"/>
      <c r="AO999" s="25"/>
      <c r="AP999" s="120"/>
      <c r="AQ999" s="120"/>
      <c r="AR999" s="121"/>
      <c r="AS999" s="96"/>
      <c r="AT999" s="122"/>
      <c r="AU999" s="96"/>
      <c r="AV999" s="122"/>
      <c r="AW999" s="122"/>
      <c r="AX999" s="30"/>
      <c r="AY999" s="30"/>
      <c r="AZ999" s="30"/>
      <c r="BA999" s="30"/>
      <c r="BB999" s="26"/>
      <c r="BC999" s="26"/>
      <c r="BD999" s="26"/>
      <c r="BE999" s="26"/>
      <c r="BF999" s="26"/>
    </row>
    <row r="1000" spans="1:58" ht="15.75" customHeight="1">
      <c r="A1000" s="67"/>
      <c r="B1000" s="67"/>
      <c r="C1000" s="67"/>
      <c r="D1000" s="68"/>
      <c r="E1000" s="68"/>
      <c r="F1000" s="68"/>
      <c r="G1000" s="68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30"/>
      <c r="AO1000" s="25"/>
      <c r="AP1000" s="120"/>
      <c r="AQ1000" s="120"/>
      <c r="AR1000" s="121"/>
      <c r="AS1000" s="96"/>
      <c r="AT1000" s="122"/>
      <c r="AU1000" s="96"/>
      <c r="AV1000" s="122"/>
      <c r="AW1000" s="122"/>
      <c r="AX1000" s="30"/>
      <c r="AY1000" s="30"/>
      <c r="AZ1000" s="30"/>
      <c r="BA1000" s="30"/>
      <c r="BB1000" s="26"/>
      <c r="BC1000" s="26"/>
      <c r="BD1000" s="26"/>
      <c r="BE1000" s="26"/>
      <c r="BF1000" s="26"/>
    </row>
    <row r="1001" spans="1:58" ht="15.75" customHeight="1">
      <c r="A1001" s="67"/>
      <c r="B1001" s="67"/>
      <c r="C1001" s="67"/>
      <c r="D1001" s="68"/>
      <c r="E1001" s="68"/>
      <c r="F1001" s="68"/>
      <c r="G1001" s="68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30"/>
      <c r="AO1001" s="25"/>
      <c r="AP1001" s="120"/>
      <c r="AQ1001" s="120"/>
      <c r="AR1001" s="121"/>
      <c r="AS1001" s="96"/>
      <c r="AT1001" s="122"/>
      <c r="AU1001" s="96"/>
      <c r="AV1001" s="122"/>
      <c r="AW1001" s="122"/>
      <c r="AX1001" s="30"/>
      <c r="AY1001" s="30"/>
      <c r="AZ1001" s="30"/>
      <c r="BA1001" s="30"/>
      <c r="BB1001" s="26"/>
      <c r="BC1001" s="26"/>
      <c r="BD1001" s="26"/>
      <c r="BE1001" s="26"/>
      <c r="BF1001" s="26"/>
    </row>
    <row r="1002" spans="1:58" ht="15.75" customHeight="1">
      <c r="A1002" s="67"/>
      <c r="B1002" s="67"/>
      <c r="C1002" s="67"/>
      <c r="D1002" s="68"/>
      <c r="E1002" s="68"/>
      <c r="F1002" s="68"/>
      <c r="G1002" s="68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30"/>
      <c r="AO1002" s="25"/>
      <c r="AP1002" s="120"/>
      <c r="AQ1002" s="120"/>
      <c r="AR1002" s="121"/>
      <c r="AS1002" s="96"/>
      <c r="AT1002" s="122"/>
      <c r="AU1002" s="96"/>
      <c r="AV1002" s="122"/>
      <c r="AW1002" s="122"/>
      <c r="AX1002" s="30"/>
      <c r="AY1002" s="30"/>
      <c r="AZ1002" s="30"/>
      <c r="BA1002" s="30"/>
      <c r="BB1002" s="26"/>
      <c r="BC1002" s="26"/>
      <c r="BD1002" s="26"/>
      <c r="BE1002" s="26"/>
      <c r="BF1002" s="26"/>
    </row>
    <row r="1003" spans="1:58" ht="15.75" customHeight="1">
      <c r="A1003" s="67"/>
      <c r="B1003" s="67"/>
      <c r="C1003" s="67"/>
      <c r="D1003" s="68"/>
      <c r="E1003" s="68"/>
      <c r="F1003" s="68"/>
      <c r="G1003" s="68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30"/>
      <c r="AO1003" s="25"/>
      <c r="AP1003" s="120"/>
      <c r="AQ1003" s="120"/>
      <c r="AR1003" s="121"/>
      <c r="AS1003" s="96"/>
      <c r="AT1003" s="122"/>
      <c r="AU1003" s="96"/>
      <c r="AV1003" s="122"/>
      <c r="AW1003" s="122"/>
      <c r="AX1003" s="30"/>
      <c r="AY1003" s="30"/>
      <c r="AZ1003" s="30"/>
      <c r="BA1003" s="30"/>
      <c r="BB1003" s="26"/>
      <c r="BC1003" s="26"/>
      <c r="BD1003" s="26"/>
      <c r="BE1003" s="26"/>
      <c r="BF1003" s="26"/>
    </row>
    <row r="1004" spans="1:58" ht="15.75" customHeight="1">
      <c r="A1004" s="67"/>
      <c r="B1004" s="67"/>
      <c r="C1004" s="67"/>
      <c r="D1004" s="68"/>
      <c r="E1004" s="68"/>
      <c r="F1004" s="68"/>
      <c r="G1004" s="68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30"/>
      <c r="AO1004" s="25"/>
      <c r="AP1004" s="120"/>
      <c r="AQ1004" s="120"/>
      <c r="AR1004" s="121"/>
      <c r="AS1004" s="96"/>
      <c r="AT1004" s="122"/>
      <c r="AU1004" s="96"/>
      <c r="AV1004" s="122"/>
      <c r="AW1004" s="122"/>
      <c r="AX1004" s="30"/>
      <c r="AY1004" s="30"/>
      <c r="AZ1004" s="30"/>
      <c r="BA1004" s="30"/>
      <c r="BB1004" s="26"/>
      <c r="BC1004" s="26"/>
      <c r="BD1004" s="26"/>
      <c r="BE1004" s="26"/>
      <c r="BF1004" s="26"/>
    </row>
    <row r="1005" spans="1:58" ht="15.75" customHeight="1">
      <c r="A1005" s="67"/>
      <c r="B1005" s="67"/>
      <c r="C1005" s="67"/>
      <c r="D1005" s="68"/>
      <c r="E1005" s="68"/>
      <c r="F1005" s="68"/>
      <c r="G1005" s="68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30"/>
      <c r="AO1005" s="25"/>
      <c r="AP1005" s="120"/>
      <c r="AQ1005" s="120"/>
      <c r="AR1005" s="121"/>
      <c r="AS1005" s="96"/>
      <c r="AT1005" s="122"/>
      <c r="AU1005" s="96"/>
      <c r="AV1005" s="122"/>
      <c r="AW1005" s="122"/>
      <c r="AX1005" s="30"/>
      <c r="AY1005" s="30"/>
      <c r="AZ1005" s="30"/>
      <c r="BA1005" s="30"/>
      <c r="BB1005" s="26"/>
      <c r="BC1005" s="26"/>
      <c r="BD1005" s="26"/>
      <c r="BE1005" s="26"/>
      <c r="BF1005" s="26"/>
    </row>
    <row r="1006" spans="1:58" ht="15.75" customHeight="1">
      <c r="A1006" s="67"/>
      <c r="B1006" s="67"/>
      <c r="C1006" s="67"/>
      <c r="D1006" s="68"/>
      <c r="E1006" s="68"/>
      <c r="F1006" s="68"/>
      <c r="G1006" s="68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30"/>
      <c r="AO1006" s="25"/>
      <c r="AP1006" s="120"/>
      <c r="AQ1006" s="120"/>
      <c r="AR1006" s="121"/>
      <c r="AS1006" s="96"/>
      <c r="AT1006" s="122"/>
      <c r="AU1006" s="96"/>
      <c r="AV1006" s="122"/>
      <c r="AW1006" s="122"/>
      <c r="AX1006" s="30"/>
      <c r="AY1006" s="30"/>
      <c r="AZ1006" s="30"/>
      <c r="BA1006" s="30"/>
      <c r="BB1006" s="26"/>
      <c r="BC1006" s="26"/>
      <c r="BD1006" s="26"/>
      <c r="BE1006" s="26"/>
      <c r="BF1006" s="26"/>
    </row>
    <row r="1007" spans="1:58" ht="15.75" customHeight="1">
      <c r="A1007" s="67"/>
      <c r="B1007" s="67"/>
      <c r="C1007" s="67"/>
      <c r="D1007" s="68"/>
      <c r="E1007" s="68"/>
      <c r="F1007" s="68"/>
      <c r="G1007" s="68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30"/>
      <c r="AO1007" s="25"/>
      <c r="AP1007" s="120"/>
      <c r="AQ1007" s="120"/>
      <c r="AR1007" s="121"/>
      <c r="AS1007" s="96"/>
      <c r="AT1007" s="122"/>
      <c r="AU1007" s="96"/>
      <c r="AV1007" s="122"/>
      <c r="AW1007" s="122"/>
      <c r="AX1007" s="30"/>
      <c r="AY1007" s="30"/>
      <c r="AZ1007" s="30"/>
      <c r="BA1007" s="30"/>
      <c r="BB1007" s="26"/>
      <c r="BC1007" s="26"/>
      <c r="BD1007" s="26"/>
      <c r="BE1007" s="26"/>
      <c r="BF1007" s="26"/>
    </row>
    <row r="1008" spans="1:58" ht="15.75" customHeight="1">
      <c r="A1008" s="67"/>
      <c r="B1008" s="67"/>
      <c r="C1008" s="67"/>
      <c r="D1008" s="68"/>
      <c r="E1008" s="68"/>
      <c r="F1008" s="68"/>
      <c r="G1008" s="68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30"/>
      <c r="AO1008" s="25"/>
      <c r="AP1008" s="120"/>
      <c r="AQ1008" s="120"/>
      <c r="AR1008" s="121"/>
      <c r="AS1008" s="96"/>
      <c r="AT1008" s="122"/>
      <c r="AU1008" s="96"/>
      <c r="AV1008" s="122"/>
      <c r="AW1008" s="122"/>
      <c r="AX1008" s="30"/>
      <c r="AY1008" s="30"/>
      <c r="AZ1008" s="30"/>
      <c r="BA1008" s="30"/>
      <c r="BB1008" s="26"/>
      <c r="BC1008" s="26"/>
      <c r="BD1008" s="26"/>
      <c r="BE1008" s="26"/>
      <c r="BF1008" s="26"/>
    </row>
    <row r="1009" spans="1:58" ht="15.75" customHeight="1">
      <c r="A1009" s="67"/>
      <c r="B1009" s="67"/>
      <c r="C1009" s="67"/>
      <c r="D1009" s="68"/>
      <c r="E1009" s="68"/>
      <c r="F1009" s="68"/>
      <c r="G1009" s="68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30"/>
      <c r="AO1009" s="25"/>
      <c r="AP1009" s="120"/>
      <c r="AQ1009" s="120"/>
      <c r="AR1009" s="121"/>
      <c r="AS1009" s="96"/>
      <c r="AT1009" s="122"/>
      <c r="AU1009" s="96"/>
      <c r="AV1009" s="122"/>
      <c r="AW1009" s="122"/>
      <c r="AX1009" s="30"/>
      <c r="AY1009" s="30"/>
      <c r="AZ1009" s="30"/>
      <c r="BA1009" s="30"/>
      <c r="BB1009" s="26"/>
      <c r="BC1009" s="26"/>
      <c r="BD1009" s="26"/>
      <c r="BE1009" s="26"/>
      <c r="BF1009" s="26"/>
    </row>
    <row r="1010" spans="1:58" ht="15.75" customHeight="1">
      <c r="A1010" s="67"/>
      <c r="B1010" s="67"/>
      <c r="C1010" s="67"/>
      <c r="D1010" s="68"/>
      <c r="E1010" s="68"/>
      <c r="F1010" s="68"/>
      <c r="G1010" s="68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30"/>
      <c r="AO1010" s="25"/>
      <c r="AP1010" s="120"/>
      <c r="AQ1010" s="120"/>
      <c r="AR1010" s="121"/>
      <c r="AS1010" s="96"/>
      <c r="AT1010" s="122"/>
      <c r="AU1010" s="96"/>
      <c r="AV1010" s="122"/>
      <c r="AW1010" s="122"/>
      <c r="AX1010" s="30"/>
      <c r="AY1010" s="30"/>
      <c r="AZ1010" s="30"/>
      <c r="BA1010" s="30"/>
      <c r="BB1010" s="26"/>
      <c r="BC1010" s="26"/>
      <c r="BD1010" s="26"/>
      <c r="BE1010" s="26"/>
      <c r="BF1010" s="26"/>
    </row>
    <row r="1011" spans="1:58" ht="15.75" customHeight="1">
      <c r="A1011" s="67"/>
      <c r="B1011" s="67"/>
      <c r="C1011" s="67"/>
      <c r="D1011" s="68"/>
      <c r="E1011" s="68"/>
      <c r="F1011" s="68"/>
      <c r="G1011" s="68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30"/>
      <c r="AO1011" s="25"/>
      <c r="AP1011" s="120"/>
      <c r="AQ1011" s="120"/>
      <c r="AR1011" s="121"/>
      <c r="AS1011" s="96"/>
      <c r="AT1011" s="122"/>
      <c r="AU1011" s="96"/>
      <c r="AV1011" s="122"/>
      <c r="AW1011" s="122"/>
      <c r="AX1011" s="30"/>
      <c r="AY1011" s="30"/>
      <c r="AZ1011" s="30"/>
      <c r="BA1011" s="30"/>
      <c r="BB1011" s="26"/>
      <c r="BC1011" s="26"/>
      <c r="BD1011" s="26"/>
      <c r="BE1011" s="26"/>
      <c r="BF1011" s="26"/>
    </row>
    <row r="1012" spans="1:58" ht="15.75" customHeight="1">
      <c r="A1012" s="67"/>
      <c r="B1012" s="67"/>
      <c r="C1012" s="67"/>
      <c r="D1012" s="68"/>
      <c r="E1012" s="68"/>
      <c r="F1012" s="68"/>
      <c r="G1012" s="68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30"/>
      <c r="AO1012" s="25"/>
      <c r="AP1012" s="120"/>
      <c r="AQ1012" s="120"/>
      <c r="AR1012" s="121"/>
      <c r="AS1012" s="96"/>
      <c r="AT1012" s="122"/>
      <c r="AU1012" s="96"/>
      <c r="AV1012" s="122"/>
      <c r="AW1012" s="122"/>
      <c r="AX1012" s="30"/>
      <c r="AY1012" s="30"/>
      <c r="AZ1012" s="30"/>
      <c r="BA1012" s="30"/>
      <c r="BB1012" s="26"/>
      <c r="BC1012" s="26"/>
      <c r="BD1012" s="26"/>
      <c r="BE1012" s="26"/>
      <c r="BF1012" s="26"/>
    </row>
    <row r="1013" spans="1:58" ht="15.75" customHeight="1">
      <c r="A1013" s="67"/>
      <c r="B1013" s="67"/>
      <c r="C1013" s="67"/>
      <c r="D1013" s="68"/>
      <c r="E1013" s="68"/>
      <c r="F1013" s="68"/>
      <c r="G1013" s="68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30"/>
      <c r="AO1013" s="25"/>
      <c r="AP1013" s="120"/>
      <c r="AQ1013" s="120"/>
      <c r="AR1013" s="121"/>
      <c r="AS1013" s="96"/>
      <c r="AT1013" s="122"/>
      <c r="AU1013" s="96"/>
      <c r="AV1013" s="122"/>
      <c r="AW1013" s="122"/>
      <c r="AX1013" s="30"/>
      <c r="AY1013" s="30"/>
      <c r="AZ1013" s="30"/>
      <c r="BA1013" s="30"/>
      <c r="BB1013" s="26"/>
      <c r="BC1013" s="26"/>
      <c r="BD1013" s="26"/>
      <c r="BE1013" s="26"/>
      <c r="BF1013" s="26"/>
    </row>
    <row r="1014" spans="1:58" ht="15.75" customHeight="1">
      <c r="A1014" s="67"/>
      <c r="B1014" s="67"/>
      <c r="C1014" s="67"/>
      <c r="D1014" s="68"/>
      <c r="E1014" s="68"/>
      <c r="F1014" s="68"/>
      <c r="G1014" s="68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30"/>
      <c r="AO1014" s="25"/>
      <c r="AP1014" s="120"/>
      <c r="AQ1014" s="120"/>
      <c r="AR1014" s="121"/>
      <c r="AS1014" s="96"/>
      <c r="AT1014" s="122"/>
      <c r="AU1014" s="96"/>
      <c r="AV1014" s="122"/>
      <c r="AW1014" s="122"/>
      <c r="AX1014" s="30"/>
      <c r="AY1014" s="30"/>
      <c r="AZ1014" s="30"/>
      <c r="BA1014" s="30"/>
      <c r="BB1014" s="26"/>
      <c r="BC1014" s="26"/>
      <c r="BD1014" s="26"/>
      <c r="BE1014" s="26"/>
      <c r="BF1014" s="26"/>
    </row>
    <row r="1015" spans="1:58" ht="15.75" customHeight="1">
      <c r="A1015" s="67"/>
      <c r="B1015" s="67"/>
      <c r="C1015" s="67"/>
      <c r="D1015" s="68"/>
      <c r="E1015" s="68"/>
      <c r="F1015" s="68"/>
      <c r="G1015" s="68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30"/>
      <c r="AO1015" s="25"/>
      <c r="AP1015" s="120"/>
      <c r="AQ1015" s="120"/>
      <c r="AR1015" s="121"/>
      <c r="AS1015" s="96"/>
      <c r="AT1015" s="122"/>
      <c r="AU1015" s="96"/>
      <c r="AV1015" s="122"/>
      <c r="AW1015" s="122"/>
      <c r="AX1015" s="30"/>
      <c r="AY1015" s="30"/>
      <c r="AZ1015" s="30"/>
      <c r="BA1015" s="30"/>
      <c r="BB1015" s="26"/>
      <c r="BC1015" s="26"/>
      <c r="BD1015" s="26"/>
      <c r="BE1015" s="26"/>
      <c r="BF1015" s="26"/>
    </row>
    <row r="1016" spans="1:58" ht="15.75" customHeight="1">
      <c r="A1016" s="67"/>
      <c r="B1016" s="67"/>
      <c r="C1016" s="67"/>
      <c r="D1016" s="68"/>
      <c r="E1016" s="68"/>
      <c r="F1016" s="68"/>
      <c r="G1016" s="68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30"/>
      <c r="AO1016" s="25"/>
      <c r="AP1016" s="120"/>
      <c r="AQ1016" s="120"/>
      <c r="AR1016" s="121"/>
      <c r="AS1016" s="96"/>
      <c r="AT1016" s="122"/>
      <c r="AU1016" s="96"/>
      <c r="AV1016" s="122"/>
      <c r="AW1016" s="122"/>
      <c r="AX1016" s="30"/>
      <c r="AY1016" s="30"/>
      <c r="AZ1016" s="30"/>
      <c r="BA1016" s="30"/>
      <c r="BB1016" s="26"/>
      <c r="BC1016" s="26"/>
      <c r="BD1016" s="26"/>
      <c r="BE1016" s="26"/>
      <c r="BF1016" s="26"/>
    </row>
    <row r="1017" spans="1:58" ht="15.75" customHeight="1">
      <c r="A1017" s="67"/>
      <c r="B1017" s="67"/>
      <c r="C1017" s="67"/>
      <c r="D1017" s="68"/>
      <c r="E1017" s="68"/>
      <c r="F1017" s="68"/>
      <c r="G1017" s="68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30"/>
      <c r="AO1017" s="25"/>
      <c r="AP1017" s="120"/>
      <c r="AQ1017" s="120"/>
      <c r="AR1017" s="121"/>
      <c r="AS1017" s="96"/>
      <c r="AT1017" s="122"/>
      <c r="AU1017" s="96"/>
      <c r="AV1017" s="122"/>
      <c r="AW1017" s="122"/>
      <c r="AX1017" s="30"/>
      <c r="AY1017" s="30"/>
      <c r="AZ1017" s="30"/>
      <c r="BA1017" s="30"/>
      <c r="BB1017" s="26"/>
      <c r="BC1017" s="26"/>
      <c r="BD1017" s="26"/>
      <c r="BE1017" s="26"/>
      <c r="BF1017" s="26"/>
    </row>
    <row r="1018" spans="1:58" ht="15.75" customHeight="1">
      <c r="A1018" s="67"/>
      <c r="B1018" s="67"/>
      <c r="C1018" s="67"/>
      <c r="D1018" s="68"/>
      <c r="E1018" s="68"/>
      <c r="F1018" s="68"/>
      <c r="G1018" s="68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30"/>
      <c r="AO1018" s="25"/>
      <c r="AP1018" s="120"/>
      <c r="AQ1018" s="120"/>
      <c r="AR1018" s="121"/>
      <c r="AS1018" s="96"/>
      <c r="AT1018" s="122"/>
      <c r="AU1018" s="96"/>
      <c r="AV1018" s="122"/>
      <c r="AW1018" s="122"/>
      <c r="AX1018" s="30"/>
      <c r="AY1018" s="30"/>
      <c r="AZ1018" s="30"/>
      <c r="BA1018" s="30"/>
      <c r="BB1018" s="26"/>
      <c r="BC1018" s="26"/>
      <c r="BD1018" s="26"/>
      <c r="BE1018" s="26"/>
      <c r="BF1018" s="26"/>
    </row>
    <row r="1019" spans="1:58" ht="15.75" customHeight="1">
      <c r="A1019" s="67"/>
      <c r="B1019" s="67"/>
      <c r="C1019" s="67"/>
      <c r="D1019" s="68"/>
      <c r="E1019" s="68"/>
      <c r="F1019" s="68"/>
      <c r="G1019" s="68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30"/>
      <c r="AO1019" s="25"/>
      <c r="AP1019" s="120"/>
      <c r="AQ1019" s="120"/>
      <c r="AR1019" s="121"/>
      <c r="AS1019" s="96"/>
      <c r="AT1019" s="122"/>
      <c r="AU1019" s="96"/>
      <c r="AV1019" s="122"/>
      <c r="AW1019" s="122"/>
      <c r="AX1019" s="30"/>
      <c r="AY1019" s="30"/>
      <c r="AZ1019" s="30"/>
      <c r="BA1019" s="30"/>
      <c r="BB1019" s="26"/>
      <c r="BC1019" s="26"/>
      <c r="BD1019" s="26"/>
      <c r="BE1019" s="26"/>
      <c r="BF1019" s="26"/>
    </row>
    <row r="1020" spans="1:58" ht="15.75" customHeight="1">
      <c r="A1020" s="67"/>
      <c r="B1020" s="67"/>
      <c r="C1020" s="67"/>
      <c r="D1020" s="68"/>
      <c r="E1020" s="68"/>
      <c r="F1020" s="68"/>
      <c r="G1020" s="68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30"/>
      <c r="AO1020" s="25"/>
      <c r="AP1020" s="120"/>
      <c r="AQ1020" s="120"/>
      <c r="AR1020" s="121"/>
      <c r="AS1020" s="96"/>
      <c r="AT1020" s="122"/>
      <c r="AU1020" s="96"/>
      <c r="AV1020" s="122"/>
      <c r="AW1020" s="122"/>
      <c r="AX1020" s="30"/>
      <c r="AY1020" s="30"/>
      <c r="AZ1020" s="30"/>
      <c r="BA1020" s="30"/>
      <c r="BB1020" s="26"/>
      <c r="BC1020" s="26"/>
      <c r="BD1020" s="26"/>
      <c r="BE1020" s="26"/>
      <c r="BF1020" s="26"/>
    </row>
    <row r="1021" spans="1:58" ht="15.75" customHeight="1">
      <c r="A1021" s="67"/>
      <c r="B1021" s="67"/>
      <c r="C1021" s="67"/>
      <c r="D1021" s="68"/>
      <c r="E1021" s="68"/>
      <c r="F1021" s="68"/>
      <c r="G1021" s="68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30"/>
      <c r="AO1021" s="25"/>
      <c r="AP1021" s="120"/>
      <c r="AQ1021" s="120"/>
      <c r="AR1021" s="121"/>
      <c r="AS1021" s="96"/>
      <c r="AT1021" s="122"/>
      <c r="AU1021" s="96"/>
      <c r="AV1021" s="122"/>
      <c r="AW1021" s="122"/>
      <c r="AX1021" s="30"/>
      <c r="AY1021" s="30"/>
      <c r="AZ1021" s="30"/>
      <c r="BA1021" s="30"/>
      <c r="BB1021" s="26"/>
      <c r="BC1021" s="26"/>
      <c r="BD1021" s="26"/>
      <c r="BE1021" s="26"/>
      <c r="BF1021" s="26"/>
    </row>
    <row r="1022" spans="1:58" ht="15.75" customHeight="1">
      <c r="A1022" s="67"/>
      <c r="B1022" s="67"/>
      <c r="C1022" s="67"/>
      <c r="D1022" s="68"/>
      <c r="E1022" s="68"/>
      <c r="F1022" s="68"/>
      <c r="G1022" s="68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30"/>
      <c r="AO1022" s="25"/>
      <c r="AP1022" s="120"/>
      <c r="AQ1022" s="120"/>
      <c r="AR1022" s="121"/>
      <c r="AS1022" s="96"/>
      <c r="AT1022" s="122"/>
      <c r="AU1022" s="96"/>
      <c r="AV1022" s="122"/>
      <c r="AW1022" s="122"/>
      <c r="AX1022" s="30"/>
      <c r="AY1022" s="30"/>
      <c r="AZ1022" s="30"/>
      <c r="BA1022" s="30"/>
      <c r="BB1022" s="26"/>
      <c r="BC1022" s="26"/>
      <c r="BD1022" s="26"/>
      <c r="BE1022" s="26"/>
      <c r="BF1022" s="26"/>
    </row>
    <row r="1023" spans="1:58" ht="15.75" customHeight="1">
      <c r="A1023" s="67"/>
      <c r="B1023" s="67"/>
      <c r="C1023" s="67"/>
      <c r="D1023" s="68"/>
      <c r="E1023" s="68"/>
      <c r="F1023" s="68"/>
      <c r="G1023" s="68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30"/>
      <c r="AO1023" s="25"/>
      <c r="AP1023" s="120"/>
      <c r="AQ1023" s="120"/>
      <c r="AR1023" s="121"/>
      <c r="AS1023" s="96"/>
      <c r="AT1023" s="122"/>
      <c r="AU1023" s="96"/>
      <c r="AV1023" s="122"/>
      <c r="AW1023" s="122"/>
      <c r="AX1023" s="30"/>
      <c r="AY1023" s="30"/>
      <c r="AZ1023" s="30"/>
      <c r="BA1023" s="30"/>
      <c r="BB1023" s="26"/>
      <c r="BC1023" s="26"/>
      <c r="BD1023" s="26"/>
      <c r="BE1023" s="26"/>
      <c r="BF1023" s="26"/>
    </row>
    <row r="1024" spans="1:58" ht="15.75" customHeight="1">
      <c r="A1024" s="67"/>
      <c r="B1024" s="67"/>
      <c r="C1024" s="67"/>
      <c r="D1024" s="68"/>
      <c r="E1024" s="68"/>
      <c r="F1024" s="68"/>
      <c r="G1024" s="68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30"/>
      <c r="AO1024" s="25"/>
      <c r="AP1024" s="120"/>
      <c r="AQ1024" s="120"/>
      <c r="AR1024" s="121"/>
      <c r="AS1024" s="96"/>
      <c r="AT1024" s="122"/>
      <c r="AU1024" s="96"/>
      <c r="AV1024" s="122"/>
      <c r="AW1024" s="122"/>
      <c r="AX1024" s="30"/>
      <c r="AY1024" s="30"/>
      <c r="AZ1024" s="30"/>
      <c r="BA1024" s="30"/>
      <c r="BB1024" s="26"/>
      <c r="BC1024" s="26"/>
      <c r="BD1024" s="26"/>
      <c r="BE1024" s="26"/>
      <c r="BF1024" s="26"/>
    </row>
    <row r="1025" spans="1:58" ht="15.75" customHeight="1">
      <c r="A1025" s="67"/>
      <c r="B1025" s="67"/>
      <c r="C1025" s="67"/>
      <c r="D1025" s="68"/>
      <c r="E1025" s="68"/>
      <c r="F1025" s="68"/>
      <c r="G1025" s="68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30"/>
      <c r="AO1025" s="25"/>
      <c r="AP1025" s="120"/>
      <c r="AQ1025" s="120"/>
      <c r="AR1025" s="121"/>
      <c r="AS1025" s="96"/>
      <c r="AT1025" s="122"/>
      <c r="AU1025" s="96"/>
      <c r="AV1025" s="122"/>
      <c r="AW1025" s="122"/>
      <c r="AX1025" s="30"/>
      <c r="AY1025" s="30"/>
      <c r="AZ1025" s="30"/>
      <c r="BA1025" s="30"/>
      <c r="BB1025" s="26"/>
      <c r="BC1025" s="26"/>
      <c r="BD1025" s="26"/>
      <c r="BE1025" s="26"/>
      <c r="BF1025" s="26"/>
    </row>
    <row r="1026" spans="1:58" ht="15.75" customHeight="1">
      <c r="A1026" s="67"/>
      <c r="B1026" s="67"/>
      <c r="C1026" s="67"/>
      <c r="D1026" s="68"/>
      <c r="E1026" s="68"/>
      <c r="F1026" s="68"/>
      <c r="G1026" s="68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30"/>
      <c r="AO1026" s="25"/>
      <c r="AP1026" s="120"/>
      <c r="AQ1026" s="120"/>
      <c r="AR1026" s="121"/>
      <c r="AS1026" s="96"/>
      <c r="AT1026" s="122"/>
      <c r="AU1026" s="96"/>
      <c r="AV1026" s="122"/>
      <c r="AW1026" s="122"/>
      <c r="AX1026" s="30"/>
      <c r="AY1026" s="30"/>
      <c r="AZ1026" s="30"/>
      <c r="BA1026" s="30"/>
      <c r="BB1026" s="26"/>
      <c r="BC1026" s="26"/>
      <c r="BD1026" s="26"/>
      <c r="BE1026" s="26"/>
      <c r="BF1026" s="26"/>
    </row>
    <row r="1027" spans="1:58" ht="15.75" customHeight="1">
      <c r="A1027" s="67"/>
      <c r="B1027" s="67"/>
      <c r="C1027" s="67"/>
      <c r="D1027" s="68"/>
      <c r="E1027" s="68"/>
      <c r="F1027" s="68"/>
      <c r="G1027" s="68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30"/>
      <c r="AO1027" s="25"/>
      <c r="AP1027" s="120"/>
      <c r="AQ1027" s="120"/>
      <c r="AR1027" s="121"/>
      <c r="AS1027" s="96"/>
      <c r="AT1027" s="122"/>
      <c r="AU1027" s="96"/>
      <c r="AV1027" s="122"/>
      <c r="AW1027" s="122"/>
      <c r="AX1027" s="30"/>
      <c r="AY1027" s="30"/>
      <c r="AZ1027" s="30"/>
      <c r="BA1027" s="30"/>
      <c r="BB1027" s="26"/>
      <c r="BC1027" s="26"/>
      <c r="BD1027" s="26"/>
      <c r="BE1027" s="26"/>
      <c r="BF1027" s="26"/>
    </row>
    <row r="1028" spans="1:58" ht="15.75" customHeight="1">
      <c r="A1028" s="67"/>
      <c r="B1028" s="67"/>
      <c r="C1028" s="67"/>
      <c r="D1028" s="68"/>
      <c r="E1028" s="68"/>
      <c r="F1028" s="68"/>
      <c r="G1028" s="68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30"/>
      <c r="AO1028" s="25"/>
      <c r="AP1028" s="120"/>
      <c r="AQ1028" s="120"/>
      <c r="AR1028" s="121"/>
      <c r="AS1028" s="96"/>
      <c r="AT1028" s="122"/>
      <c r="AU1028" s="96"/>
      <c r="AV1028" s="122"/>
      <c r="AW1028" s="122"/>
      <c r="AX1028" s="30"/>
      <c r="AY1028" s="30"/>
      <c r="AZ1028" s="30"/>
      <c r="BA1028" s="30"/>
      <c r="BB1028" s="26"/>
      <c r="BC1028" s="26"/>
      <c r="BD1028" s="26"/>
      <c r="BE1028" s="26"/>
      <c r="BF1028" s="26"/>
    </row>
    <row r="1029" spans="1:58" ht="15.75" customHeight="1">
      <c r="A1029" s="67"/>
      <c r="B1029" s="67"/>
      <c r="C1029" s="67"/>
      <c r="D1029" s="68"/>
      <c r="E1029" s="68"/>
      <c r="F1029" s="68"/>
      <c r="G1029" s="68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30"/>
      <c r="AO1029" s="25"/>
      <c r="AP1029" s="120"/>
      <c r="AQ1029" s="120"/>
      <c r="AR1029" s="121"/>
      <c r="AS1029" s="96"/>
      <c r="AT1029" s="122"/>
      <c r="AU1029" s="96"/>
      <c r="AV1029" s="122"/>
      <c r="AW1029" s="122"/>
      <c r="AX1029" s="30"/>
      <c r="AY1029" s="30"/>
      <c r="AZ1029" s="30"/>
      <c r="BA1029" s="30"/>
      <c r="BB1029" s="26"/>
      <c r="BC1029" s="26"/>
      <c r="BD1029" s="26"/>
      <c r="BE1029" s="26"/>
      <c r="BF1029" s="26"/>
    </row>
    <row r="1030" spans="1:58" ht="15.75" customHeight="1">
      <c r="A1030" s="67"/>
      <c r="B1030" s="67"/>
      <c r="C1030" s="67"/>
      <c r="D1030" s="68"/>
      <c r="E1030" s="68"/>
      <c r="F1030" s="68"/>
      <c r="G1030" s="68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30"/>
      <c r="AO1030" s="25"/>
      <c r="AP1030" s="120"/>
      <c r="AQ1030" s="120"/>
      <c r="AR1030" s="121"/>
      <c r="AS1030" s="96"/>
      <c r="AT1030" s="122"/>
      <c r="AU1030" s="96"/>
      <c r="AV1030" s="122"/>
      <c r="AW1030" s="122"/>
      <c r="AX1030" s="30"/>
      <c r="AY1030" s="30"/>
      <c r="AZ1030" s="30"/>
      <c r="BA1030" s="30"/>
      <c r="BB1030" s="26"/>
      <c r="BC1030" s="26"/>
      <c r="BD1030" s="26"/>
      <c r="BE1030" s="26"/>
      <c r="BF1030" s="26"/>
    </row>
    <row r="1031" spans="1:58" ht="15.75" customHeight="1">
      <c r="A1031" s="67"/>
      <c r="B1031" s="67"/>
      <c r="C1031" s="67"/>
      <c r="D1031" s="68"/>
      <c r="E1031" s="68"/>
      <c r="F1031" s="68"/>
      <c r="G1031" s="68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30"/>
      <c r="AO1031" s="25"/>
      <c r="AP1031" s="120"/>
      <c r="AQ1031" s="120"/>
      <c r="AR1031" s="121"/>
      <c r="AS1031" s="96"/>
      <c r="AT1031" s="122"/>
      <c r="AU1031" s="96"/>
      <c r="AV1031" s="122"/>
      <c r="AW1031" s="122"/>
      <c r="AX1031" s="30"/>
      <c r="AY1031" s="30"/>
      <c r="AZ1031" s="30"/>
      <c r="BA1031" s="30"/>
      <c r="BB1031" s="26"/>
      <c r="BC1031" s="26"/>
      <c r="BD1031" s="26"/>
      <c r="BE1031" s="26"/>
      <c r="BF1031" s="26"/>
    </row>
    <row r="1032" spans="1:58" ht="15.75" customHeight="1">
      <c r="A1032" s="67"/>
      <c r="B1032" s="67"/>
      <c r="C1032" s="67"/>
      <c r="D1032" s="68"/>
      <c r="E1032" s="68"/>
      <c r="F1032" s="68"/>
      <c r="G1032" s="68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30"/>
      <c r="AO1032" s="25"/>
      <c r="AP1032" s="120"/>
      <c r="AQ1032" s="120"/>
      <c r="AR1032" s="121"/>
      <c r="AS1032" s="96"/>
      <c r="AT1032" s="122"/>
      <c r="AU1032" s="96"/>
      <c r="AV1032" s="122"/>
      <c r="AW1032" s="122"/>
      <c r="AX1032" s="30"/>
      <c r="AY1032" s="30"/>
      <c r="AZ1032" s="30"/>
      <c r="BA1032" s="30"/>
      <c r="BB1032" s="26"/>
      <c r="BC1032" s="26"/>
      <c r="BD1032" s="26"/>
      <c r="BE1032" s="26"/>
      <c r="BF1032" s="26"/>
    </row>
    <row r="1033" spans="1:58" ht="15.75" customHeight="1">
      <c r="A1033" s="67"/>
      <c r="B1033" s="67"/>
      <c r="C1033" s="67"/>
      <c r="D1033" s="68"/>
      <c r="E1033" s="68"/>
      <c r="F1033" s="68"/>
      <c r="G1033" s="68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30"/>
      <c r="AO1033" s="25"/>
      <c r="AP1033" s="120"/>
      <c r="AQ1033" s="120"/>
      <c r="AR1033" s="121"/>
      <c r="AS1033" s="96"/>
      <c r="AT1033" s="122"/>
      <c r="AU1033" s="96"/>
      <c r="AV1033" s="122"/>
      <c r="AW1033" s="122"/>
      <c r="AX1033" s="30"/>
      <c r="AY1033" s="30"/>
      <c r="AZ1033" s="30"/>
      <c r="BA1033" s="30"/>
      <c r="BB1033" s="26"/>
      <c r="BC1033" s="26"/>
      <c r="BD1033" s="26"/>
      <c r="BE1033" s="26"/>
      <c r="BF1033" s="26"/>
    </row>
    <row r="1034" spans="1:58" ht="15.75" customHeight="1">
      <c r="A1034" s="67"/>
      <c r="B1034" s="67"/>
      <c r="C1034" s="67"/>
      <c r="D1034" s="68"/>
      <c r="E1034" s="68"/>
      <c r="F1034" s="68"/>
      <c r="G1034" s="68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30"/>
      <c r="AO1034" s="25"/>
      <c r="AP1034" s="120"/>
      <c r="AQ1034" s="120"/>
      <c r="AR1034" s="121"/>
      <c r="AS1034" s="96"/>
      <c r="AT1034" s="122"/>
      <c r="AU1034" s="96"/>
      <c r="AV1034" s="122"/>
      <c r="AW1034" s="122"/>
      <c r="AX1034" s="30"/>
      <c r="AY1034" s="30"/>
      <c r="AZ1034" s="30"/>
      <c r="BA1034" s="30"/>
      <c r="BB1034" s="26"/>
      <c r="BC1034" s="26"/>
      <c r="BD1034" s="26"/>
      <c r="BE1034" s="26"/>
      <c r="BF1034" s="26"/>
    </row>
    <row r="1035" spans="1:58" ht="15.75" customHeight="1">
      <c r="A1035" s="67"/>
      <c r="B1035" s="67"/>
      <c r="C1035" s="67"/>
      <c r="D1035" s="68"/>
      <c r="E1035" s="68"/>
      <c r="F1035" s="68"/>
      <c r="G1035" s="68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30"/>
      <c r="AO1035" s="25"/>
      <c r="AP1035" s="120"/>
      <c r="AQ1035" s="120"/>
      <c r="AR1035" s="121"/>
      <c r="AS1035" s="96"/>
      <c r="AT1035" s="122"/>
      <c r="AU1035" s="96"/>
      <c r="AV1035" s="122"/>
      <c r="AW1035" s="122"/>
      <c r="AX1035" s="30"/>
      <c r="AY1035" s="30"/>
      <c r="AZ1035" s="30"/>
      <c r="BA1035" s="30"/>
      <c r="BB1035" s="26"/>
      <c r="BC1035" s="26"/>
      <c r="BD1035" s="26"/>
      <c r="BE1035" s="26"/>
      <c r="BF1035" s="26"/>
    </row>
    <row r="1036" spans="1:58" ht="15.75" customHeight="1">
      <c r="A1036" s="67"/>
      <c r="B1036" s="67"/>
      <c r="C1036" s="67"/>
      <c r="D1036" s="68"/>
      <c r="E1036" s="68"/>
      <c r="F1036" s="68"/>
      <c r="G1036" s="68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30"/>
      <c r="AO1036" s="25"/>
      <c r="AP1036" s="120"/>
      <c r="AQ1036" s="120"/>
      <c r="AR1036" s="121"/>
      <c r="AS1036" s="96"/>
      <c r="AT1036" s="122"/>
      <c r="AU1036" s="96"/>
      <c r="AV1036" s="122"/>
      <c r="AW1036" s="122"/>
      <c r="AX1036" s="30"/>
      <c r="AY1036" s="30"/>
      <c r="AZ1036" s="30"/>
      <c r="BA1036" s="30"/>
      <c r="BB1036" s="26"/>
      <c r="BC1036" s="26"/>
      <c r="BD1036" s="26"/>
      <c r="BE1036" s="26"/>
      <c r="BF1036" s="26"/>
    </row>
    <row r="1037" spans="1:58" ht="15.75" customHeight="1">
      <c r="A1037" s="67"/>
      <c r="B1037" s="67"/>
      <c r="C1037" s="67"/>
      <c r="D1037" s="68"/>
      <c r="E1037" s="68"/>
      <c r="F1037" s="68"/>
      <c r="G1037" s="68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30"/>
      <c r="AO1037" s="25"/>
      <c r="AP1037" s="120"/>
      <c r="AQ1037" s="120"/>
      <c r="AR1037" s="121"/>
      <c r="AS1037" s="96"/>
      <c r="AT1037" s="122"/>
      <c r="AU1037" s="96"/>
      <c r="AV1037" s="122"/>
      <c r="AW1037" s="122"/>
      <c r="AX1037" s="30"/>
      <c r="AY1037" s="30"/>
      <c r="AZ1037" s="30"/>
      <c r="BA1037" s="30"/>
      <c r="BB1037" s="26"/>
      <c r="BC1037" s="26"/>
      <c r="BD1037" s="26"/>
      <c r="BE1037" s="26"/>
      <c r="BF1037" s="26"/>
    </row>
    <row r="1038" spans="1:58" ht="15.75" customHeight="1">
      <c r="A1038" s="67"/>
      <c r="B1038" s="67"/>
      <c r="C1038" s="67"/>
      <c r="D1038" s="68"/>
      <c r="E1038" s="68"/>
      <c r="F1038" s="68"/>
      <c r="G1038" s="68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30"/>
      <c r="AO1038" s="25"/>
      <c r="AP1038" s="120"/>
      <c r="AQ1038" s="120"/>
      <c r="AR1038" s="121"/>
      <c r="AS1038" s="96"/>
      <c r="AT1038" s="122"/>
      <c r="AU1038" s="96"/>
      <c r="AV1038" s="122"/>
      <c r="AW1038" s="122"/>
      <c r="AX1038" s="30"/>
      <c r="AY1038" s="30"/>
      <c r="AZ1038" s="30"/>
      <c r="BA1038" s="30"/>
      <c r="BB1038" s="26"/>
      <c r="BC1038" s="26"/>
      <c r="BD1038" s="26"/>
      <c r="BE1038" s="26"/>
      <c r="BF1038" s="26"/>
    </row>
    <row r="1039" spans="1:58" ht="15.75" customHeight="1">
      <c r="A1039" s="67"/>
      <c r="B1039" s="67"/>
      <c r="C1039" s="67"/>
      <c r="D1039" s="68"/>
      <c r="E1039" s="68"/>
      <c r="F1039" s="68"/>
      <c r="G1039" s="68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30"/>
      <c r="AO1039" s="25"/>
      <c r="AP1039" s="120"/>
      <c r="AQ1039" s="120"/>
      <c r="AR1039" s="121"/>
      <c r="AS1039" s="96"/>
      <c r="AT1039" s="122"/>
      <c r="AU1039" s="96"/>
      <c r="AV1039" s="122"/>
      <c r="AW1039" s="122"/>
      <c r="AX1039" s="30"/>
      <c r="AY1039" s="30"/>
      <c r="AZ1039" s="30"/>
      <c r="BA1039" s="30"/>
      <c r="BB1039" s="26"/>
      <c r="BC1039" s="26"/>
      <c r="BD1039" s="26"/>
      <c r="BE1039" s="26"/>
      <c r="BF1039" s="26"/>
    </row>
    <row r="1040" spans="1:58" ht="15.75" customHeight="1">
      <c r="A1040" s="67"/>
      <c r="B1040" s="67"/>
      <c r="C1040" s="67"/>
      <c r="D1040" s="68"/>
      <c r="E1040" s="68"/>
      <c r="F1040" s="68"/>
      <c r="G1040" s="68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30"/>
      <c r="AO1040" s="25"/>
      <c r="AP1040" s="120"/>
      <c r="AQ1040" s="120"/>
      <c r="AR1040" s="121"/>
      <c r="AS1040" s="96"/>
      <c r="AT1040" s="122"/>
      <c r="AU1040" s="96"/>
      <c r="AV1040" s="122"/>
      <c r="AW1040" s="122"/>
      <c r="AX1040" s="30"/>
      <c r="AY1040" s="30"/>
      <c r="AZ1040" s="30"/>
      <c r="BA1040" s="30"/>
      <c r="BB1040" s="26"/>
      <c r="BC1040" s="26"/>
      <c r="BD1040" s="26"/>
      <c r="BE1040" s="26"/>
      <c r="BF1040" s="26"/>
    </row>
    <row r="1041" spans="1:58" ht="15.75" customHeight="1">
      <c r="A1041" s="67"/>
      <c r="B1041" s="67"/>
      <c r="C1041" s="67"/>
      <c r="D1041" s="68"/>
      <c r="E1041" s="68"/>
      <c r="F1041" s="68"/>
      <c r="G1041" s="68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30"/>
      <c r="AO1041" s="25"/>
      <c r="AP1041" s="120"/>
      <c r="AQ1041" s="120"/>
      <c r="AR1041" s="121"/>
      <c r="AS1041" s="96"/>
      <c r="AT1041" s="122"/>
      <c r="AU1041" s="96"/>
      <c r="AV1041" s="122"/>
      <c r="AW1041" s="122"/>
      <c r="AX1041" s="30"/>
      <c r="AY1041" s="30"/>
      <c r="AZ1041" s="30"/>
      <c r="BA1041" s="30"/>
      <c r="BB1041" s="26"/>
      <c r="BC1041" s="26"/>
      <c r="BD1041" s="26"/>
      <c r="BE1041" s="26"/>
      <c r="BF1041" s="26"/>
    </row>
    <row r="1042" spans="1:58" ht="15.75" customHeight="1">
      <c r="A1042" s="67"/>
      <c r="B1042" s="67"/>
      <c r="C1042" s="67"/>
      <c r="D1042" s="68"/>
      <c r="E1042" s="68"/>
      <c r="F1042" s="68"/>
      <c r="G1042" s="68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30"/>
      <c r="AO1042" s="25"/>
      <c r="AP1042" s="120"/>
      <c r="AQ1042" s="120"/>
      <c r="AR1042" s="121"/>
      <c r="AS1042" s="96"/>
      <c r="AT1042" s="122"/>
      <c r="AU1042" s="96"/>
      <c r="AV1042" s="122"/>
      <c r="AW1042" s="122"/>
      <c r="AX1042" s="30"/>
      <c r="AY1042" s="30"/>
      <c r="AZ1042" s="30"/>
      <c r="BA1042" s="30"/>
      <c r="BB1042" s="26"/>
      <c r="BC1042" s="26"/>
      <c r="BD1042" s="26"/>
      <c r="BE1042" s="26"/>
      <c r="BF1042" s="26"/>
    </row>
    <row r="1043" spans="1:58" ht="15.75" customHeight="1">
      <c r="A1043" s="67"/>
      <c r="B1043" s="67"/>
      <c r="C1043" s="67"/>
      <c r="D1043" s="68"/>
      <c r="E1043" s="68"/>
      <c r="F1043" s="68"/>
      <c r="G1043" s="68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30"/>
      <c r="AO1043" s="25"/>
      <c r="AP1043" s="120"/>
      <c r="AQ1043" s="120"/>
      <c r="AR1043" s="121"/>
      <c r="AS1043" s="96"/>
      <c r="AT1043" s="122"/>
      <c r="AU1043" s="96"/>
      <c r="AV1043" s="122"/>
      <c r="AW1043" s="122"/>
      <c r="AX1043" s="30"/>
      <c r="AY1043" s="30"/>
      <c r="AZ1043" s="30"/>
      <c r="BA1043" s="30"/>
      <c r="BB1043" s="26"/>
      <c r="BC1043" s="26"/>
      <c r="BD1043" s="26"/>
      <c r="BE1043" s="26"/>
      <c r="BF1043" s="26"/>
    </row>
    <row r="1044" spans="1:58" ht="15.75" customHeight="1">
      <c r="A1044" s="67"/>
      <c r="B1044" s="67"/>
      <c r="C1044" s="67"/>
      <c r="D1044" s="68"/>
      <c r="E1044" s="68"/>
      <c r="F1044" s="68"/>
      <c r="G1044" s="68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30"/>
      <c r="AO1044" s="25"/>
      <c r="AP1044" s="120"/>
      <c r="AQ1044" s="120"/>
      <c r="AR1044" s="121"/>
      <c r="AS1044" s="96"/>
      <c r="AT1044" s="122"/>
      <c r="AU1044" s="96"/>
      <c r="AV1044" s="122"/>
      <c r="AW1044" s="122"/>
      <c r="AX1044" s="30"/>
      <c r="AY1044" s="30"/>
      <c r="AZ1044" s="30"/>
      <c r="BA1044" s="30"/>
      <c r="BB1044" s="26"/>
      <c r="BC1044" s="26"/>
      <c r="BD1044" s="26"/>
      <c r="BE1044" s="26"/>
      <c r="BF1044" s="26"/>
    </row>
    <row r="1045" spans="1:58" ht="15.75" customHeight="1">
      <c r="A1045" s="67"/>
      <c r="B1045" s="67"/>
      <c r="C1045" s="67"/>
      <c r="D1045" s="68"/>
      <c r="E1045" s="68"/>
      <c r="F1045" s="68"/>
      <c r="G1045" s="68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30"/>
      <c r="AO1045" s="25"/>
      <c r="AP1045" s="120"/>
      <c r="AQ1045" s="120"/>
      <c r="AR1045" s="121"/>
      <c r="AS1045" s="96"/>
      <c r="AT1045" s="122"/>
      <c r="AU1045" s="96"/>
      <c r="AV1045" s="122"/>
      <c r="AW1045" s="122"/>
      <c r="AX1045" s="30"/>
      <c r="AY1045" s="30"/>
      <c r="AZ1045" s="30"/>
      <c r="BA1045" s="30"/>
      <c r="BB1045" s="26"/>
      <c r="BC1045" s="26"/>
      <c r="BD1045" s="26"/>
      <c r="BE1045" s="26"/>
      <c r="BF1045" s="26"/>
    </row>
    <row r="1046" spans="1:58" ht="15.75" customHeight="1">
      <c r="A1046" s="67"/>
      <c r="B1046" s="67"/>
      <c r="C1046" s="67"/>
      <c r="D1046" s="68"/>
      <c r="E1046" s="68"/>
      <c r="F1046" s="68"/>
      <c r="G1046" s="68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30"/>
      <c r="AO1046" s="25"/>
      <c r="AP1046" s="120"/>
      <c r="AQ1046" s="120"/>
      <c r="AR1046" s="121"/>
      <c r="AS1046" s="96"/>
      <c r="AT1046" s="122"/>
      <c r="AU1046" s="96"/>
      <c r="AV1046" s="122"/>
      <c r="AW1046" s="122"/>
      <c r="AX1046" s="30"/>
      <c r="AY1046" s="30"/>
      <c r="AZ1046" s="30"/>
      <c r="BA1046" s="30"/>
      <c r="BB1046" s="26"/>
      <c r="BC1046" s="26"/>
      <c r="BD1046" s="26"/>
      <c r="BE1046" s="26"/>
      <c r="BF1046" s="26"/>
    </row>
    <row r="1047" spans="1:58" ht="15.75" customHeight="1">
      <c r="A1047" s="67"/>
      <c r="B1047" s="67"/>
      <c r="C1047" s="67"/>
      <c r="D1047" s="68"/>
      <c r="E1047" s="68"/>
      <c r="F1047" s="68"/>
      <c r="G1047" s="68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30"/>
      <c r="AO1047" s="25"/>
      <c r="AP1047" s="120"/>
      <c r="AQ1047" s="120"/>
      <c r="AR1047" s="121"/>
      <c r="AS1047" s="96"/>
      <c r="AT1047" s="122"/>
      <c r="AU1047" s="96"/>
      <c r="AV1047" s="122"/>
      <c r="AW1047" s="122"/>
      <c r="AX1047" s="30"/>
      <c r="AY1047" s="30"/>
      <c r="AZ1047" s="30"/>
      <c r="BA1047" s="30"/>
      <c r="BB1047" s="26"/>
      <c r="BC1047" s="26"/>
      <c r="BD1047" s="26"/>
      <c r="BE1047" s="26"/>
      <c r="BF1047" s="26"/>
    </row>
    <row r="1048" spans="1:58" ht="15.75" customHeight="1">
      <c r="A1048" s="67"/>
      <c r="B1048" s="67"/>
      <c r="C1048" s="67"/>
      <c r="D1048" s="68"/>
      <c r="E1048" s="68"/>
      <c r="F1048" s="68"/>
      <c r="G1048" s="68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30"/>
      <c r="AO1048" s="25"/>
      <c r="AP1048" s="120"/>
      <c r="AQ1048" s="120"/>
      <c r="AR1048" s="121"/>
      <c r="AS1048" s="96"/>
      <c r="AT1048" s="122"/>
      <c r="AU1048" s="96"/>
      <c r="AV1048" s="122"/>
      <c r="AW1048" s="122"/>
      <c r="AX1048" s="30"/>
      <c r="AY1048" s="30"/>
      <c r="AZ1048" s="30"/>
      <c r="BA1048" s="30"/>
      <c r="BB1048" s="26"/>
      <c r="BC1048" s="26"/>
      <c r="BD1048" s="26"/>
      <c r="BE1048" s="26"/>
      <c r="BF1048" s="26"/>
    </row>
    <row r="1049" spans="1:58" ht="15.75" customHeight="1">
      <c r="A1049" s="67"/>
      <c r="B1049" s="67"/>
      <c r="C1049" s="67"/>
      <c r="D1049" s="68"/>
      <c r="E1049" s="68"/>
      <c r="F1049" s="68"/>
      <c r="G1049" s="68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30"/>
      <c r="AO1049" s="25"/>
      <c r="AP1049" s="120"/>
      <c r="AQ1049" s="120"/>
      <c r="AR1049" s="121"/>
      <c r="AS1049" s="96"/>
      <c r="AT1049" s="122"/>
      <c r="AU1049" s="96"/>
      <c r="AV1049" s="122"/>
      <c r="AW1049" s="122"/>
      <c r="AX1049" s="30"/>
      <c r="AY1049" s="30"/>
      <c r="AZ1049" s="30"/>
      <c r="BA1049" s="30"/>
      <c r="BB1049" s="26"/>
      <c r="BC1049" s="26"/>
      <c r="BD1049" s="26"/>
      <c r="BE1049" s="26"/>
      <c r="BF1049" s="26"/>
    </row>
    <row r="1050" spans="1:58" ht="15.75" customHeight="1">
      <c r="A1050" s="67"/>
      <c r="B1050" s="67"/>
      <c r="C1050" s="67"/>
      <c r="D1050" s="68"/>
      <c r="E1050" s="68"/>
      <c r="F1050" s="68"/>
      <c r="G1050" s="68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30"/>
      <c r="AO1050" s="25"/>
      <c r="AP1050" s="120"/>
      <c r="AQ1050" s="120"/>
      <c r="AR1050" s="121"/>
      <c r="AS1050" s="96"/>
      <c r="AT1050" s="122"/>
      <c r="AU1050" s="96"/>
      <c r="AV1050" s="122"/>
      <c r="AW1050" s="122"/>
      <c r="AX1050" s="30"/>
      <c r="AY1050" s="30"/>
      <c r="AZ1050" s="30"/>
      <c r="BA1050" s="30"/>
      <c r="BB1050" s="26"/>
      <c r="BC1050" s="26"/>
      <c r="BD1050" s="26"/>
      <c r="BE1050" s="26"/>
      <c r="BF1050" s="26"/>
    </row>
    <row r="1051" spans="1:58" ht="15.75" customHeight="1">
      <c r="A1051" s="67"/>
      <c r="B1051" s="67"/>
      <c r="C1051" s="67"/>
      <c r="D1051" s="68"/>
      <c r="E1051" s="68"/>
      <c r="F1051" s="68"/>
      <c r="G1051" s="68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30"/>
      <c r="AO1051" s="25"/>
      <c r="AP1051" s="120"/>
      <c r="AQ1051" s="120"/>
      <c r="AR1051" s="121"/>
      <c r="AS1051" s="96"/>
      <c r="AT1051" s="122"/>
      <c r="AU1051" s="96"/>
      <c r="AV1051" s="122"/>
      <c r="AW1051" s="122"/>
      <c r="AX1051" s="30"/>
      <c r="AY1051" s="30"/>
      <c r="AZ1051" s="30"/>
      <c r="BA1051" s="30"/>
      <c r="BB1051" s="26"/>
      <c r="BC1051" s="26"/>
      <c r="BD1051" s="26"/>
      <c r="BE1051" s="26"/>
      <c r="BF1051" s="26"/>
    </row>
    <row r="1052" spans="1:58" ht="15.75" customHeight="1">
      <c r="A1052" s="67"/>
      <c r="B1052" s="67"/>
      <c r="C1052" s="67"/>
      <c r="D1052" s="68"/>
      <c r="E1052" s="68"/>
      <c r="F1052" s="68"/>
      <c r="G1052" s="68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30"/>
      <c r="AO1052" s="25"/>
      <c r="AP1052" s="120"/>
      <c r="AQ1052" s="120"/>
      <c r="AR1052" s="121"/>
      <c r="AS1052" s="96"/>
      <c r="AT1052" s="122"/>
      <c r="AU1052" s="96"/>
      <c r="AV1052" s="122"/>
      <c r="AW1052" s="122"/>
      <c r="AX1052" s="30"/>
      <c r="AY1052" s="30"/>
      <c r="AZ1052" s="30"/>
      <c r="BA1052" s="30"/>
      <c r="BB1052" s="26"/>
      <c r="BC1052" s="26"/>
      <c r="BD1052" s="26"/>
      <c r="BE1052" s="26"/>
      <c r="BF1052" s="26"/>
    </row>
    <row r="1053" spans="1:58" ht="15.75" customHeight="1">
      <c r="A1053" s="67"/>
      <c r="B1053" s="67"/>
      <c r="C1053" s="67"/>
      <c r="D1053" s="68"/>
      <c r="E1053" s="68"/>
      <c r="F1053" s="68"/>
      <c r="G1053" s="68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30"/>
      <c r="AO1053" s="25"/>
      <c r="AP1053" s="120"/>
      <c r="AQ1053" s="120"/>
      <c r="AR1053" s="121"/>
      <c r="AS1053" s="96"/>
      <c r="AT1053" s="122"/>
      <c r="AU1053" s="96"/>
      <c r="AV1053" s="122"/>
      <c r="AW1053" s="122"/>
      <c r="AX1053" s="30"/>
      <c r="AY1053" s="30"/>
      <c r="AZ1053" s="30"/>
      <c r="BA1053" s="30"/>
      <c r="BB1053" s="26"/>
      <c r="BC1053" s="26"/>
      <c r="BD1053" s="26"/>
      <c r="BE1053" s="26"/>
      <c r="BF1053" s="26"/>
    </row>
    <row r="1054" spans="1:58" ht="15.75" customHeight="1">
      <c r="A1054" s="67"/>
      <c r="B1054" s="67"/>
      <c r="C1054" s="67"/>
      <c r="D1054" s="68"/>
      <c r="E1054" s="68"/>
      <c r="F1054" s="68"/>
      <c r="G1054" s="68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30"/>
      <c r="AO1054" s="25"/>
      <c r="AP1054" s="120"/>
      <c r="AQ1054" s="120"/>
      <c r="AR1054" s="121"/>
      <c r="AS1054" s="96"/>
      <c r="AT1054" s="122"/>
      <c r="AU1054" s="96"/>
      <c r="AV1054" s="122"/>
      <c r="AW1054" s="122"/>
      <c r="AX1054" s="30"/>
      <c r="AY1054" s="30"/>
      <c r="AZ1054" s="30"/>
      <c r="BA1054" s="30"/>
      <c r="BB1054" s="26"/>
      <c r="BC1054" s="26"/>
      <c r="BD1054" s="26"/>
      <c r="BE1054" s="26"/>
      <c r="BF1054" s="26"/>
    </row>
    <row r="1055" spans="1:58" ht="15.75" customHeight="1">
      <c r="A1055" s="67"/>
      <c r="B1055" s="67"/>
      <c r="C1055" s="67"/>
      <c r="D1055" s="68"/>
      <c r="E1055" s="68"/>
      <c r="F1055" s="68"/>
      <c r="G1055" s="68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30"/>
      <c r="AO1055" s="25"/>
      <c r="AP1055" s="120"/>
      <c r="AQ1055" s="120"/>
      <c r="AR1055" s="121"/>
      <c r="AS1055" s="96"/>
      <c r="AT1055" s="122"/>
      <c r="AU1055" s="96"/>
      <c r="AV1055" s="122"/>
      <c r="AW1055" s="122"/>
      <c r="AX1055" s="30"/>
      <c r="AY1055" s="30"/>
      <c r="AZ1055" s="30"/>
      <c r="BA1055" s="30"/>
      <c r="BB1055" s="26"/>
      <c r="BC1055" s="26"/>
      <c r="BD1055" s="26"/>
      <c r="BE1055" s="26"/>
      <c r="BF1055" s="26"/>
    </row>
    <row r="1056" spans="1:58" ht="15.75" customHeight="1">
      <c r="A1056" s="67"/>
      <c r="B1056" s="67"/>
      <c r="C1056" s="67"/>
      <c r="D1056" s="68"/>
      <c r="E1056" s="68"/>
      <c r="F1056" s="68"/>
      <c r="G1056" s="68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30"/>
      <c r="AO1056" s="25"/>
      <c r="AP1056" s="120"/>
      <c r="AQ1056" s="120"/>
      <c r="AR1056" s="121"/>
      <c r="AS1056" s="96"/>
      <c r="AT1056" s="122"/>
      <c r="AU1056" s="96"/>
      <c r="AV1056" s="122"/>
      <c r="AW1056" s="122"/>
      <c r="AX1056" s="30"/>
      <c r="AY1056" s="30"/>
      <c r="AZ1056" s="30"/>
      <c r="BA1056" s="30"/>
      <c r="BB1056" s="26"/>
      <c r="BC1056" s="26"/>
      <c r="BD1056" s="26"/>
      <c r="BE1056" s="26"/>
      <c r="BF1056" s="26"/>
    </row>
    <row r="1057" spans="1:58" ht="15.75" customHeight="1">
      <c r="A1057" s="67"/>
      <c r="B1057" s="67"/>
      <c r="C1057" s="67"/>
      <c r="D1057" s="68"/>
      <c r="E1057" s="68"/>
      <c r="F1057" s="68"/>
      <c r="G1057" s="68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30"/>
      <c r="AO1057" s="25"/>
      <c r="AP1057" s="120"/>
      <c r="AQ1057" s="120"/>
      <c r="AR1057" s="121"/>
      <c r="AS1057" s="96"/>
      <c r="AT1057" s="122"/>
      <c r="AU1057" s="96"/>
      <c r="AV1057" s="122"/>
      <c r="AW1057" s="122"/>
      <c r="AX1057" s="30"/>
      <c r="AY1057" s="30"/>
      <c r="AZ1057" s="30"/>
      <c r="BA1057" s="30"/>
      <c r="BB1057" s="26"/>
      <c r="BC1057" s="26"/>
      <c r="BD1057" s="26"/>
      <c r="BE1057" s="26"/>
      <c r="BF1057" s="26"/>
    </row>
    <row r="1058" spans="1:58" ht="15.75" customHeight="1">
      <c r="A1058" s="67"/>
      <c r="B1058" s="67"/>
      <c r="C1058" s="67"/>
      <c r="D1058" s="68"/>
      <c r="E1058" s="68"/>
      <c r="F1058" s="68"/>
      <c r="G1058" s="68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30"/>
      <c r="AO1058" s="25"/>
      <c r="AP1058" s="120"/>
      <c r="AQ1058" s="120"/>
      <c r="AR1058" s="121"/>
      <c r="AS1058" s="96"/>
      <c r="AT1058" s="122"/>
      <c r="AU1058" s="96"/>
      <c r="AV1058" s="122"/>
      <c r="AW1058" s="122"/>
      <c r="AX1058" s="30"/>
      <c r="AY1058" s="30"/>
      <c r="AZ1058" s="30"/>
      <c r="BA1058" s="30"/>
      <c r="BB1058" s="26"/>
      <c r="BC1058" s="26"/>
      <c r="BD1058" s="26"/>
      <c r="BE1058" s="26"/>
      <c r="BF1058" s="26"/>
    </row>
    <row r="1059" spans="1:58" ht="15.75" customHeight="1">
      <c r="A1059" s="67"/>
      <c r="B1059" s="67"/>
      <c r="C1059" s="67"/>
      <c r="D1059" s="68"/>
      <c r="E1059" s="68"/>
      <c r="F1059" s="68"/>
      <c r="G1059" s="68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30"/>
      <c r="AO1059" s="25"/>
      <c r="AP1059" s="120"/>
      <c r="AQ1059" s="120"/>
      <c r="AR1059" s="121"/>
      <c r="AS1059" s="96"/>
      <c r="AT1059" s="122"/>
      <c r="AU1059" s="96"/>
      <c r="AV1059" s="122"/>
      <c r="AW1059" s="122"/>
      <c r="AX1059" s="30"/>
      <c r="AY1059" s="30"/>
      <c r="AZ1059" s="30"/>
      <c r="BA1059" s="30"/>
      <c r="BB1059" s="26"/>
      <c r="BC1059" s="26"/>
      <c r="BD1059" s="26"/>
      <c r="BE1059" s="26"/>
      <c r="BF1059" s="26"/>
    </row>
    <row r="1060" spans="1:58" ht="15.75" customHeight="1">
      <c r="A1060" s="67"/>
      <c r="B1060" s="67"/>
      <c r="C1060" s="67"/>
      <c r="D1060" s="68"/>
      <c r="E1060" s="68"/>
      <c r="F1060" s="68"/>
      <c r="G1060" s="68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30"/>
      <c r="AO1060" s="25"/>
      <c r="AP1060" s="120"/>
      <c r="AQ1060" s="120"/>
      <c r="AR1060" s="121"/>
      <c r="AS1060" s="96"/>
      <c r="AT1060" s="122"/>
      <c r="AU1060" s="96"/>
      <c r="AV1060" s="122"/>
      <c r="AW1060" s="122"/>
      <c r="AX1060" s="30"/>
      <c r="AY1060" s="30"/>
      <c r="AZ1060" s="30"/>
      <c r="BA1060" s="30"/>
      <c r="BB1060" s="26"/>
      <c r="BC1060" s="26"/>
      <c r="BD1060" s="26"/>
      <c r="BE1060" s="26"/>
      <c r="BF1060" s="26"/>
    </row>
    <row r="1061" spans="1:58" ht="15.75" customHeight="1">
      <c r="A1061" s="67"/>
      <c r="B1061" s="67"/>
      <c r="C1061" s="67"/>
      <c r="D1061" s="68"/>
      <c r="E1061" s="68"/>
      <c r="F1061" s="68"/>
      <c r="G1061" s="68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30"/>
      <c r="AO1061" s="25"/>
      <c r="AP1061" s="120"/>
      <c r="AQ1061" s="120"/>
      <c r="AR1061" s="121"/>
      <c r="AS1061" s="96"/>
      <c r="AT1061" s="122"/>
      <c r="AU1061" s="96"/>
      <c r="AV1061" s="122"/>
      <c r="AW1061" s="122"/>
      <c r="AX1061" s="30"/>
      <c r="AY1061" s="30"/>
      <c r="AZ1061" s="30"/>
      <c r="BA1061" s="30"/>
      <c r="BB1061" s="26"/>
      <c r="BC1061" s="26"/>
      <c r="BD1061" s="26"/>
      <c r="BE1061" s="26"/>
      <c r="BF1061" s="26"/>
    </row>
    <row r="1062" spans="1:58" ht="15.75" customHeight="1">
      <c r="A1062" s="67"/>
      <c r="B1062" s="67"/>
      <c r="C1062" s="67"/>
      <c r="D1062" s="68"/>
      <c r="E1062" s="68"/>
      <c r="F1062" s="68"/>
      <c r="G1062" s="68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30"/>
      <c r="AO1062" s="25"/>
      <c r="AP1062" s="120"/>
      <c r="AQ1062" s="120"/>
      <c r="AR1062" s="121"/>
      <c r="AS1062" s="96"/>
      <c r="AT1062" s="122"/>
      <c r="AU1062" s="96"/>
      <c r="AV1062" s="122"/>
      <c r="AW1062" s="122"/>
      <c r="AX1062" s="30"/>
      <c r="AY1062" s="30"/>
      <c r="AZ1062" s="30"/>
      <c r="BA1062" s="30"/>
      <c r="BB1062" s="26"/>
      <c r="BC1062" s="26"/>
      <c r="BD1062" s="26"/>
      <c r="BE1062" s="26"/>
      <c r="BF1062" s="26"/>
    </row>
    <row r="1063" spans="1:58" ht="15.75" customHeight="1">
      <c r="A1063" s="67"/>
      <c r="B1063" s="67"/>
      <c r="C1063" s="67"/>
      <c r="D1063" s="68"/>
      <c r="E1063" s="68"/>
      <c r="F1063" s="68"/>
      <c r="G1063" s="68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30"/>
      <c r="AO1063" s="25"/>
      <c r="AP1063" s="120"/>
      <c r="AQ1063" s="120"/>
      <c r="AR1063" s="121"/>
      <c r="AS1063" s="96"/>
      <c r="AT1063" s="122"/>
      <c r="AU1063" s="96"/>
      <c r="AV1063" s="122"/>
      <c r="AW1063" s="122"/>
      <c r="AX1063" s="30"/>
      <c r="AY1063" s="30"/>
      <c r="AZ1063" s="30"/>
      <c r="BA1063" s="30"/>
      <c r="BB1063" s="26"/>
      <c r="BC1063" s="26"/>
      <c r="BD1063" s="26"/>
      <c r="BE1063" s="26"/>
      <c r="BF1063" s="26"/>
    </row>
    <row r="1064" spans="1:58" ht="15.75" customHeight="1">
      <c r="A1064" s="67"/>
      <c r="B1064" s="67"/>
      <c r="C1064" s="67"/>
      <c r="D1064" s="68"/>
      <c r="E1064" s="68"/>
      <c r="F1064" s="68"/>
      <c r="G1064" s="68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30"/>
      <c r="AO1064" s="25"/>
      <c r="AP1064" s="120"/>
      <c r="AQ1064" s="120"/>
      <c r="AR1064" s="121"/>
      <c r="AS1064" s="96"/>
      <c r="AT1064" s="122"/>
      <c r="AU1064" s="96"/>
      <c r="AV1064" s="122"/>
      <c r="AW1064" s="122"/>
      <c r="AX1064" s="30"/>
      <c r="AY1064" s="30"/>
      <c r="AZ1064" s="30"/>
      <c r="BA1064" s="30"/>
      <c r="BB1064" s="26"/>
      <c r="BC1064" s="26"/>
      <c r="BD1064" s="26"/>
      <c r="BE1064" s="26"/>
      <c r="BF1064" s="26"/>
    </row>
    <row r="1065" spans="1:58" ht="15.75" customHeight="1">
      <c r="A1065" s="67"/>
      <c r="B1065" s="67"/>
      <c r="C1065" s="67"/>
      <c r="D1065" s="68"/>
      <c r="E1065" s="68"/>
      <c r="F1065" s="68"/>
      <c r="G1065" s="68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30"/>
      <c r="AO1065" s="25"/>
      <c r="AP1065" s="120"/>
      <c r="AQ1065" s="120"/>
      <c r="AR1065" s="121"/>
      <c r="AS1065" s="96"/>
      <c r="AT1065" s="122"/>
      <c r="AU1065" s="96"/>
      <c r="AV1065" s="122"/>
      <c r="AW1065" s="122"/>
      <c r="AX1065" s="30"/>
      <c r="AY1065" s="30"/>
      <c r="AZ1065" s="30"/>
      <c r="BA1065" s="30"/>
      <c r="BB1065" s="26"/>
      <c r="BC1065" s="26"/>
      <c r="BD1065" s="26"/>
      <c r="BE1065" s="26"/>
      <c r="BF1065" s="26"/>
    </row>
    <row r="1066" spans="1:58" ht="15.75" customHeight="1">
      <c r="A1066" s="67"/>
      <c r="B1066" s="67"/>
      <c r="C1066" s="67"/>
      <c r="D1066" s="68"/>
      <c r="E1066" s="68"/>
      <c r="F1066" s="68"/>
      <c r="G1066" s="68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30"/>
      <c r="AO1066" s="25"/>
      <c r="AP1066" s="120"/>
      <c r="AQ1066" s="120"/>
      <c r="AR1066" s="121"/>
      <c r="AS1066" s="96"/>
      <c r="AT1066" s="122"/>
      <c r="AU1066" s="96"/>
      <c r="AV1066" s="122"/>
      <c r="AW1066" s="122"/>
      <c r="AX1066" s="30"/>
      <c r="AY1066" s="30"/>
      <c r="AZ1066" s="30"/>
      <c r="BA1066" s="30"/>
      <c r="BB1066" s="26"/>
      <c r="BC1066" s="26"/>
      <c r="BD1066" s="26"/>
      <c r="BE1066" s="26"/>
      <c r="BF1066" s="26"/>
    </row>
    <row r="1067" spans="1:58" ht="15.75" customHeight="1">
      <c r="A1067" s="67"/>
      <c r="B1067" s="67"/>
      <c r="C1067" s="67"/>
      <c r="D1067" s="68"/>
      <c r="E1067" s="68"/>
      <c r="F1067" s="68"/>
      <c r="G1067" s="68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30"/>
      <c r="AO1067" s="25"/>
      <c r="AP1067" s="120"/>
      <c r="AQ1067" s="120"/>
      <c r="AR1067" s="121"/>
      <c r="AS1067" s="96"/>
      <c r="AT1067" s="122"/>
      <c r="AU1067" s="96"/>
      <c r="AV1067" s="122"/>
      <c r="AW1067" s="122"/>
      <c r="AX1067" s="30"/>
      <c r="AY1067" s="30"/>
      <c r="AZ1067" s="30"/>
      <c r="BA1067" s="30"/>
      <c r="BB1067" s="26"/>
      <c r="BC1067" s="26"/>
      <c r="BD1067" s="26"/>
      <c r="BE1067" s="26"/>
      <c r="BF1067" s="26"/>
    </row>
    <row r="1068" spans="1:58" ht="15.75" customHeight="1">
      <c r="A1068" s="67"/>
      <c r="B1068" s="67"/>
      <c r="C1068" s="67"/>
      <c r="D1068" s="68"/>
      <c r="E1068" s="68"/>
      <c r="F1068" s="68"/>
      <c r="G1068" s="68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30"/>
      <c r="AO1068" s="25"/>
      <c r="AP1068" s="120"/>
      <c r="AQ1068" s="120"/>
      <c r="AR1068" s="121"/>
      <c r="AS1068" s="96"/>
      <c r="AT1068" s="122"/>
      <c r="AU1068" s="96"/>
      <c r="AV1068" s="122"/>
      <c r="AW1068" s="122"/>
      <c r="AX1068" s="30"/>
      <c r="AY1068" s="30"/>
      <c r="AZ1068" s="30"/>
      <c r="BA1068" s="30"/>
      <c r="BB1068" s="26"/>
      <c r="BC1068" s="26"/>
      <c r="BD1068" s="26"/>
      <c r="BE1068" s="26"/>
      <c r="BF1068" s="26"/>
    </row>
    <row r="1069" spans="1:58" ht="15.75" customHeight="1">
      <c r="A1069" s="67"/>
      <c r="B1069" s="67"/>
      <c r="C1069" s="67"/>
      <c r="D1069" s="68"/>
      <c r="E1069" s="68"/>
      <c r="F1069" s="68"/>
      <c r="G1069" s="68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30"/>
      <c r="AO1069" s="25"/>
      <c r="AP1069" s="120"/>
      <c r="AQ1069" s="120"/>
      <c r="AR1069" s="121"/>
      <c r="AS1069" s="96"/>
      <c r="AT1069" s="122"/>
      <c r="AU1069" s="96"/>
      <c r="AV1069" s="122"/>
      <c r="AW1069" s="122"/>
      <c r="AX1069" s="30"/>
      <c r="AY1069" s="30"/>
      <c r="AZ1069" s="30"/>
      <c r="BA1069" s="30"/>
      <c r="BB1069" s="26"/>
      <c r="BC1069" s="26"/>
      <c r="BD1069" s="26"/>
      <c r="BE1069" s="26"/>
      <c r="BF1069" s="26"/>
    </row>
    <row r="1070" spans="1:58" ht="15.75" customHeight="1">
      <c r="A1070" s="67"/>
      <c r="B1070" s="67"/>
      <c r="C1070" s="67"/>
      <c r="D1070" s="68"/>
      <c r="E1070" s="68"/>
      <c r="F1070" s="68"/>
      <c r="G1070" s="68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30"/>
      <c r="AO1070" s="25"/>
      <c r="AP1070" s="120"/>
      <c r="AQ1070" s="120"/>
      <c r="AR1070" s="121"/>
      <c r="AS1070" s="96"/>
      <c r="AT1070" s="122"/>
      <c r="AU1070" s="96"/>
      <c r="AV1070" s="122"/>
      <c r="AW1070" s="122"/>
      <c r="AX1070" s="30"/>
      <c r="AY1070" s="30"/>
      <c r="AZ1070" s="30"/>
      <c r="BA1070" s="30"/>
      <c r="BB1070" s="26"/>
      <c r="BC1070" s="26"/>
      <c r="BD1070" s="26"/>
      <c r="BE1070" s="26"/>
      <c r="BF1070" s="26"/>
    </row>
    <row r="1071" spans="1:58" ht="15.75" customHeight="1">
      <c r="A1071" s="67"/>
      <c r="B1071" s="67"/>
      <c r="C1071" s="67"/>
      <c r="D1071" s="68"/>
      <c r="E1071" s="68"/>
      <c r="F1071" s="68"/>
      <c r="G1071" s="68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30"/>
      <c r="AO1071" s="25"/>
      <c r="AP1071" s="120"/>
      <c r="AQ1071" s="120"/>
      <c r="AR1071" s="121"/>
      <c r="AS1071" s="96"/>
      <c r="AT1071" s="122"/>
      <c r="AU1071" s="96"/>
      <c r="AV1071" s="122"/>
      <c r="AW1071" s="122"/>
      <c r="AX1071" s="30"/>
      <c r="AY1071" s="30"/>
      <c r="AZ1071" s="30"/>
      <c r="BA1071" s="30"/>
      <c r="BB1071" s="26"/>
      <c r="BC1071" s="26"/>
      <c r="BD1071" s="26"/>
      <c r="BE1071" s="26"/>
      <c r="BF1071" s="26"/>
    </row>
    <row r="1072" spans="1:58" ht="15.75" customHeight="1">
      <c r="A1072" s="67"/>
      <c r="B1072" s="67"/>
      <c r="C1072" s="67"/>
      <c r="D1072" s="68"/>
      <c r="E1072" s="68"/>
      <c r="F1072" s="68"/>
      <c r="G1072" s="68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30"/>
      <c r="AO1072" s="25"/>
      <c r="AP1072" s="120"/>
      <c r="AQ1072" s="120"/>
      <c r="AR1072" s="121"/>
      <c r="AS1072" s="96"/>
      <c r="AT1072" s="122"/>
      <c r="AU1072" s="96"/>
      <c r="AV1072" s="122"/>
      <c r="AW1072" s="122"/>
      <c r="AX1072" s="30"/>
      <c r="AY1072" s="30"/>
      <c r="AZ1072" s="30"/>
      <c r="BA1072" s="30"/>
      <c r="BB1072" s="26"/>
      <c r="BC1072" s="26"/>
      <c r="BD1072" s="26"/>
      <c r="BE1072" s="26"/>
      <c r="BF1072" s="26"/>
    </row>
    <row r="1073" spans="1:58" ht="15.75" customHeight="1">
      <c r="A1073" s="67"/>
      <c r="B1073" s="67"/>
      <c r="C1073" s="67"/>
      <c r="D1073" s="68"/>
      <c r="E1073" s="68"/>
      <c r="F1073" s="68"/>
      <c r="G1073" s="68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30"/>
      <c r="AO1073" s="25"/>
      <c r="AP1073" s="120"/>
      <c r="AQ1073" s="120"/>
      <c r="AR1073" s="121"/>
      <c r="AS1073" s="96"/>
      <c r="AT1073" s="122"/>
      <c r="AU1073" s="96"/>
      <c r="AV1073" s="122"/>
      <c r="AW1073" s="122"/>
      <c r="AX1073" s="30"/>
      <c r="AY1073" s="30"/>
      <c r="AZ1073" s="30"/>
      <c r="BA1073" s="30"/>
      <c r="BB1073" s="26"/>
      <c r="BC1073" s="26"/>
      <c r="BD1073" s="26"/>
      <c r="BE1073" s="26"/>
      <c r="BF1073" s="26"/>
    </row>
    <row r="1074" spans="1:58" ht="15.75" customHeight="1">
      <c r="A1074" s="67"/>
      <c r="B1074" s="67"/>
      <c r="C1074" s="67"/>
      <c r="D1074" s="68"/>
      <c r="E1074" s="68"/>
      <c r="F1074" s="68"/>
      <c r="G1074" s="68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30"/>
      <c r="AO1074" s="25"/>
      <c r="AP1074" s="120"/>
      <c r="AQ1074" s="120"/>
      <c r="AR1074" s="121"/>
      <c r="AS1074" s="96"/>
      <c r="AT1074" s="122"/>
      <c r="AU1074" s="96"/>
      <c r="AV1074" s="122"/>
      <c r="AW1074" s="122"/>
      <c r="AX1074" s="30"/>
      <c r="AY1074" s="30"/>
      <c r="AZ1074" s="30"/>
      <c r="BA1074" s="30"/>
      <c r="BB1074" s="26"/>
      <c r="BC1074" s="26"/>
      <c r="BD1074" s="26"/>
      <c r="BE1074" s="26"/>
      <c r="BF1074" s="26"/>
    </row>
    <row r="1075" spans="1:58" ht="15.75" customHeight="1">
      <c r="A1075" s="67"/>
      <c r="B1075" s="67"/>
      <c r="C1075" s="67"/>
      <c r="D1075" s="68"/>
      <c r="E1075" s="68"/>
      <c r="F1075" s="68"/>
      <c r="G1075" s="68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30"/>
      <c r="AO1075" s="25"/>
      <c r="AP1075" s="120"/>
      <c r="AQ1075" s="120"/>
      <c r="AR1075" s="121"/>
      <c r="AS1075" s="96"/>
      <c r="AT1075" s="122"/>
      <c r="AU1075" s="96"/>
      <c r="AV1075" s="122"/>
      <c r="AW1075" s="122"/>
      <c r="AX1075" s="30"/>
      <c r="AY1075" s="30"/>
      <c r="AZ1075" s="30"/>
      <c r="BA1075" s="30"/>
      <c r="BB1075" s="26"/>
      <c r="BC1075" s="26"/>
      <c r="BD1075" s="26"/>
      <c r="BE1075" s="26"/>
      <c r="BF1075" s="26"/>
    </row>
    <row r="1076" spans="1:58" ht="15.75" customHeight="1">
      <c r="A1076" s="67"/>
      <c r="B1076" s="67"/>
      <c r="C1076" s="67"/>
      <c r="D1076" s="68"/>
      <c r="E1076" s="68"/>
      <c r="F1076" s="68"/>
      <c r="G1076" s="68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30"/>
      <c r="AO1076" s="25"/>
      <c r="AP1076" s="120"/>
      <c r="AQ1076" s="120"/>
      <c r="AR1076" s="121"/>
      <c r="AS1076" s="96"/>
      <c r="AT1076" s="122"/>
      <c r="AU1076" s="96"/>
      <c r="AV1076" s="122"/>
      <c r="AW1076" s="122"/>
      <c r="AX1076" s="30"/>
      <c r="AY1076" s="30"/>
      <c r="AZ1076" s="30"/>
      <c r="BA1076" s="30"/>
      <c r="BB1076" s="26"/>
      <c r="BC1076" s="26"/>
      <c r="BD1076" s="26"/>
      <c r="BE1076" s="26"/>
      <c r="BF1076" s="26"/>
    </row>
    <row r="1077" spans="1:58" ht="15.75" customHeight="1">
      <c r="A1077" s="67"/>
      <c r="B1077" s="67"/>
      <c r="C1077" s="67"/>
      <c r="D1077" s="68"/>
      <c r="E1077" s="68"/>
      <c r="F1077" s="68"/>
      <c r="G1077" s="68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30"/>
      <c r="AO1077" s="25"/>
      <c r="AP1077" s="120"/>
      <c r="AQ1077" s="120"/>
      <c r="AR1077" s="121"/>
      <c r="AS1077" s="96"/>
      <c r="AT1077" s="122"/>
      <c r="AU1077" s="96"/>
      <c r="AV1077" s="122"/>
      <c r="AW1077" s="122"/>
      <c r="AX1077" s="30"/>
      <c r="AY1077" s="30"/>
      <c r="AZ1077" s="30"/>
      <c r="BA1077" s="30"/>
      <c r="BB1077" s="26"/>
      <c r="BC1077" s="26"/>
      <c r="BD1077" s="26"/>
      <c r="BE1077" s="26"/>
      <c r="BF1077" s="26"/>
    </row>
    <row r="1078" spans="1:58" ht="15.75" customHeight="1">
      <c r="A1078" s="67"/>
      <c r="B1078" s="67"/>
      <c r="C1078" s="67"/>
      <c r="D1078" s="68"/>
      <c r="E1078" s="68"/>
      <c r="F1078" s="68"/>
      <c r="G1078" s="68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30"/>
      <c r="AO1078" s="25"/>
      <c r="AP1078" s="120"/>
      <c r="AQ1078" s="120"/>
      <c r="AR1078" s="121"/>
      <c r="AS1078" s="96"/>
      <c r="AT1078" s="122"/>
      <c r="AU1078" s="96"/>
      <c r="AV1078" s="122"/>
      <c r="AW1078" s="122"/>
      <c r="AX1078" s="30"/>
      <c r="AY1078" s="30"/>
      <c r="AZ1078" s="30"/>
      <c r="BA1078" s="30"/>
      <c r="BB1078" s="26"/>
      <c r="BC1078" s="26"/>
      <c r="BD1078" s="26"/>
      <c r="BE1078" s="26"/>
      <c r="BF1078" s="26"/>
    </row>
    <row r="1079" spans="1:58" ht="15.75" customHeight="1">
      <c r="A1079" s="67"/>
      <c r="B1079" s="67"/>
      <c r="C1079" s="67"/>
      <c r="D1079" s="68"/>
      <c r="E1079" s="68"/>
      <c r="F1079" s="68"/>
      <c r="G1079" s="68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30"/>
      <c r="AO1079" s="25"/>
      <c r="AP1079" s="120"/>
      <c r="AQ1079" s="120"/>
      <c r="AR1079" s="121"/>
      <c r="AS1079" s="96"/>
      <c r="AT1079" s="122"/>
      <c r="AU1079" s="96"/>
      <c r="AV1079" s="122"/>
      <c r="AW1079" s="122"/>
      <c r="AX1079" s="30"/>
      <c r="AY1079" s="30"/>
      <c r="AZ1079" s="30"/>
      <c r="BA1079" s="30"/>
      <c r="BB1079" s="26"/>
      <c r="BC1079" s="26"/>
      <c r="BD1079" s="26"/>
      <c r="BE1079" s="26"/>
      <c r="BF1079" s="26"/>
    </row>
    <row r="1080" spans="1:58" ht="15.75" customHeight="1">
      <c r="A1080" s="67"/>
      <c r="B1080" s="67"/>
      <c r="C1080" s="67"/>
      <c r="D1080" s="68"/>
      <c r="E1080" s="68"/>
      <c r="F1080" s="68"/>
      <c r="G1080" s="68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30"/>
      <c r="AO1080" s="25"/>
      <c r="AP1080" s="120"/>
      <c r="AQ1080" s="120"/>
      <c r="AR1080" s="121"/>
      <c r="AS1080" s="96"/>
      <c r="AT1080" s="122"/>
      <c r="AU1080" s="96"/>
      <c r="AV1080" s="122"/>
      <c r="AW1080" s="122"/>
      <c r="AX1080" s="30"/>
      <c r="AY1080" s="30"/>
      <c r="AZ1080" s="30"/>
      <c r="BA1080" s="30"/>
      <c r="BB1080" s="26"/>
      <c r="BC1080" s="26"/>
      <c r="BD1080" s="26"/>
      <c r="BE1080" s="26"/>
      <c r="BF1080" s="26"/>
    </row>
    <row r="1081" spans="1:58" ht="15.75" customHeight="1">
      <c r="A1081" s="67"/>
      <c r="B1081" s="67"/>
      <c r="C1081" s="67"/>
      <c r="D1081" s="68"/>
      <c r="E1081" s="68"/>
      <c r="F1081" s="68"/>
      <c r="G1081" s="68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30"/>
      <c r="AO1081" s="25"/>
      <c r="AP1081" s="120"/>
      <c r="AQ1081" s="120"/>
      <c r="AR1081" s="121"/>
      <c r="AS1081" s="96"/>
      <c r="AT1081" s="122"/>
      <c r="AU1081" s="96"/>
      <c r="AV1081" s="122"/>
      <c r="AW1081" s="122"/>
      <c r="AX1081" s="30"/>
      <c r="AY1081" s="30"/>
      <c r="AZ1081" s="30"/>
      <c r="BA1081" s="30"/>
      <c r="BB1081" s="26"/>
      <c r="BC1081" s="26"/>
      <c r="BD1081" s="26"/>
      <c r="BE1081" s="26"/>
      <c r="BF1081" s="26"/>
    </row>
    <row r="1082" spans="1:58" ht="15.75" customHeight="1">
      <c r="A1082" s="67"/>
      <c r="B1082" s="67"/>
      <c r="C1082" s="67"/>
      <c r="D1082" s="68"/>
      <c r="E1082" s="68"/>
      <c r="F1082" s="68"/>
      <c r="G1082" s="68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30"/>
      <c r="AO1082" s="25"/>
      <c r="AP1082" s="120"/>
      <c r="AQ1082" s="120"/>
      <c r="AR1082" s="121"/>
      <c r="AS1082" s="96"/>
      <c r="AT1082" s="122"/>
      <c r="AU1082" s="96"/>
      <c r="AV1082" s="122"/>
      <c r="AW1082" s="122"/>
      <c r="AX1082" s="30"/>
      <c r="AY1082" s="30"/>
      <c r="AZ1082" s="30"/>
      <c r="BA1082" s="30"/>
      <c r="BB1082" s="26"/>
      <c r="BC1082" s="26"/>
      <c r="BD1082" s="26"/>
      <c r="BE1082" s="26"/>
      <c r="BF1082" s="26"/>
    </row>
    <row r="1083" spans="1:58" ht="15.75" customHeight="1">
      <c r="A1083" s="67"/>
      <c r="B1083" s="67"/>
      <c r="C1083" s="67"/>
      <c r="D1083" s="68"/>
      <c r="E1083" s="68"/>
      <c r="F1083" s="68"/>
      <c r="G1083" s="68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30"/>
      <c r="AO1083" s="25"/>
      <c r="AP1083" s="120"/>
      <c r="AQ1083" s="120"/>
      <c r="AR1083" s="121"/>
      <c r="AS1083" s="96"/>
      <c r="AT1083" s="122"/>
      <c r="AU1083" s="96"/>
      <c r="AV1083" s="122"/>
      <c r="AW1083" s="122"/>
      <c r="AX1083" s="30"/>
      <c r="AY1083" s="30"/>
      <c r="AZ1083" s="30"/>
      <c r="BA1083" s="30"/>
      <c r="BB1083" s="26"/>
      <c r="BC1083" s="26"/>
      <c r="BD1083" s="26"/>
      <c r="BE1083" s="26"/>
      <c r="BF1083" s="26"/>
    </row>
    <row r="1084" spans="1:58" ht="15.75" customHeight="1">
      <c r="A1084" s="67"/>
      <c r="B1084" s="67"/>
      <c r="C1084" s="67"/>
      <c r="D1084" s="68"/>
      <c r="E1084" s="68"/>
      <c r="F1084" s="68"/>
      <c r="G1084" s="68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30"/>
      <c r="AO1084" s="25"/>
      <c r="AP1084" s="120"/>
      <c r="AQ1084" s="120"/>
      <c r="AR1084" s="121"/>
      <c r="AS1084" s="96"/>
      <c r="AT1084" s="122"/>
      <c r="AU1084" s="96"/>
      <c r="AV1084" s="122"/>
      <c r="AW1084" s="122"/>
      <c r="AX1084" s="30"/>
      <c r="AY1084" s="30"/>
      <c r="AZ1084" s="30"/>
      <c r="BA1084" s="30"/>
      <c r="BB1084" s="26"/>
      <c r="BC1084" s="26"/>
      <c r="BD1084" s="26"/>
      <c r="BE1084" s="26"/>
      <c r="BF1084" s="26"/>
    </row>
    <row r="1085" spans="1:58" ht="15.75" customHeight="1">
      <c r="A1085" s="67"/>
      <c r="B1085" s="67"/>
      <c r="C1085" s="67"/>
      <c r="D1085" s="68"/>
      <c r="E1085" s="68"/>
      <c r="F1085" s="68"/>
      <c r="G1085" s="68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30"/>
      <c r="AO1085" s="25"/>
      <c r="AP1085" s="120"/>
      <c r="AQ1085" s="120"/>
      <c r="AR1085" s="121"/>
      <c r="AS1085" s="96"/>
      <c r="AT1085" s="122"/>
      <c r="AU1085" s="96"/>
      <c r="AV1085" s="122"/>
      <c r="AW1085" s="122"/>
      <c r="AX1085" s="30"/>
      <c r="AY1085" s="30"/>
      <c r="AZ1085" s="30"/>
      <c r="BA1085" s="30"/>
      <c r="BB1085" s="26"/>
      <c r="BC1085" s="26"/>
      <c r="BD1085" s="26"/>
      <c r="BE1085" s="26"/>
      <c r="BF1085" s="26"/>
    </row>
    <row r="1086" spans="1:58" ht="15.75" customHeight="1">
      <c r="A1086" s="67"/>
      <c r="B1086" s="67"/>
      <c r="C1086" s="67"/>
      <c r="D1086" s="68"/>
      <c r="E1086" s="68"/>
      <c r="F1086" s="68"/>
      <c r="G1086" s="68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30"/>
      <c r="AO1086" s="25"/>
      <c r="AP1086" s="120"/>
      <c r="AQ1086" s="120"/>
      <c r="AR1086" s="121"/>
      <c r="AS1086" s="96"/>
      <c r="AT1086" s="122"/>
      <c r="AU1086" s="96"/>
      <c r="AV1086" s="122"/>
      <c r="AW1086" s="122"/>
      <c r="AX1086" s="30"/>
      <c r="AY1086" s="30"/>
      <c r="AZ1086" s="30"/>
      <c r="BA1086" s="30"/>
      <c r="BB1086" s="26"/>
      <c r="BC1086" s="26"/>
      <c r="BD1086" s="26"/>
      <c r="BE1086" s="26"/>
      <c r="BF1086" s="26"/>
    </row>
    <row r="1087" spans="1:58" ht="15.75" customHeight="1">
      <c r="A1087" s="67"/>
      <c r="B1087" s="67"/>
      <c r="C1087" s="67"/>
      <c r="D1087" s="68"/>
      <c r="E1087" s="68"/>
      <c r="F1087" s="68"/>
      <c r="G1087" s="68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30"/>
      <c r="AO1087" s="25"/>
      <c r="AP1087" s="120"/>
      <c r="AQ1087" s="120"/>
      <c r="AR1087" s="121"/>
      <c r="AS1087" s="96"/>
      <c r="AT1087" s="122"/>
      <c r="AU1087" s="96"/>
      <c r="AV1087" s="122"/>
      <c r="AW1087" s="122"/>
      <c r="AX1087" s="30"/>
      <c r="AY1087" s="30"/>
      <c r="AZ1087" s="30"/>
      <c r="BA1087" s="30"/>
      <c r="BB1087" s="26"/>
      <c r="BC1087" s="26"/>
      <c r="BD1087" s="26"/>
      <c r="BE1087" s="26"/>
      <c r="BF1087" s="26"/>
    </row>
    <row r="1088" spans="1:58" ht="15.75" customHeight="1">
      <c r="A1088" s="67"/>
      <c r="B1088" s="67"/>
      <c r="C1088" s="67"/>
      <c r="D1088" s="68"/>
      <c r="E1088" s="68"/>
      <c r="F1088" s="68"/>
      <c r="G1088" s="68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30"/>
      <c r="AO1088" s="25"/>
      <c r="AP1088" s="120"/>
      <c r="AQ1088" s="120"/>
      <c r="AR1088" s="121"/>
      <c r="AS1088" s="96"/>
      <c r="AT1088" s="122"/>
      <c r="AU1088" s="96"/>
      <c r="AV1088" s="122"/>
      <c r="AW1088" s="122"/>
      <c r="AX1088" s="30"/>
      <c r="AY1088" s="30"/>
      <c r="AZ1088" s="30"/>
      <c r="BA1088" s="30"/>
      <c r="BB1088" s="26"/>
      <c r="BC1088" s="26"/>
      <c r="BD1088" s="26"/>
      <c r="BE1088" s="26"/>
      <c r="BF1088" s="26"/>
    </row>
    <row r="1089" spans="1:58" ht="15.75" customHeight="1">
      <c r="A1089" s="67"/>
      <c r="B1089" s="67"/>
      <c r="C1089" s="67"/>
      <c r="D1089" s="68"/>
      <c r="E1089" s="68"/>
      <c r="F1089" s="68"/>
      <c r="G1089" s="68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30"/>
      <c r="AO1089" s="25"/>
      <c r="AP1089" s="120"/>
      <c r="AQ1089" s="120"/>
      <c r="AR1089" s="121"/>
      <c r="AS1089" s="96"/>
      <c r="AT1089" s="122"/>
      <c r="AU1089" s="96"/>
      <c r="AV1089" s="122"/>
      <c r="AW1089" s="122"/>
      <c r="AX1089" s="30"/>
      <c r="AY1089" s="30"/>
      <c r="AZ1089" s="30"/>
      <c r="BA1089" s="30"/>
      <c r="BB1089" s="26"/>
      <c r="BC1089" s="26"/>
      <c r="BD1089" s="26"/>
      <c r="BE1089" s="26"/>
      <c r="BF1089" s="26"/>
    </row>
    <row r="1090" spans="1:58" ht="15.75" customHeight="1">
      <c r="A1090" s="67"/>
      <c r="B1090" s="67"/>
      <c r="C1090" s="67"/>
      <c r="D1090" s="68"/>
      <c r="E1090" s="68"/>
      <c r="F1090" s="68"/>
      <c r="G1090" s="68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30"/>
      <c r="AO1090" s="25"/>
      <c r="AP1090" s="120"/>
      <c r="AQ1090" s="120"/>
      <c r="AR1090" s="121"/>
      <c r="AS1090" s="96"/>
      <c r="AT1090" s="122"/>
      <c r="AU1090" s="96"/>
      <c r="AV1090" s="122"/>
      <c r="AW1090" s="122"/>
      <c r="AX1090" s="30"/>
      <c r="AY1090" s="30"/>
      <c r="AZ1090" s="30"/>
      <c r="BA1090" s="30"/>
      <c r="BB1090" s="26"/>
      <c r="BC1090" s="26"/>
      <c r="BD1090" s="26"/>
      <c r="BE1090" s="26"/>
      <c r="BF1090" s="26"/>
    </row>
    <row r="1091" spans="1:58" ht="15.75" customHeight="1">
      <c r="A1091" s="67"/>
      <c r="B1091" s="67"/>
      <c r="C1091" s="67"/>
      <c r="D1091" s="68"/>
      <c r="E1091" s="68"/>
      <c r="F1091" s="68"/>
      <c r="G1091" s="68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30"/>
      <c r="AO1091" s="25"/>
      <c r="AP1091" s="120"/>
      <c r="AQ1091" s="120"/>
      <c r="AR1091" s="121"/>
      <c r="AS1091" s="96"/>
      <c r="AT1091" s="122"/>
      <c r="AU1091" s="96"/>
      <c r="AV1091" s="122"/>
      <c r="AW1091" s="122"/>
      <c r="AX1091" s="30"/>
      <c r="AY1091" s="30"/>
      <c r="AZ1091" s="30"/>
      <c r="BA1091" s="30"/>
      <c r="BB1091" s="26"/>
      <c r="BC1091" s="26"/>
      <c r="BD1091" s="26"/>
      <c r="BE1091" s="26"/>
      <c r="BF1091" s="26"/>
    </row>
    <row r="1092" spans="1:58" ht="15.75" customHeight="1">
      <c r="A1092" s="67"/>
      <c r="B1092" s="67"/>
      <c r="C1092" s="67"/>
      <c r="D1092" s="68"/>
      <c r="E1092" s="68"/>
      <c r="F1092" s="68"/>
      <c r="G1092" s="68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30"/>
      <c r="AO1092" s="25"/>
      <c r="AP1092" s="120"/>
      <c r="AQ1092" s="120"/>
      <c r="AR1092" s="121"/>
      <c r="AS1092" s="96"/>
      <c r="AT1092" s="122"/>
      <c r="AU1092" s="96"/>
      <c r="AV1092" s="122"/>
      <c r="AW1092" s="122"/>
      <c r="AX1092" s="30"/>
      <c r="AY1092" s="30"/>
      <c r="AZ1092" s="30"/>
      <c r="BA1092" s="30"/>
      <c r="BB1092" s="26"/>
      <c r="BC1092" s="26"/>
      <c r="BD1092" s="26"/>
      <c r="BE1092" s="26"/>
      <c r="BF1092" s="26"/>
    </row>
    <row r="1093" spans="1:58" ht="15.75" customHeight="1">
      <c r="A1093" s="67"/>
      <c r="B1093" s="67"/>
      <c r="C1093" s="67"/>
      <c r="D1093" s="68"/>
      <c r="E1093" s="68"/>
      <c r="F1093" s="68"/>
      <c r="G1093" s="68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30"/>
      <c r="AO1093" s="25"/>
      <c r="AP1093" s="120"/>
      <c r="AQ1093" s="120"/>
      <c r="AR1093" s="121"/>
      <c r="AS1093" s="96"/>
      <c r="AT1093" s="122"/>
      <c r="AU1093" s="96"/>
      <c r="AV1093" s="122"/>
      <c r="AW1093" s="122"/>
      <c r="AX1093" s="30"/>
      <c r="AY1093" s="30"/>
      <c r="AZ1093" s="30"/>
      <c r="BA1093" s="30"/>
      <c r="BB1093" s="26"/>
      <c r="BC1093" s="26"/>
      <c r="BD1093" s="26"/>
      <c r="BE1093" s="26"/>
      <c r="BF1093" s="26"/>
    </row>
    <row r="1094" spans="1:58" ht="15.75" customHeight="1">
      <c r="A1094" s="67"/>
      <c r="B1094" s="67"/>
      <c r="C1094" s="67"/>
      <c r="D1094" s="68"/>
      <c r="E1094" s="68"/>
      <c r="F1094" s="68"/>
      <c r="G1094" s="68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30"/>
      <c r="AO1094" s="25"/>
      <c r="AP1094" s="120"/>
      <c r="AQ1094" s="120"/>
      <c r="AR1094" s="121"/>
      <c r="AS1094" s="96"/>
      <c r="AT1094" s="122"/>
      <c r="AU1094" s="96"/>
      <c r="AV1094" s="122"/>
      <c r="AW1094" s="122"/>
      <c r="AX1094" s="30"/>
      <c r="AY1094" s="30"/>
      <c r="AZ1094" s="30"/>
      <c r="BA1094" s="30"/>
      <c r="BB1094" s="26"/>
      <c r="BC1094" s="26"/>
      <c r="BD1094" s="26"/>
      <c r="BE1094" s="26"/>
      <c r="BF1094" s="26"/>
    </row>
    <row r="1048563" spans="48:48" ht="15" customHeight="1">
      <c r="AV1048563" s="124"/>
    </row>
  </sheetData>
  <mergeCells count="119">
    <mergeCell ref="H49:AF73"/>
    <mergeCell ref="BD11:BE11"/>
    <mergeCell ref="A1:C1"/>
    <mergeCell ref="D1:G1"/>
    <mergeCell ref="H2:AL2"/>
    <mergeCell ref="AP2:AQ2"/>
    <mergeCell ref="AR2:AS2"/>
    <mergeCell ref="AT2:AU2"/>
    <mergeCell ref="AV2:AW2"/>
    <mergeCell ref="AX2:AZ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5:B95"/>
    <mergeCell ref="A96:B96"/>
    <mergeCell ref="A97:B97"/>
    <mergeCell ref="A98:B98"/>
    <mergeCell ref="A99:B99"/>
    <mergeCell ref="A100:B100"/>
    <mergeCell ref="A101:BB101"/>
    <mergeCell ref="C2:C3"/>
    <mergeCell ref="D2:D3"/>
    <mergeCell ref="E2:E3"/>
    <mergeCell ref="F2:F3"/>
    <mergeCell ref="G2:G3"/>
    <mergeCell ref="AM2:AM3"/>
    <mergeCell ref="AN2:AN3"/>
    <mergeCell ref="AO2:AO3"/>
    <mergeCell ref="BA2:BA3"/>
    <mergeCell ref="BB2:BB3"/>
    <mergeCell ref="A2:B3"/>
    <mergeCell ref="A86:B86"/>
    <mergeCell ref="A87:B87"/>
    <mergeCell ref="A88:B88"/>
    <mergeCell ref="A89:B89"/>
    <mergeCell ref="A90:B90"/>
    <mergeCell ref="A91:B91"/>
  </mergeCells>
  <conditionalFormatting sqref="A4:A100">
    <cfRule type="cellIs" dxfId="33" priority="21" operator="between">
      <formula>(#REF!+3)</formula>
      <formula>(#REF!+1)</formula>
    </cfRule>
    <cfRule type="cellIs" dxfId="32" priority="22" operator="lessThanOrEqual">
      <formula>(#REF!)</formula>
    </cfRule>
    <cfRule type="cellIs" dxfId="31" priority="23" operator="between">
      <formula>(AP4+10)</formula>
      <formula>(AP4+1)</formula>
    </cfRule>
    <cfRule type="cellIs" dxfId="30" priority="24" operator="lessThanOrEqual">
      <formula>(AP4)</formula>
    </cfRule>
  </conditionalFormatting>
  <conditionalFormatting sqref="AO4:AO34 AO36:AO38 AO40 AO42 AO44 AO46:AO47 AO49:AO50 AO52:AO53 AO55:AO56 AO58:AO59 AO61:AO62 AO64:AO65 AO67:AO68 AO70:AO71 AO73:AO74 AO76:AO78 AO80:AO81 AO93:AO95">
    <cfRule type="cellIs" dxfId="29" priority="15" operator="between">
      <formula>(AP4+2)</formula>
      <formula>(AP4+1)</formula>
    </cfRule>
  </conditionalFormatting>
  <conditionalFormatting sqref="AO4:AO100">
    <cfRule type="cellIs" dxfId="28" priority="16" operator="lessThanOrEqual">
      <formula>(AP4)</formula>
    </cfRule>
    <cfRule type="cellIs" dxfId="27" priority="42" operator="between">
      <formula>(AP4+10)</formula>
      <formula>(AP4+1)</formula>
    </cfRule>
  </conditionalFormatting>
  <conditionalFormatting sqref="AO96:AO100">
    <cfRule type="cellIs" dxfId="26" priority="43" operator="between">
      <formula>(#REF!+3)</formula>
      <formula>(#REF!+1)</formula>
    </cfRule>
    <cfRule type="cellIs" dxfId="25" priority="44" operator="lessThanOrEqual">
      <formula>(#REF!)</formula>
    </cfRule>
  </conditionalFormatting>
  <conditionalFormatting sqref="AR4:AR100">
    <cfRule type="expression" dxfId="24" priority="4">
      <formula>$AV4&lt;&gt;""</formula>
    </cfRule>
    <cfRule type="expression" dxfId="23" priority="5">
      <formula>AND($AR4&lt;&gt;"",$AV4="",TODAY()-$AR4&gt;10,TODAY()-$AR4&lt;=30)</formula>
    </cfRule>
    <cfRule type="expression" dxfId="22" priority="6">
      <formula>AND($AR4&lt;&gt;"",$AV4="",TODAY()-$AR4&gt;=3,TODAY()-$AR4&lt;=10)</formula>
    </cfRule>
  </conditionalFormatting>
  <conditionalFormatting sqref="AT4:AT100">
    <cfRule type="expression" dxfId="21" priority="1">
      <formula>$AW4&lt;&gt;""</formula>
    </cfRule>
    <cfRule type="expression" dxfId="20" priority="2">
      <formula>AND($AT4&lt;&gt;"",$AW4="",TODAY()-$AT4&gt;10,TODAY()-$AW4&lt;=30)</formula>
    </cfRule>
    <cfRule type="expression" dxfId="19" priority="3">
      <formula>AND($AT4&lt;&gt;"",$AW4="",TODAY()-$AT4&gt;=3,TODAY()-$AT4&lt;=10)</formula>
    </cfRule>
  </conditionalFormatting>
  <conditionalFormatting sqref="BA4:BA100">
    <cfRule type="cellIs" dxfId="18" priority="11" operator="between">
      <formula>(BC4+10)</formula>
      <formula>(BC4+1)</formula>
    </cfRule>
    <cfRule type="cellIs" dxfId="17" priority="12" operator="lessThanOrEqual">
      <formula>(BC4)</formula>
    </cfRule>
  </conditionalFormatting>
  <pageMargins left="0.75" right="0.75" top="1" bottom="1" header="0" footer="0"/>
  <pageSetup paperSize="9" scale="33" fitToHeight="0" orientation="landscape"/>
  <colBreaks count="1" manualBreakCount="1">
    <brk id="2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BH1048569"/>
  <sheetViews>
    <sheetView zoomScale="85" zoomScaleNormal="85" workbookViewId="0">
      <pane xSplit="3" ySplit="3" topLeftCell="G4" activePane="bottomRight" state="frozen"/>
      <selection activeCell="O147" sqref="O147:S150"/>
      <selection pane="topRight" activeCell="O147" sqref="O147:S150"/>
      <selection pane="bottomLeft" activeCell="O147" sqref="O147:S150"/>
      <selection pane="bottomRight" activeCell="O147" sqref="O147:S150"/>
    </sheetView>
  </sheetViews>
  <sheetFormatPr defaultColWidth="12.5703125" defaultRowHeight="15" customHeight="1"/>
  <cols>
    <col min="1" max="1" width="4.140625" customWidth="1"/>
    <col min="2" max="2" width="4.5703125" customWidth="1"/>
    <col min="3" max="3" width="29.42578125" customWidth="1"/>
    <col min="4" max="4" width="6.5703125" customWidth="1"/>
    <col min="5" max="5" width="12.42578125" hidden="1" customWidth="1"/>
    <col min="6" max="6" width="12.85546875" hidden="1" customWidth="1"/>
    <col min="7" max="7" width="10.42578125" customWidth="1"/>
    <col min="8" max="8" width="4.7109375" style="5" customWidth="1"/>
    <col min="9" max="38" width="4.7109375" style="6" customWidth="1"/>
    <col min="39" max="39" width="6.7109375" style="6" customWidth="1"/>
    <col min="40" max="40" width="12.42578125" customWidth="1"/>
    <col min="41" max="41" width="12.28515625" customWidth="1"/>
    <col min="42" max="42" width="7.85546875" customWidth="1"/>
    <col min="43" max="43" width="8.140625" customWidth="1"/>
    <col min="44" max="44" width="13.85546875" style="70" customWidth="1"/>
    <col min="45" max="45" width="4.5703125" style="71" customWidth="1"/>
    <col min="46" max="46" width="12.7109375" style="72" customWidth="1"/>
    <col min="47" max="47" width="4.85546875" style="73" customWidth="1"/>
    <col min="48" max="48" width="14.5703125" style="72" customWidth="1"/>
    <col min="49" max="49" width="13.85546875" style="72" customWidth="1"/>
    <col min="50" max="52" width="13.85546875" customWidth="1"/>
    <col min="53" max="53" width="10.42578125" customWidth="1"/>
    <col min="54" max="56" width="9.140625" customWidth="1"/>
    <col min="57" max="57" width="76.42578125" customWidth="1"/>
    <col min="58" max="58" width="15.42578125" customWidth="1"/>
  </cols>
  <sheetData>
    <row r="1" spans="1:58" ht="30.75" hidden="1" customHeight="1">
      <c r="A1" s="214"/>
      <c r="B1" s="215"/>
      <c r="C1" s="215"/>
      <c r="D1" s="214"/>
      <c r="E1" s="215"/>
      <c r="F1" s="215"/>
      <c r="G1" s="21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2"/>
      <c r="AN1" s="12"/>
      <c r="AO1" s="12"/>
      <c r="AP1" s="12"/>
      <c r="AQ1" s="12"/>
      <c r="AR1" s="83"/>
      <c r="AS1" s="83"/>
      <c r="AT1" s="84"/>
      <c r="AU1" s="84"/>
      <c r="AV1" s="85"/>
      <c r="AW1" s="85"/>
      <c r="AX1" s="12"/>
      <c r="AY1" s="12"/>
      <c r="AZ1" s="12"/>
      <c r="BA1" s="12"/>
      <c r="BB1" s="26"/>
      <c r="BC1" s="26"/>
      <c r="BD1" s="26"/>
      <c r="BE1" s="26"/>
      <c r="BF1" s="26"/>
    </row>
    <row r="2" spans="1:58" ht="24.75" customHeight="1">
      <c r="A2" s="216" t="s">
        <v>0</v>
      </c>
      <c r="B2" s="217"/>
      <c r="C2" s="220" t="s">
        <v>1</v>
      </c>
      <c r="D2" s="220" t="s">
        <v>2</v>
      </c>
      <c r="E2" s="220" t="s">
        <v>3</v>
      </c>
      <c r="F2" s="220" t="s">
        <v>4</v>
      </c>
      <c r="G2" s="222" t="s">
        <v>171</v>
      </c>
      <c r="H2" s="235" t="s">
        <v>169</v>
      </c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6" t="s">
        <v>98</v>
      </c>
      <c r="AN2" s="238" t="s">
        <v>5</v>
      </c>
      <c r="AO2" s="238" t="s">
        <v>6</v>
      </c>
      <c r="AP2" s="240" t="s">
        <v>7</v>
      </c>
      <c r="AQ2" s="241"/>
      <c r="AR2" s="224" t="s">
        <v>457</v>
      </c>
      <c r="AS2" s="224"/>
      <c r="AT2" s="224" t="s">
        <v>457</v>
      </c>
      <c r="AU2" s="224"/>
      <c r="AV2" s="225" t="s">
        <v>8</v>
      </c>
      <c r="AW2" s="226"/>
      <c r="AX2" s="227" t="s">
        <v>9</v>
      </c>
      <c r="AY2" s="228"/>
      <c r="AZ2" s="229"/>
      <c r="BA2" s="230" t="s">
        <v>10</v>
      </c>
      <c r="BB2" s="232" t="s">
        <v>11</v>
      </c>
      <c r="BC2" s="27"/>
      <c r="BD2" s="27"/>
      <c r="BE2" s="27"/>
      <c r="BF2" s="27"/>
    </row>
    <row r="3" spans="1:58" ht="24.75" customHeight="1">
      <c r="A3" s="218"/>
      <c r="B3" s="219"/>
      <c r="C3" s="221"/>
      <c r="D3" s="221"/>
      <c r="E3" s="221"/>
      <c r="F3" s="221"/>
      <c r="G3" s="223"/>
      <c r="H3" s="141">
        <v>1</v>
      </c>
      <c r="I3" s="142">
        <v>2</v>
      </c>
      <c r="J3" s="141">
        <v>3</v>
      </c>
      <c r="K3" s="141">
        <v>4</v>
      </c>
      <c r="L3" s="141">
        <v>5</v>
      </c>
      <c r="M3" s="213">
        <v>6</v>
      </c>
      <c r="N3" s="141">
        <v>7</v>
      </c>
      <c r="O3" s="141">
        <v>8</v>
      </c>
      <c r="P3" s="142">
        <v>9</v>
      </c>
      <c r="Q3" s="141">
        <v>10</v>
      </c>
      <c r="R3" s="141">
        <v>11</v>
      </c>
      <c r="S3" s="213">
        <v>12</v>
      </c>
      <c r="T3" s="141">
        <v>13</v>
      </c>
      <c r="U3" s="141">
        <v>14</v>
      </c>
      <c r="V3" s="141">
        <v>15</v>
      </c>
      <c r="W3" s="142">
        <v>16</v>
      </c>
      <c r="X3" s="142">
        <v>17</v>
      </c>
      <c r="Y3" s="213">
        <v>18</v>
      </c>
      <c r="Z3" s="141">
        <v>19</v>
      </c>
      <c r="AA3" s="213">
        <v>20</v>
      </c>
      <c r="AB3" s="141">
        <v>21</v>
      </c>
      <c r="AC3" s="141">
        <v>22</v>
      </c>
      <c r="AD3" s="142">
        <v>23</v>
      </c>
      <c r="AE3" s="209">
        <v>24</v>
      </c>
      <c r="AF3" s="142">
        <v>25</v>
      </c>
      <c r="AG3" s="141">
        <v>26</v>
      </c>
      <c r="AH3" s="141">
        <v>27</v>
      </c>
      <c r="AI3" s="141">
        <v>28</v>
      </c>
      <c r="AJ3" s="141">
        <v>29</v>
      </c>
      <c r="AK3" s="142">
        <v>30</v>
      </c>
      <c r="AL3" s="141">
        <v>31</v>
      </c>
      <c r="AM3" s="237"/>
      <c r="AN3" s="239"/>
      <c r="AO3" s="239"/>
      <c r="AP3" s="143" t="s">
        <v>12</v>
      </c>
      <c r="AQ3" s="139" t="s">
        <v>13</v>
      </c>
      <c r="AR3" s="140" t="s">
        <v>14</v>
      </c>
      <c r="AS3" s="144" t="s">
        <v>54</v>
      </c>
      <c r="AT3" s="140" t="s">
        <v>15</v>
      </c>
      <c r="AU3" s="144" t="s">
        <v>54</v>
      </c>
      <c r="AV3" s="145" t="s">
        <v>16</v>
      </c>
      <c r="AW3" s="146" t="s">
        <v>17</v>
      </c>
      <c r="AX3" s="147" t="s">
        <v>18</v>
      </c>
      <c r="AY3" s="147" t="s">
        <v>19</v>
      </c>
      <c r="AZ3" s="147" t="s">
        <v>20</v>
      </c>
      <c r="BA3" s="231"/>
      <c r="BB3" s="221"/>
      <c r="BC3" s="27"/>
      <c r="BD3" s="27"/>
      <c r="BE3" s="27"/>
      <c r="BF3" s="27"/>
    </row>
    <row r="4" spans="1:58" ht="22.5" customHeight="1">
      <c r="A4" s="233">
        <f t="shared" ref="A4:A6" si="0">AO4</f>
        <v>43</v>
      </c>
      <c r="B4" s="234"/>
      <c r="C4" s="133" t="s">
        <v>99</v>
      </c>
      <c r="D4" s="148">
        <v>30</v>
      </c>
      <c r="E4" s="148">
        <v>22</v>
      </c>
      <c r="F4" s="148">
        <v>19</v>
      </c>
      <c r="G4" s="149">
        <f>Juli2026!AO4</f>
        <v>16</v>
      </c>
      <c r="H4" s="150" cm="1">
        <f t="array" ref="H4">IFERROR(INDEX(PQ_Aug!$B$2:$AF$1079,MATCH($C4,PQ_Aug!$A$2:$A$1079,0),MATCH(H$3&amp;"",PQ_Aug!$B$1:$AF$1&amp;"",0)),0)</f>
        <v>0</v>
      </c>
      <c r="I4" s="151"/>
      <c r="J4" s="150" cm="1">
        <f t="array" ref="J4">IFERROR(INDEX(PQ_Aug!$B$2:$AF$1079,MATCH($C4,PQ_Aug!$A$2:$A$1079,0),MATCH(J$3&amp;"",PQ_Aug!$B$1:$AF$1&amp;"",0)),0)</f>
        <v>0</v>
      </c>
      <c r="K4" s="150" cm="1">
        <f t="array" ref="K4">IFERROR(INDEX(PQ_Aug!$B$2:$AF$1079,MATCH($C4,PQ_Aug!$A$2:$A$1079,0),MATCH(K$3&amp;"",PQ_Aug!$B$1:$AF$1&amp;"",0)),0)</f>
        <v>0</v>
      </c>
      <c r="L4" s="150" cm="1">
        <f t="array" ref="L4">IFERROR(INDEX(PQ_Aug!$B$2:$AF$1079,MATCH($C4,PQ_Aug!$A$2:$A$1079,0),MATCH(L$3&amp;"",PQ_Aug!$B$1:$AF$1&amp;"",0)),0)</f>
        <v>0</v>
      </c>
      <c r="M4" s="150" cm="1">
        <f t="array" ref="M4">IFERROR(INDEX(PQ_Aug!$B$2:$AF$1079,MATCH($C4,PQ_Aug!$A$2:$A$1079,0),MATCH(M$3&amp;"",PQ_Aug!$B$1:$AF$1&amp;"",0)),0)</f>
        <v>0</v>
      </c>
      <c r="N4" s="150" cm="1">
        <f t="array" ref="N4">IFERROR(INDEX(PQ_Aug!$B$2:$AF$1079,MATCH($C4,PQ_Aug!$A$2:$A$1079,0),MATCH(N$3&amp;"",PQ_Aug!$B$1:$AF$1&amp;"",0)),0)</f>
        <v>0</v>
      </c>
      <c r="O4" s="150" cm="1">
        <f t="array" ref="O4">IFERROR(INDEX(PQ_Aug!$B$2:$AF$1079,MATCH($C4,PQ_Aug!$A$2:$A$1079,0),MATCH(O$3&amp;"",PQ_Aug!$B$1:$AF$1&amp;"",0)),0)</f>
        <v>1</v>
      </c>
      <c r="P4" s="151"/>
      <c r="Q4" s="150" cm="1">
        <f t="array" ref="Q4">IFERROR(INDEX(PQ_Aug!$B$2:$AF$1079,MATCH($C4,PQ_Aug!$A$2:$A$1079,0),MATCH(Q$3&amp;"",PQ_Aug!$B$1:$AF$1&amp;"",0)),0)</f>
        <v>0</v>
      </c>
      <c r="R4" s="150" cm="1">
        <f t="array" ref="R4">IFERROR(INDEX(PQ_Aug!$B$2:$AF$1079,MATCH($C4,PQ_Aug!$A$2:$A$1079,0),MATCH(R$3&amp;"",PQ_Aug!$B$1:$AF$1&amp;"",0)),0)</f>
        <v>0</v>
      </c>
      <c r="S4" s="150" cm="1">
        <f t="array" ref="S4">IFERROR(INDEX(PQ_Aug!$B$2:$AF$1079,MATCH($C4,PQ_Aug!$A$2:$A$1079,0),MATCH(S$3&amp;"",PQ_Aug!$B$1:$AF$1&amp;"",0)),0)</f>
        <v>0</v>
      </c>
      <c r="T4" s="150" cm="1">
        <f t="array" ref="T4">IFERROR(INDEX(PQ_Aug!$B$2:$AF$1079,MATCH($C4,PQ_Aug!$A$2:$A$1079,0),MATCH(T$3&amp;"",PQ_Aug!$B$1:$AF$1&amp;"",0)),0)</f>
        <v>0</v>
      </c>
      <c r="U4" s="150" cm="1">
        <f t="array" ref="U4">IFERROR(INDEX(PQ_Aug!$B$2:$AF$1079,MATCH($C4,PQ_Aug!$A$2:$A$1079,0),MATCH(U$3&amp;"",PQ_Aug!$B$1:$AF$1&amp;"",0)),0)</f>
        <v>0</v>
      </c>
      <c r="V4" s="150" cm="1">
        <f t="array" ref="V4">IFERROR(INDEX(PQ_Aug!$B$2:$AF$1079,MATCH($C4,PQ_Aug!$A$2:$A$1079,0),MATCH(V$3&amp;"",PQ_Aug!$B$1:$AF$1&amp;"",0)),0)</f>
        <v>0</v>
      </c>
      <c r="W4" s="151"/>
      <c r="X4" s="151"/>
      <c r="Y4" s="150" cm="1">
        <f t="array" ref="Y4">IFERROR(INDEX(PQ_Aug!$B$2:$AF$1079,MATCH($C4,PQ_Aug!$A$2:$A$1079,0),MATCH(Y$3&amp;"",PQ_Aug!$B$1:$AF$1&amp;"",0)),0)</f>
        <v>0</v>
      </c>
      <c r="Z4" s="150" cm="1">
        <f t="array" ref="Z4">IFERROR(INDEX(PQ_Aug!$B$2:$AF$1079,MATCH($C4,PQ_Aug!$A$2:$A$1079,0),MATCH(Z$3&amp;"",PQ_Aug!$B$1:$AF$1&amp;"",0)),0)</f>
        <v>1</v>
      </c>
      <c r="AA4" s="150" cm="1">
        <f t="array" ref="AA4">IFERROR(INDEX(PQ_Aug!$B$2:$AF$1079,MATCH($C4,PQ_Aug!$A$2:$A$1079,0),MATCH(AA$3&amp;"",PQ_Aug!$B$1:$AF$1&amp;"",0)),0)</f>
        <v>0</v>
      </c>
      <c r="AB4" s="150" cm="1">
        <f t="array" ref="AB4">IFERROR(INDEX(PQ_Aug!$B$2:$AF$1079,MATCH($C4,PQ_Aug!$A$2:$A$1079,0),MATCH(AB$3&amp;"",PQ_Aug!$B$1:$AF$1&amp;"",0)),0)</f>
        <v>0</v>
      </c>
      <c r="AC4" s="150" cm="1">
        <f t="array" ref="AC4">IFERROR(INDEX(PQ_Aug!$B$2:$AF$1079,MATCH($C4,PQ_Aug!$A$2:$A$1079,0),MATCH(AC$3&amp;"",PQ_Aug!$B$1:$AF$1&amp;"",0)),0)</f>
        <v>1</v>
      </c>
      <c r="AD4" s="151"/>
      <c r="AE4" s="150" cm="1">
        <f t="array" ref="AE4">IFERROR(INDEX(PQ_Aug!$B$2:$AF$1079,MATCH($C4,PQ_Aug!$A$2:$A$1079,0),MATCH(AE$3&amp;"",PQ_Aug!$B$1:$AF$1&amp;"",0)),0)</f>
        <v>0</v>
      </c>
      <c r="AF4" s="151"/>
      <c r="AG4" s="150"/>
      <c r="AH4" s="150"/>
      <c r="AI4" s="150"/>
      <c r="AJ4" s="150"/>
      <c r="AK4" s="151"/>
      <c r="AL4" s="150"/>
      <c r="AM4" s="152"/>
      <c r="AN4" s="150">
        <f>SUM(H4:AL4)+AM4</f>
        <v>3</v>
      </c>
      <c r="AO4" s="153">
        <f t="shared" ref="AO4:AO67" si="1">(G4-AN4)+AZ4</f>
        <v>43</v>
      </c>
      <c r="AP4" s="154">
        <v>20</v>
      </c>
      <c r="AQ4" s="154" t="s">
        <v>21</v>
      </c>
      <c r="AR4" s="155">
        <v>46238</v>
      </c>
      <c r="AS4" s="156">
        <v>1</v>
      </c>
      <c r="AT4" s="157"/>
      <c r="AU4" s="158"/>
      <c r="AV4" s="159">
        <v>46245</v>
      </c>
      <c r="AW4" s="159"/>
      <c r="AX4" s="153">
        <f>IFERROR(IF(AV4="",0,$D4*AS4),0)</f>
        <v>30</v>
      </c>
      <c r="AY4" s="153">
        <f>IFERROR(IF(AW4="",0,$D4*AU4),0)</f>
        <v>0</v>
      </c>
      <c r="AZ4" s="153">
        <f t="shared" ref="AZ4:AZ68" si="2">AX4+AY4</f>
        <v>30</v>
      </c>
      <c r="BA4" s="153">
        <f t="shared" ref="BA4:BA67" si="3">(G4-AN4)+AZ4</f>
        <v>43</v>
      </c>
      <c r="BB4" s="160"/>
      <c r="BC4" s="30"/>
      <c r="BD4" s="30"/>
      <c r="BE4" s="30"/>
      <c r="BF4" s="30"/>
    </row>
    <row r="5" spans="1:58" ht="22.5" customHeight="1">
      <c r="A5" s="242">
        <f t="shared" si="0"/>
        <v>61</v>
      </c>
      <c r="B5" s="243"/>
      <c r="C5" s="133" t="s">
        <v>100</v>
      </c>
      <c r="D5" s="148">
        <v>30</v>
      </c>
      <c r="E5" s="148">
        <v>21</v>
      </c>
      <c r="F5" s="148">
        <v>21</v>
      </c>
      <c r="G5" s="149">
        <f>Juli2026!AO5</f>
        <v>68</v>
      </c>
      <c r="H5" s="150" cm="1">
        <f t="array" ref="H5">IFERROR(INDEX(PQ_Aug!$B$2:$AF$1079,MATCH($C5,PQ_Aug!$A$2:$A$1079,0),MATCH(H$3&amp;"",PQ_Aug!$B$1:$AF$1&amp;"",0)),0)</f>
        <v>0</v>
      </c>
      <c r="I5" s="151"/>
      <c r="J5" s="150" cm="1">
        <f t="array" ref="J5">IFERROR(INDEX(PQ_Aug!$B$2:$AF$1079,MATCH($C5,PQ_Aug!$A$2:$A$1079,0),MATCH(J$3&amp;"",PQ_Aug!$B$1:$AF$1&amp;"",0)),0)</f>
        <v>0</v>
      </c>
      <c r="K5" s="150" cm="1">
        <f t="array" ref="K5">IFERROR(INDEX(PQ_Aug!$B$2:$AF$1079,MATCH($C5,PQ_Aug!$A$2:$A$1079,0),MATCH(K$3&amp;"",PQ_Aug!$B$1:$AF$1&amp;"",0)),0)</f>
        <v>0</v>
      </c>
      <c r="L5" s="150" cm="1">
        <f t="array" ref="L5">IFERROR(INDEX(PQ_Aug!$B$2:$AF$1079,MATCH($C5,PQ_Aug!$A$2:$A$1079,0),MATCH(L$3&amp;"",PQ_Aug!$B$1:$AF$1&amp;"",0)),0)</f>
        <v>0</v>
      </c>
      <c r="M5" s="150" cm="1">
        <f t="array" ref="M5">IFERROR(INDEX(PQ_Aug!$B$2:$AF$1079,MATCH($C5,PQ_Aug!$A$2:$A$1079,0),MATCH(M$3&amp;"",PQ_Aug!$B$1:$AF$1&amp;"",0)),0)</f>
        <v>0</v>
      </c>
      <c r="N5" s="150" cm="1">
        <f t="array" ref="N5">IFERROR(INDEX(PQ_Aug!$B$2:$AF$1079,MATCH($C5,PQ_Aug!$A$2:$A$1079,0),MATCH(N$3&amp;"",PQ_Aug!$B$1:$AF$1&amp;"",0)),0)</f>
        <v>0</v>
      </c>
      <c r="O5" s="150" cm="1">
        <f t="array" ref="O5">IFERROR(INDEX(PQ_Aug!$B$2:$AF$1079,MATCH($C5,PQ_Aug!$A$2:$A$1079,0),MATCH(O$3&amp;"",PQ_Aug!$B$1:$AF$1&amp;"",0)),0)</f>
        <v>1</v>
      </c>
      <c r="P5" s="151"/>
      <c r="Q5" s="150" cm="1">
        <f t="array" ref="Q5">IFERROR(INDEX(PQ_Aug!$B$2:$AF$1079,MATCH($C5,PQ_Aug!$A$2:$A$1079,0),MATCH(Q$3&amp;"",PQ_Aug!$B$1:$AF$1&amp;"",0)),0)</f>
        <v>2</v>
      </c>
      <c r="R5" s="150" cm="1">
        <f t="array" ref="R5">IFERROR(INDEX(PQ_Aug!$B$2:$AF$1079,MATCH($C5,PQ_Aug!$A$2:$A$1079,0),MATCH(R$3&amp;"",PQ_Aug!$B$1:$AF$1&amp;"",0)),0)</f>
        <v>0</v>
      </c>
      <c r="S5" s="150" cm="1">
        <f t="array" ref="S5">IFERROR(INDEX(PQ_Aug!$B$2:$AF$1079,MATCH($C5,PQ_Aug!$A$2:$A$1079,0),MATCH(S$3&amp;"",PQ_Aug!$B$1:$AF$1&amp;"",0)),0)</f>
        <v>0</v>
      </c>
      <c r="T5" s="150" cm="1">
        <f t="array" ref="T5">IFERROR(INDEX(PQ_Aug!$B$2:$AF$1079,MATCH($C5,PQ_Aug!$A$2:$A$1079,0),MATCH(T$3&amp;"",PQ_Aug!$B$1:$AF$1&amp;"",0)),0)</f>
        <v>0</v>
      </c>
      <c r="U5" s="150" cm="1">
        <f t="array" ref="U5">IFERROR(INDEX(PQ_Aug!$B$2:$AF$1079,MATCH($C5,PQ_Aug!$A$2:$A$1079,0),MATCH(U$3&amp;"",PQ_Aug!$B$1:$AF$1&amp;"",0)),0)</f>
        <v>0</v>
      </c>
      <c r="V5" s="150" cm="1">
        <f t="array" ref="V5">IFERROR(INDEX(PQ_Aug!$B$2:$AF$1079,MATCH($C5,PQ_Aug!$A$2:$A$1079,0),MATCH(V$3&amp;"",PQ_Aug!$B$1:$AF$1&amp;"",0)),0)</f>
        <v>0</v>
      </c>
      <c r="W5" s="151"/>
      <c r="X5" s="151"/>
      <c r="Y5" s="150" cm="1">
        <f t="array" ref="Y5">IFERROR(INDEX(PQ_Aug!$B$2:$AF$1079,MATCH($C5,PQ_Aug!$A$2:$A$1079,0),MATCH(Y$3&amp;"",PQ_Aug!$B$1:$AF$1&amp;"",0)),0)</f>
        <v>0</v>
      </c>
      <c r="Z5" s="150" cm="1">
        <f t="array" ref="Z5">IFERROR(INDEX(PQ_Aug!$B$2:$AF$1079,MATCH($C5,PQ_Aug!$A$2:$A$1079,0),MATCH(Z$3&amp;"",PQ_Aug!$B$1:$AF$1&amp;"",0)),0)</f>
        <v>1</v>
      </c>
      <c r="AA5" s="150" cm="1">
        <f t="array" ref="AA5">IFERROR(INDEX(PQ_Aug!$B$2:$AF$1079,MATCH($C5,PQ_Aug!$A$2:$A$1079,0),MATCH(AA$3&amp;"",PQ_Aug!$B$1:$AF$1&amp;"",0)),0)</f>
        <v>0</v>
      </c>
      <c r="AB5" s="150" cm="1">
        <f t="array" ref="AB5">IFERROR(INDEX(PQ_Aug!$B$2:$AF$1079,MATCH($C5,PQ_Aug!$A$2:$A$1079,0),MATCH(AB$3&amp;"",PQ_Aug!$B$1:$AF$1&amp;"",0)),0)</f>
        <v>0</v>
      </c>
      <c r="AC5" s="150" cm="1">
        <f t="array" ref="AC5">IFERROR(INDEX(PQ_Aug!$B$2:$AF$1079,MATCH($C5,PQ_Aug!$A$2:$A$1079,0),MATCH(AC$3&amp;"",PQ_Aug!$B$1:$AF$1&amp;"",0)),0)</f>
        <v>0</v>
      </c>
      <c r="AD5" s="151"/>
      <c r="AE5" s="150" cm="1">
        <f t="array" ref="AE5">IFERROR(INDEX(PQ_Aug!$B$2:$AF$1079,MATCH($C5,PQ_Aug!$A$2:$A$1079,0),MATCH(AE$3&amp;"",PQ_Aug!$B$1:$AF$1&amp;"",0)),0)</f>
        <v>0</v>
      </c>
      <c r="AF5" s="151"/>
      <c r="AG5" s="150"/>
      <c r="AH5" s="150"/>
      <c r="AI5" s="150"/>
      <c r="AJ5" s="150"/>
      <c r="AK5" s="151"/>
      <c r="AL5" s="150"/>
      <c r="AM5" s="152">
        <v>3</v>
      </c>
      <c r="AN5" s="150">
        <f t="shared" ref="AN5:AN68" si="4">SUM(H5:AL5)+AM5</f>
        <v>7</v>
      </c>
      <c r="AO5" s="153">
        <f t="shared" si="1"/>
        <v>61</v>
      </c>
      <c r="AP5" s="154">
        <v>20</v>
      </c>
      <c r="AQ5" s="154" t="s">
        <v>21</v>
      </c>
      <c r="AR5" s="161"/>
      <c r="AS5" s="153"/>
      <c r="AT5" s="159"/>
      <c r="AU5" s="162"/>
      <c r="AV5" s="159"/>
      <c r="AW5" s="159"/>
      <c r="AX5" s="153">
        <f t="shared" ref="AX5:AX68" si="5">IFERROR(IF(AV5="",0,$D5*AS5),0)</f>
        <v>0</v>
      </c>
      <c r="AY5" s="153">
        <f t="shared" ref="AY5:AY68" si="6">IFERROR(IF(AW5="",0,$D5*AU5),0)</f>
        <v>0</v>
      </c>
      <c r="AZ5" s="153">
        <f t="shared" si="2"/>
        <v>0</v>
      </c>
      <c r="BA5" s="153">
        <f t="shared" si="3"/>
        <v>61</v>
      </c>
      <c r="BB5" s="160"/>
      <c r="BC5" s="30"/>
      <c r="BD5" s="30"/>
      <c r="BE5" s="37"/>
      <c r="BF5" s="37"/>
    </row>
    <row r="6" spans="1:58" ht="22.5" customHeight="1">
      <c r="A6" s="233" t="e">
        <f t="shared" si="0"/>
        <v>#REF!</v>
      </c>
      <c r="B6" s="234"/>
      <c r="C6" s="133" t="s">
        <v>101</v>
      </c>
      <c r="D6" s="148">
        <v>30</v>
      </c>
      <c r="E6" s="148">
        <v>41</v>
      </c>
      <c r="F6" s="148">
        <v>30</v>
      </c>
      <c r="G6" s="149" t="e">
        <f>Juli2026!AO6</f>
        <v>#REF!</v>
      </c>
      <c r="H6" s="150" cm="1">
        <f t="array" ref="H6">IFERROR(INDEX(PQ_Aug!$B$2:$AF$1079,MATCH($C6,PQ_Aug!$A$2:$A$1079,0),MATCH(H$3&amp;"",PQ_Aug!$B$1:$AF$1&amp;"",0)),0)</f>
        <v>1</v>
      </c>
      <c r="I6" s="151"/>
      <c r="J6" s="150" cm="1">
        <f t="array" ref="J6">IFERROR(INDEX(PQ_Aug!$B$2:$AF$1079,MATCH($C6,PQ_Aug!$A$2:$A$1079,0),MATCH(J$3&amp;"",PQ_Aug!$B$1:$AF$1&amp;"",0)),0)</f>
        <v>0</v>
      </c>
      <c r="K6" s="150" cm="1">
        <f t="array" ref="K6">IFERROR(INDEX(PQ_Aug!$B$2:$AF$1079,MATCH($C6,PQ_Aug!$A$2:$A$1079,0),MATCH(K$3&amp;"",PQ_Aug!$B$1:$AF$1&amp;"",0)),0)</f>
        <v>0</v>
      </c>
      <c r="L6" s="150" cm="1">
        <f t="array" ref="L6">IFERROR(INDEX(PQ_Aug!$B$2:$AF$1079,MATCH($C6,PQ_Aug!$A$2:$A$1079,0),MATCH(L$3&amp;"",PQ_Aug!$B$1:$AF$1&amp;"",0)),0)</f>
        <v>0</v>
      </c>
      <c r="M6" s="150" cm="1">
        <f t="array" ref="M6">IFERROR(INDEX(PQ_Aug!$B$2:$AF$1079,MATCH($C6,PQ_Aug!$A$2:$A$1079,0),MATCH(M$3&amp;"",PQ_Aug!$B$1:$AF$1&amp;"",0)),0)</f>
        <v>0</v>
      </c>
      <c r="N6" s="150" cm="1">
        <f t="array" ref="N6">IFERROR(INDEX(PQ_Aug!$B$2:$AF$1079,MATCH($C6,PQ_Aug!$A$2:$A$1079,0),MATCH(N$3&amp;"",PQ_Aug!$B$1:$AF$1&amp;"",0)),0)</f>
        <v>0</v>
      </c>
      <c r="O6" s="150" cm="1">
        <f t="array" ref="O6">IFERROR(INDEX(PQ_Aug!$B$2:$AF$1079,MATCH($C6,PQ_Aug!$A$2:$A$1079,0),MATCH(O$3&amp;"",PQ_Aug!$B$1:$AF$1&amp;"",0)),0)</f>
        <v>0</v>
      </c>
      <c r="P6" s="151"/>
      <c r="Q6" s="150" cm="1">
        <f t="array" ref="Q6">IFERROR(INDEX(PQ_Aug!$B$2:$AF$1079,MATCH($C6,PQ_Aug!$A$2:$A$1079,0),MATCH(Q$3&amp;"",PQ_Aug!$B$1:$AF$1&amp;"",0)),0)</f>
        <v>0</v>
      </c>
      <c r="R6" s="150" cm="1">
        <f t="array" ref="R6">IFERROR(INDEX(PQ_Aug!$B$2:$AF$1079,MATCH($C6,PQ_Aug!$A$2:$A$1079,0),MATCH(R$3&amp;"",PQ_Aug!$B$1:$AF$1&amp;"",0)),0)</f>
        <v>0</v>
      </c>
      <c r="S6" s="150" cm="1">
        <f t="array" ref="S6">IFERROR(INDEX(PQ_Aug!$B$2:$AF$1079,MATCH($C6,PQ_Aug!$A$2:$A$1079,0),MATCH(S$3&amp;"",PQ_Aug!$B$1:$AF$1&amp;"",0)),0)</f>
        <v>0</v>
      </c>
      <c r="T6" s="150" cm="1">
        <f t="array" ref="T6">IFERROR(INDEX(PQ_Aug!$B$2:$AF$1079,MATCH($C6,PQ_Aug!$A$2:$A$1079,0),MATCH(T$3&amp;"",PQ_Aug!$B$1:$AF$1&amp;"",0)),0)</f>
        <v>0</v>
      </c>
      <c r="U6" s="150" cm="1">
        <f t="array" ref="U6">IFERROR(INDEX(PQ_Aug!$B$2:$AF$1079,MATCH($C6,PQ_Aug!$A$2:$A$1079,0),MATCH(U$3&amp;"",PQ_Aug!$B$1:$AF$1&amp;"",0)),0)</f>
        <v>0</v>
      </c>
      <c r="V6" s="150" cm="1">
        <f t="array" ref="V6">IFERROR(INDEX(PQ_Aug!$B$2:$AF$1079,MATCH($C6,PQ_Aug!$A$2:$A$1079,0),MATCH(V$3&amp;"",PQ_Aug!$B$1:$AF$1&amp;"",0)),0)</f>
        <v>0</v>
      </c>
      <c r="W6" s="151"/>
      <c r="X6" s="151"/>
      <c r="Y6" s="150" cm="1">
        <f t="array" ref="Y6">IFERROR(INDEX(PQ_Aug!$B$2:$AF$1079,MATCH($C6,PQ_Aug!$A$2:$A$1079,0),MATCH(Y$3&amp;"",PQ_Aug!$B$1:$AF$1&amp;"",0)),0)</f>
        <v>0</v>
      </c>
      <c r="Z6" s="150" cm="1">
        <f t="array" ref="Z6">IFERROR(INDEX(PQ_Aug!$B$2:$AF$1079,MATCH($C6,PQ_Aug!$A$2:$A$1079,0),MATCH(Z$3&amp;"",PQ_Aug!$B$1:$AF$1&amp;"",0)),0)</f>
        <v>0</v>
      </c>
      <c r="AA6" s="150" cm="1">
        <f t="array" ref="AA6">IFERROR(INDEX(PQ_Aug!$B$2:$AF$1079,MATCH($C6,PQ_Aug!$A$2:$A$1079,0),MATCH(AA$3&amp;"",PQ_Aug!$B$1:$AF$1&amp;"",0)),0)</f>
        <v>0</v>
      </c>
      <c r="AB6" s="150" cm="1">
        <f t="array" ref="AB6">IFERROR(INDEX(PQ_Aug!$B$2:$AF$1079,MATCH($C6,PQ_Aug!$A$2:$A$1079,0),MATCH(AB$3&amp;"",PQ_Aug!$B$1:$AF$1&amp;"",0)),0)</f>
        <v>0</v>
      </c>
      <c r="AC6" s="150" cm="1">
        <f t="array" ref="AC6">IFERROR(INDEX(PQ_Aug!$B$2:$AF$1079,MATCH($C6,PQ_Aug!$A$2:$A$1079,0),MATCH(AC$3&amp;"",PQ_Aug!$B$1:$AF$1&amp;"",0)),0)</f>
        <v>0</v>
      </c>
      <c r="AD6" s="151"/>
      <c r="AE6" s="150" cm="1">
        <f t="array" ref="AE6">IFERROR(INDEX(PQ_Aug!$B$2:$AF$1079,MATCH($C6,PQ_Aug!$A$2:$A$1079,0),MATCH(AE$3&amp;"",PQ_Aug!$B$1:$AF$1&amp;"",0)),0)</f>
        <v>0</v>
      </c>
      <c r="AF6" s="151"/>
      <c r="AG6" s="150"/>
      <c r="AH6" s="150"/>
      <c r="AI6" s="150"/>
      <c r="AJ6" s="150"/>
      <c r="AK6" s="151"/>
      <c r="AL6" s="150"/>
      <c r="AM6" s="152"/>
      <c r="AN6" s="150">
        <f t="shared" si="4"/>
        <v>1</v>
      </c>
      <c r="AO6" s="153" t="e">
        <f t="shared" si="1"/>
        <v>#REF!</v>
      </c>
      <c r="AP6" s="154">
        <v>20</v>
      </c>
      <c r="AQ6" s="154" t="s">
        <v>21</v>
      </c>
      <c r="AR6" s="155">
        <v>46238</v>
      </c>
      <c r="AS6" s="156">
        <v>1</v>
      </c>
      <c r="AT6" s="163"/>
      <c r="AU6" s="160"/>
      <c r="AV6" s="159">
        <v>46245</v>
      </c>
      <c r="AW6" s="159"/>
      <c r="AX6" s="153">
        <f t="shared" si="5"/>
        <v>30</v>
      </c>
      <c r="AY6" s="153">
        <f t="shared" si="6"/>
        <v>0</v>
      </c>
      <c r="AZ6" s="153">
        <f t="shared" si="2"/>
        <v>30</v>
      </c>
      <c r="BA6" s="153" t="e">
        <f t="shared" si="3"/>
        <v>#REF!</v>
      </c>
      <c r="BB6" s="160"/>
      <c r="BC6" s="30"/>
      <c r="BD6" s="30"/>
      <c r="BE6" s="30"/>
      <c r="BF6" s="30"/>
    </row>
    <row r="7" spans="1:58" ht="22.5" customHeight="1">
      <c r="A7" s="233" t="e">
        <f t="shared" ref="A7:A70" si="7">AO7</f>
        <v>#REF!</v>
      </c>
      <c r="B7" s="234"/>
      <c r="C7" s="133" t="s">
        <v>102</v>
      </c>
      <c r="D7" s="148">
        <v>30</v>
      </c>
      <c r="E7" s="148">
        <v>11</v>
      </c>
      <c r="F7" s="148">
        <v>15</v>
      </c>
      <c r="G7" s="149" t="e">
        <f>Juli2026!AO7</f>
        <v>#REF!</v>
      </c>
      <c r="H7" s="150" cm="1">
        <f t="array" ref="H7">IFERROR(INDEX(PQ_Aug!$B$2:$AF$1079,MATCH($C7,PQ_Aug!$A$2:$A$1079,0),MATCH(H$3&amp;"",PQ_Aug!$B$1:$AF$1&amp;"",0)),0)</f>
        <v>1</v>
      </c>
      <c r="I7" s="151"/>
      <c r="J7" s="150" cm="1">
        <f t="array" ref="J7">IFERROR(INDEX(PQ_Aug!$B$2:$AF$1079,MATCH($C7,PQ_Aug!$A$2:$A$1079,0),MATCH(J$3&amp;"",PQ_Aug!$B$1:$AF$1&amp;"",0)),0)</f>
        <v>2</v>
      </c>
      <c r="K7" s="150" cm="1">
        <f t="array" ref="K7">IFERROR(INDEX(PQ_Aug!$B$2:$AF$1079,MATCH($C7,PQ_Aug!$A$2:$A$1079,0),MATCH(K$3&amp;"",PQ_Aug!$B$1:$AF$1&amp;"",0)),0)</f>
        <v>1</v>
      </c>
      <c r="L7" s="150" cm="1">
        <f t="array" ref="L7">IFERROR(INDEX(PQ_Aug!$B$2:$AF$1079,MATCH($C7,PQ_Aug!$A$2:$A$1079,0),MATCH(L$3&amp;"",PQ_Aug!$B$1:$AF$1&amp;"",0)),0)</f>
        <v>1</v>
      </c>
      <c r="M7" s="150" cm="1">
        <f t="array" ref="M7">IFERROR(INDEX(PQ_Aug!$B$2:$AF$1079,MATCH($C7,PQ_Aug!$A$2:$A$1079,0),MATCH(M$3&amp;"",PQ_Aug!$B$1:$AF$1&amp;"",0)),0)</f>
        <v>0</v>
      </c>
      <c r="N7" s="150" cm="1">
        <f t="array" ref="N7">IFERROR(INDEX(PQ_Aug!$B$2:$AF$1079,MATCH($C7,PQ_Aug!$A$2:$A$1079,0),MATCH(N$3&amp;"",PQ_Aug!$B$1:$AF$1&amp;"",0)),0)</f>
        <v>0</v>
      </c>
      <c r="O7" s="150" cm="1">
        <f t="array" ref="O7">IFERROR(INDEX(PQ_Aug!$B$2:$AF$1079,MATCH($C7,PQ_Aug!$A$2:$A$1079,0),MATCH(O$3&amp;"",PQ_Aug!$B$1:$AF$1&amp;"",0)),0)</f>
        <v>1</v>
      </c>
      <c r="P7" s="151"/>
      <c r="Q7" s="150" cm="1">
        <f t="array" ref="Q7">IFERROR(INDEX(PQ_Aug!$B$2:$AF$1079,MATCH($C7,PQ_Aug!$A$2:$A$1079,0),MATCH(Q$3&amp;"",PQ_Aug!$B$1:$AF$1&amp;"",0)),0)</f>
        <v>0</v>
      </c>
      <c r="R7" s="150" cm="1">
        <f t="array" ref="R7">IFERROR(INDEX(PQ_Aug!$B$2:$AF$1079,MATCH($C7,PQ_Aug!$A$2:$A$1079,0),MATCH(R$3&amp;"",PQ_Aug!$B$1:$AF$1&amp;"",0)),0)</f>
        <v>2</v>
      </c>
      <c r="S7" s="150" cm="1">
        <f t="array" ref="S7">IFERROR(INDEX(PQ_Aug!$B$2:$AF$1079,MATCH($C7,PQ_Aug!$A$2:$A$1079,0),MATCH(S$3&amp;"",PQ_Aug!$B$1:$AF$1&amp;"",0)),0)</f>
        <v>1</v>
      </c>
      <c r="T7" s="150" cm="1">
        <f t="array" ref="T7">IFERROR(INDEX(PQ_Aug!$B$2:$AF$1079,MATCH($C7,PQ_Aug!$A$2:$A$1079,0),MATCH(T$3&amp;"",PQ_Aug!$B$1:$AF$1&amp;"",0)),0)</f>
        <v>0</v>
      </c>
      <c r="U7" s="150" cm="1">
        <f t="array" ref="U7">IFERROR(INDEX(PQ_Aug!$B$2:$AF$1079,MATCH($C7,PQ_Aug!$A$2:$A$1079,0),MATCH(U$3&amp;"",PQ_Aug!$B$1:$AF$1&amp;"",0)),0)</f>
        <v>1</v>
      </c>
      <c r="V7" s="150" cm="1">
        <f t="array" ref="V7">IFERROR(INDEX(PQ_Aug!$B$2:$AF$1079,MATCH($C7,PQ_Aug!$A$2:$A$1079,0),MATCH(V$3&amp;"",PQ_Aug!$B$1:$AF$1&amp;"",0)),0)</f>
        <v>1</v>
      </c>
      <c r="W7" s="151"/>
      <c r="X7" s="151"/>
      <c r="Y7" s="150" cm="1">
        <f t="array" ref="Y7">IFERROR(INDEX(PQ_Aug!$B$2:$AF$1079,MATCH($C7,PQ_Aug!$A$2:$A$1079,0),MATCH(Y$3&amp;"",PQ_Aug!$B$1:$AF$1&amp;"",0)),0)</f>
        <v>1</v>
      </c>
      <c r="Z7" s="150" cm="1">
        <f t="array" ref="Z7">IFERROR(INDEX(PQ_Aug!$B$2:$AF$1079,MATCH($C7,PQ_Aug!$A$2:$A$1079,0),MATCH(Z$3&amp;"",PQ_Aug!$B$1:$AF$1&amp;"",0)),0)</f>
        <v>1</v>
      </c>
      <c r="AA7" s="150" cm="1">
        <f t="array" ref="AA7">IFERROR(INDEX(PQ_Aug!$B$2:$AF$1079,MATCH($C7,PQ_Aug!$A$2:$A$1079,0),MATCH(AA$3&amp;"",PQ_Aug!$B$1:$AF$1&amp;"",0)),0)</f>
        <v>1</v>
      </c>
      <c r="AB7" s="150" cm="1">
        <f t="array" ref="AB7">IFERROR(INDEX(PQ_Aug!$B$2:$AF$1079,MATCH($C7,PQ_Aug!$A$2:$A$1079,0),MATCH(AB$3&amp;"",PQ_Aug!$B$1:$AF$1&amp;"",0)),0)</f>
        <v>2</v>
      </c>
      <c r="AC7" s="150" cm="1">
        <f t="array" ref="AC7">IFERROR(INDEX(PQ_Aug!$B$2:$AF$1079,MATCH($C7,PQ_Aug!$A$2:$A$1079,0),MATCH(AC$3&amp;"",PQ_Aug!$B$1:$AF$1&amp;"",0)),0)</f>
        <v>2</v>
      </c>
      <c r="AD7" s="151"/>
      <c r="AE7" s="150" cm="1">
        <f t="array" ref="AE7">IFERROR(INDEX(PQ_Aug!$B$2:$AF$1079,MATCH($C7,PQ_Aug!$A$2:$A$1079,0),MATCH(AE$3&amp;"",PQ_Aug!$B$1:$AF$1&amp;"",0)),0)</f>
        <v>0</v>
      </c>
      <c r="AF7" s="151"/>
      <c r="AG7" s="150"/>
      <c r="AH7" s="150"/>
      <c r="AI7" s="150"/>
      <c r="AJ7" s="150"/>
      <c r="AK7" s="151"/>
      <c r="AL7" s="150"/>
      <c r="AM7" s="152">
        <v>3</v>
      </c>
      <c r="AN7" s="150">
        <f t="shared" si="4"/>
        <v>21</v>
      </c>
      <c r="AO7" s="153" t="e">
        <f t="shared" si="1"/>
        <v>#REF!</v>
      </c>
      <c r="AP7" s="154">
        <v>20</v>
      </c>
      <c r="AQ7" s="154" t="s">
        <v>21</v>
      </c>
      <c r="AR7" s="161"/>
      <c r="AS7" s="153"/>
      <c r="AT7" s="163"/>
      <c r="AU7" s="160"/>
      <c r="AV7" s="159"/>
      <c r="AW7" s="163"/>
      <c r="AX7" s="153">
        <f t="shared" si="5"/>
        <v>0</v>
      </c>
      <c r="AY7" s="153">
        <f t="shared" si="6"/>
        <v>0</v>
      </c>
      <c r="AZ7" s="153">
        <f t="shared" si="2"/>
        <v>0</v>
      </c>
      <c r="BA7" s="153" t="e">
        <f t="shared" si="3"/>
        <v>#REF!</v>
      </c>
      <c r="BB7" s="160"/>
      <c r="BC7" s="30"/>
      <c r="BD7" s="18" t="s">
        <v>23</v>
      </c>
      <c r="BE7" s="18" t="s">
        <v>24</v>
      </c>
      <c r="BF7" s="30"/>
    </row>
    <row r="8" spans="1:58" ht="22.5" customHeight="1">
      <c r="A8" s="242" t="e">
        <f t="shared" si="7"/>
        <v>#REF!</v>
      </c>
      <c r="B8" s="243"/>
      <c r="C8" s="133" t="s">
        <v>103</v>
      </c>
      <c r="D8" s="148">
        <v>60</v>
      </c>
      <c r="E8" s="148">
        <v>6</v>
      </c>
      <c r="F8" s="148">
        <v>10</v>
      </c>
      <c r="G8" s="149" t="e">
        <f>Juli2026!AO8</f>
        <v>#REF!</v>
      </c>
      <c r="H8" s="150" cm="1">
        <f t="array" ref="H8">IFERROR(INDEX(PQ_Aug!$B$2:$AF$1079,MATCH($C8,PQ_Aug!$A$2:$A$1079,0),MATCH(H$3&amp;"",PQ_Aug!$B$1:$AF$1&amp;"",0)),0)</f>
        <v>2</v>
      </c>
      <c r="I8" s="151"/>
      <c r="J8" s="150" cm="1">
        <f t="array" ref="J8">IFERROR(INDEX(PQ_Aug!$B$2:$AF$1079,MATCH($C8,PQ_Aug!$A$2:$A$1079,0),MATCH(J$3&amp;"",PQ_Aug!$B$1:$AF$1&amp;"",0)),0)</f>
        <v>1</v>
      </c>
      <c r="K8" s="150" cm="1">
        <f t="array" ref="K8">IFERROR(INDEX(PQ_Aug!$B$2:$AF$1079,MATCH($C8,PQ_Aug!$A$2:$A$1079,0),MATCH(K$3&amp;"",PQ_Aug!$B$1:$AF$1&amp;"",0)),0)</f>
        <v>1</v>
      </c>
      <c r="L8" s="150" cm="1">
        <f t="array" ref="L8">IFERROR(INDEX(PQ_Aug!$B$2:$AF$1079,MATCH($C8,PQ_Aug!$A$2:$A$1079,0),MATCH(L$3&amp;"",PQ_Aug!$B$1:$AF$1&amp;"",0)),0)</f>
        <v>0</v>
      </c>
      <c r="M8" s="150" cm="1">
        <f t="array" ref="M8">IFERROR(INDEX(PQ_Aug!$B$2:$AF$1079,MATCH($C8,PQ_Aug!$A$2:$A$1079,0),MATCH(M$3&amp;"",PQ_Aug!$B$1:$AF$1&amp;"",0)),0)</f>
        <v>0</v>
      </c>
      <c r="N8" s="150" cm="1">
        <f t="array" ref="N8">IFERROR(INDEX(PQ_Aug!$B$2:$AF$1079,MATCH($C8,PQ_Aug!$A$2:$A$1079,0),MATCH(N$3&amp;"",PQ_Aug!$B$1:$AF$1&amp;"",0)),0)</f>
        <v>0</v>
      </c>
      <c r="O8" s="150" cm="1">
        <f t="array" ref="O8">IFERROR(INDEX(PQ_Aug!$B$2:$AF$1079,MATCH($C8,PQ_Aug!$A$2:$A$1079,0),MATCH(O$3&amp;"",PQ_Aug!$B$1:$AF$1&amp;"",0)),0)</f>
        <v>1</v>
      </c>
      <c r="P8" s="151"/>
      <c r="Q8" s="150" cm="1">
        <f t="array" ref="Q8">IFERROR(INDEX(PQ_Aug!$B$2:$AF$1079,MATCH($C8,PQ_Aug!$A$2:$A$1079,0),MATCH(Q$3&amp;"",PQ_Aug!$B$1:$AF$1&amp;"",0)),0)</f>
        <v>0</v>
      </c>
      <c r="R8" s="150" cm="1">
        <f t="array" ref="R8">IFERROR(INDEX(PQ_Aug!$B$2:$AF$1079,MATCH($C8,PQ_Aug!$A$2:$A$1079,0),MATCH(R$3&amp;"",PQ_Aug!$B$1:$AF$1&amp;"",0)),0)</f>
        <v>1</v>
      </c>
      <c r="S8" s="150" cm="1">
        <f t="array" ref="S8">IFERROR(INDEX(PQ_Aug!$B$2:$AF$1079,MATCH($C8,PQ_Aug!$A$2:$A$1079,0),MATCH(S$3&amp;"",PQ_Aug!$B$1:$AF$1&amp;"",0)),0)</f>
        <v>2</v>
      </c>
      <c r="T8" s="150" cm="1">
        <f t="array" ref="T8">IFERROR(INDEX(PQ_Aug!$B$2:$AF$1079,MATCH($C8,PQ_Aug!$A$2:$A$1079,0),MATCH(T$3&amp;"",PQ_Aug!$B$1:$AF$1&amp;"",0)),0)</f>
        <v>0</v>
      </c>
      <c r="U8" s="150" cm="1">
        <f t="array" ref="U8">IFERROR(INDEX(PQ_Aug!$B$2:$AF$1079,MATCH($C8,PQ_Aug!$A$2:$A$1079,0),MATCH(U$3&amp;"",PQ_Aug!$B$1:$AF$1&amp;"",0)),0)</f>
        <v>1</v>
      </c>
      <c r="V8" s="150" cm="1">
        <f t="array" ref="V8">IFERROR(INDEX(PQ_Aug!$B$2:$AF$1079,MATCH($C8,PQ_Aug!$A$2:$A$1079,0),MATCH(V$3&amp;"",PQ_Aug!$B$1:$AF$1&amp;"",0)),0)</f>
        <v>1</v>
      </c>
      <c r="W8" s="151"/>
      <c r="X8" s="151"/>
      <c r="Y8" s="150" cm="1">
        <f t="array" ref="Y8">IFERROR(INDEX(PQ_Aug!$B$2:$AF$1079,MATCH($C8,PQ_Aug!$A$2:$A$1079,0),MATCH(Y$3&amp;"",PQ_Aug!$B$1:$AF$1&amp;"",0)),0)</f>
        <v>1</v>
      </c>
      <c r="Z8" s="150" cm="1">
        <f t="array" ref="Z8">IFERROR(INDEX(PQ_Aug!$B$2:$AF$1079,MATCH($C8,PQ_Aug!$A$2:$A$1079,0),MATCH(Z$3&amp;"",PQ_Aug!$B$1:$AF$1&amp;"",0)),0)</f>
        <v>0</v>
      </c>
      <c r="AA8" s="150" cm="1">
        <f t="array" ref="AA8">IFERROR(INDEX(PQ_Aug!$B$2:$AF$1079,MATCH($C8,PQ_Aug!$A$2:$A$1079,0),MATCH(AA$3&amp;"",PQ_Aug!$B$1:$AF$1&amp;"",0)),0)</f>
        <v>0</v>
      </c>
      <c r="AB8" s="150" cm="1">
        <f t="array" ref="AB8">IFERROR(INDEX(PQ_Aug!$B$2:$AF$1079,MATCH($C8,PQ_Aug!$A$2:$A$1079,0),MATCH(AB$3&amp;"",PQ_Aug!$B$1:$AF$1&amp;"",0)),0)</f>
        <v>0</v>
      </c>
      <c r="AC8" s="150" cm="1">
        <f t="array" ref="AC8">IFERROR(INDEX(PQ_Aug!$B$2:$AF$1079,MATCH($C8,PQ_Aug!$A$2:$A$1079,0),MATCH(AC$3&amp;"",PQ_Aug!$B$1:$AF$1&amp;"",0)),0)</f>
        <v>0</v>
      </c>
      <c r="AD8" s="151"/>
      <c r="AE8" s="150" cm="1">
        <f t="array" ref="AE8">IFERROR(INDEX(PQ_Aug!$B$2:$AF$1079,MATCH($C8,PQ_Aug!$A$2:$A$1079,0),MATCH(AE$3&amp;"",PQ_Aug!$B$1:$AF$1&amp;"",0)),0)</f>
        <v>0</v>
      </c>
      <c r="AF8" s="151"/>
      <c r="AG8" s="150"/>
      <c r="AH8" s="150"/>
      <c r="AI8" s="150"/>
      <c r="AJ8" s="150"/>
      <c r="AK8" s="151"/>
      <c r="AL8" s="150"/>
      <c r="AM8" s="152"/>
      <c r="AN8" s="150">
        <f t="shared" si="4"/>
        <v>11</v>
      </c>
      <c r="AO8" s="153" t="e">
        <f t="shared" si="1"/>
        <v>#REF!</v>
      </c>
      <c r="AP8" s="154">
        <v>20</v>
      </c>
      <c r="AQ8" s="154" t="s">
        <v>21</v>
      </c>
      <c r="AR8" s="155">
        <v>46238</v>
      </c>
      <c r="AS8" s="156">
        <v>1</v>
      </c>
      <c r="AT8" s="161"/>
      <c r="AU8" s="153"/>
      <c r="AV8" s="159">
        <v>46245</v>
      </c>
      <c r="AW8" s="161"/>
      <c r="AX8" s="153">
        <f t="shared" si="5"/>
        <v>60</v>
      </c>
      <c r="AY8" s="153">
        <f t="shared" si="6"/>
        <v>0</v>
      </c>
      <c r="AZ8" s="153">
        <f t="shared" si="2"/>
        <v>60</v>
      </c>
      <c r="BA8" s="153" t="e">
        <f t="shared" si="3"/>
        <v>#REF!</v>
      </c>
      <c r="BB8" s="160"/>
      <c r="BC8" s="30"/>
      <c r="BD8" s="31"/>
      <c r="BE8" s="38" t="s">
        <v>25</v>
      </c>
      <c r="BF8" s="30"/>
    </row>
    <row r="9" spans="1:58" ht="22.5" customHeight="1">
      <c r="A9" s="233">
        <f t="shared" si="7"/>
        <v>33</v>
      </c>
      <c r="B9" s="234"/>
      <c r="C9" s="133" t="s">
        <v>104</v>
      </c>
      <c r="D9" s="148">
        <v>60</v>
      </c>
      <c r="E9" s="148">
        <v>7</v>
      </c>
      <c r="F9" s="148">
        <v>14</v>
      </c>
      <c r="G9" s="149">
        <f>Juli2026!AO9</f>
        <v>63</v>
      </c>
      <c r="H9" s="150" cm="1">
        <f t="array" ref="H9">IFERROR(INDEX(PQ_Aug!$B$2:$AF$1079,MATCH($C9,PQ_Aug!$A$2:$A$1079,0),MATCH(H$3&amp;"",PQ_Aug!$B$1:$AF$1&amp;"",0)),0)</f>
        <v>2</v>
      </c>
      <c r="I9" s="151"/>
      <c r="J9" s="150" cm="1">
        <f t="array" ref="J9">IFERROR(INDEX(PQ_Aug!$B$2:$AF$1079,MATCH($C9,PQ_Aug!$A$2:$A$1079,0),MATCH(J$3&amp;"",PQ_Aug!$B$1:$AF$1&amp;"",0)),0)</f>
        <v>2</v>
      </c>
      <c r="K9" s="150" cm="1">
        <f t="array" ref="K9">IFERROR(INDEX(PQ_Aug!$B$2:$AF$1079,MATCH($C9,PQ_Aug!$A$2:$A$1079,0),MATCH(K$3&amp;"",PQ_Aug!$B$1:$AF$1&amp;"",0)),0)</f>
        <v>1</v>
      </c>
      <c r="L9" s="150" cm="1">
        <f t="array" ref="L9">IFERROR(INDEX(PQ_Aug!$B$2:$AF$1079,MATCH($C9,PQ_Aug!$A$2:$A$1079,0),MATCH(L$3&amp;"",PQ_Aug!$B$1:$AF$1&amp;"",0)),0)</f>
        <v>1</v>
      </c>
      <c r="M9" s="150" cm="1">
        <f t="array" ref="M9">IFERROR(INDEX(PQ_Aug!$B$2:$AF$1079,MATCH($C9,PQ_Aug!$A$2:$A$1079,0),MATCH(M$3&amp;"",PQ_Aug!$B$1:$AF$1&amp;"",0)),0)</f>
        <v>1</v>
      </c>
      <c r="N9" s="150" cm="1">
        <f t="array" ref="N9">IFERROR(INDEX(PQ_Aug!$B$2:$AF$1079,MATCH($C9,PQ_Aug!$A$2:$A$1079,0),MATCH(N$3&amp;"",PQ_Aug!$B$1:$AF$1&amp;"",0)),0)</f>
        <v>1</v>
      </c>
      <c r="O9" s="150" cm="1">
        <f t="array" ref="O9">IFERROR(INDEX(PQ_Aug!$B$2:$AF$1079,MATCH($C9,PQ_Aug!$A$2:$A$1079,0),MATCH(O$3&amp;"",PQ_Aug!$B$1:$AF$1&amp;"",0)),0)</f>
        <v>3</v>
      </c>
      <c r="P9" s="151"/>
      <c r="Q9" s="150" cm="1">
        <f t="array" ref="Q9">IFERROR(INDEX(PQ_Aug!$B$2:$AF$1079,MATCH($C9,PQ_Aug!$A$2:$A$1079,0),MATCH(Q$3&amp;"",PQ_Aug!$B$1:$AF$1&amp;"",0)),0)</f>
        <v>0</v>
      </c>
      <c r="R9" s="150" cm="1">
        <f t="array" ref="R9">IFERROR(INDEX(PQ_Aug!$B$2:$AF$1079,MATCH($C9,PQ_Aug!$A$2:$A$1079,0),MATCH(R$3&amp;"",PQ_Aug!$B$1:$AF$1&amp;"",0)),0)</f>
        <v>1</v>
      </c>
      <c r="S9" s="150" cm="1">
        <f t="array" ref="S9">IFERROR(INDEX(PQ_Aug!$B$2:$AF$1079,MATCH($C9,PQ_Aug!$A$2:$A$1079,0),MATCH(S$3&amp;"",PQ_Aug!$B$1:$AF$1&amp;"",0)),0)</f>
        <v>2</v>
      </c>
      <c r="T9" s="150" cm="1">
        <f t="array" ref="T9">IFERROR(INDEX(PQ_Aug!$B$2:$AF$1079,MATCH($C9,PQ_Aug!$A$2:$A$1079,0),MATCH(T$3&amp;"",PQ_Aug!$B$1:$AF$1&amp;"",0)),0)</f>
        <v>1</v>
      </c>
      <c r="U9" s="150" cm="1">
        <f t="array" ref="U9">IFERROR(INDEX(PQ_Aug!$B$2:$AF$1079,MATCH($C9,PQ_Aug!$A$2:$A$1079,0),MATCH(U$3&amp;"",PQ_Aug!$B$1:$AF$1&amp;"",0)),0)</f>
        <v>2</v>
      </c>
      <c r="V9" s="150" cm="1">
        <f t="array" ref="V9">IFERROR(INDEX(PQ_Aug!$B$2:$AF$1079,MATCH($C9,PQ_Aug!$A$2:$A$1079,0),MATCH(V$3&amp;"",PQ_Aug!$B$1:$AF$1&amp;"",0)),0)</f>
        <v>2</v>
      </c>
      <c r="W9" s="151"/>
      <c r="X9" s="151"/>
      <c r="Y9" s="150" cm="1">
        <f t="array" ref="Y9">IFERROR(INDEX(PQ_Aug!$B$2:$AF$1079,MATCH($C9,PQ_Aug!$A$2:$A$1079,0),MATCH(Y$3&amp;"",PQ_Aug!$B$1:$AF$1&amp;"",0)),0)</f>
        <v>2</v>
      </c>
      <c r="Z9" s="150" cm="1">
        <f t="array" ref="Z9">IFERROR(INDEX(PQ_Aug!$B$2:$AF$1079,MATCH($C9,PQ_Aug!$A$2:$A$1079,0),MATCH(Z$3&amp;"",PQ_Aug!$B$1:$AF$1&amp;"",0)),0)</f>
        <v>1</v>
      </c>
      <c r="AA9" s="150" cm="1">
        <f t="array" ref="AA9">IFERROR(INDEX(PQ_Aug!$B$2:$AF$1079,MATCH($C9,PQ_Aug!$A$2:$A$1079,0),MATCH(AA$3&amp;"",PQ_Aug!$B$1:$AF$1&amp;"",0)),0)</f>
        <v>2</v>
      </c>
      <c r="AB9" s="150" cm="1">
        <f t="array" ref="AB9">IFERROR(INDEX(PQ_Aug!$B$2:$AF$1079,MATCH($C9,PQ_Aug!$A$2:$A$1079,0),MATCH(AB$3&amp;"",PQ_Aug!$B$1:$AF$1&amp;"",0)),0)</f>
        <v>0</v>
      </c>
      <c r="AC9" s="150" cm="1">
        <f t="array" ref="AC9">IFERROR(INDEX(PQ_Aug!$B$2:$AF$1079,MATCH($C9,PQ_Aug!$A$2:$A$1079,0),MATCH(AC$3&amp;"",PQ_Aug!$B$1:$AF$1&amp;"",0)),0)</f>
        <v>0</v>
      </c>
      <c r="AD9" s="151"/>
      <c r="AE9" s="150" cm="1">
        <f t="array" ref="AE9">IFERROR(INDEX(PQ_Aug!$B$2:$AF$1079,MATCH($C9,PQ_Aug!$A$2:$A$1079,0),MATCH(AE$3&amp;"",PQ_Aug!$B$1:$AF$1&amp;"",0)),0)</f>
        <v>0</v>
      </c>
      <c r="AF9" s="151"/>
      <c r="AG9" s="150"/>
      <c r="AH9" s="150"/>
      <c r="AI9" s="150"/>
      <c r="AJ9" s="150"/>
      <c r="AK9" s="151"/>
      <c r="AL9" s="150"/>
      <c r="AM9" s="152">
        <v>6</v>
      </c>
      <c r="AN9" s="150">
        <f t="shared" si="4"/>
        <v>30</v>
      </c>
      <c r="AO9" s="153">
        <f t="shared" si="1"/>
        <v>33</v>
      </c>
      <c r="AP9" s="154">
        <v>20</v>
      </c>
      <c r="AQ9" s="154" t="s">
        <v>21</v>
      </c>
      <c r="AR9" s="161"/>
      <c r="AS9" s="153"/>
      <c r="AT9" s="161"/>
      <c r="AU9" s="153"/>
      <c r="AV9" s="159"/>
      <c r="AW9" s="161"/>
      <c r="AX9" s="153">
        <f t="shared" si="5"/>
        <v>0</v>
      </c>
      <c r="AY9" s="153">
        <f t="shared" si="6"/>
        <v>0</v>
      </c>
      <c r="AZ9" s="153">
        <f t="shared" si="2"/>
        <v>0</v>
      </c>
      <c r="BA9" s="153">
        <f t="shared" si="3"/>
        <v>33</v>
      </c>
      <c r="BB9" s="160"/>
      <c r="BC9" s="30"/>
      <c r="BD9" s="32"/>
      <c r="BE9" s="39" t="s">
        <v>26</v>
      </c>
      <c r="BF9" s="30"/>
    </row>
    <row r="10" spans="1:58" ht="22.5" customHeight="1">
      <c r="A10" s="233">
        <f t="shared" si="7"/>
        <v>64</v>
      </c>
      <c r="B10" s="234"/>
      <c r="C10" s="133" t="s">
        <v>105</v>
      </c>
      <c r="D10" s="148">
        <v>60</v>
      </c>
      <c r="E10" s="148">
        <v>21</v>
      </c>
      <c r="F10" s="148">
        <v>17</v>
      </c>
      <c r="G10" s="149">
        <f>Juli2026!AO10</f>
        <v>34</v>
      </c>
      <c r="H10" s="150" cm="1">
        <f t="array" ref="H10">IFERROR(INDEX(PQ_Aug!$B$2:$AF$1079,MATCH($C10,PQ_Aug!$A$2:$A$1079,0),MATCH(H$3&amp;"",PQ_Aug!$B$1:$AF$1&amp;"",0)),0)</f>
        <v>0</v>
      </c>
      <c r="I10" s="151"/>
      <c r="J10" s="150" cm="1">
        <f t="array" ref="J10">IFERROR(INDEX(PQ_Aug!$B$2:$AF$1079,MATCH($C10,PQ_Aug!$A$2:$A$1079,0),MATCH(J$3&amp;"",PQ_Aug!$B$1:$AF$1&amp;"",0)),0)</f>
        <v>0</v>
      </c>
      <c r="K10" s="150" cm="1">
        <f t="array" ref="K10">IFERROR(INDEX(PQ_Aug!$B$2:$AF$1079,MATCH($C10,PQ_Aug!$A$2:$A$1079,0),MATCH(K$3&amp;"",PQ_Aug!$B$1:$AF$1&amp;"",0)),0)</f>
        <v>1</v>
      </c>
      <c r="L10" s="150" cm="1">
        <f t="array" ref="L10">IFERROR(INDEX(PQ_Aug!$B$2:$AF$1079,MATCH($C10,PQ_Aug!$A$2:$A$1079,0),MATCH(L$3&amp;"",PQ_Aug!$B$1:$AF$1&amp;"",0)),0)</f>
        <v>7</v>
      </c>
      <c r="M10" s="150" cm="1">
        <f t="array" ref="M10">IFERROR(INDEX(PQ_Aug!$B$2:$AF$1079,MATCH($C10,PQ_Aug!$A$2:$A$1079,0),MATCH(M$3&amp;"",PQ_Aug!$B$1:$AF$1&amp;"",0)),0)</f>
        <v>3</v>
      </c>
      <c r="N10" s="150" cm="1">
        <f t="array" ref="N10">IFERROR(INDEX(PQ_Aug!$B$2:$AF$1079,MATCH($C10,PQ_Aug!$A$2:$A$1079,0),MATCH(N$3&amp;"",PQ_Aug!$B$1:$AF$1&amp;"",0)),0)</f>
        <v>0</v>
      </c>
      <c r="O10" s="150" cm="1">
        <f t="array" ref="O10">IFERROR(INDEX(PQ_Aug!$B$2:$AF$1079,MATCH($C10,PQ_Aug!$A$2:$A$1079,0),MATCH(O$3&amp;"",PQ_Aug!$B$1:$AF$1&amp;"",0)),0)</f>
        <v>1</v>
      </c>
      <c r="P10" s="151"/>
      <c r="Q10" s="150" cm="1">
        <f t="array" ref="Q10">IFERROR(INDEX(PQ_Aug!$B$2:$AF$1079,MATCH($C10,PQ_Aug!$A$2:$A$1079,0),MATCH(Q$3&amp;"",PQ_Aug!$B$1:$AF$1&amp;"",0)),0)</f>
        <v>2</v>
      </c>
      <c r="R10" s="150" cm="1">
        <f t="array" ref="R10">IFERROR(INDEX(PQ_Aug!$B$2:$AF$1079,MATCH($C10,PQ_Aug!$A$2:$A$1079,0),MATCH(R$3&amp;"",PQ_Aug!$B$1:$AF$1&amp;"",0)),0)</f>
        <v>1</v>
      </c>
      <c r="S10" s="150" cm="1">
        <f t="array" ref="S10">IFERROR(INDEX(PQ_Aug!$B$2:$AF$1079,MATCH($C10,PQ_Aug!$A$2:$A$1079,0),MATCH(S$3&amp;"",PQ_Aug!$B$1:$AF$1&amp;"",0)),0)</f>
        <v>2</v>
      </c>
      <c r="T10" s="150" cm="1">
        <f t="array" ref="T10">IFERROR(INDEX(PQ_Aug!$B$2:$AF$1079,MATCH($C10,PQ_Aug!$A$2:$A$1079,0),MATCH(T$3&amp;"",PQ_Aug!$B$1:$AF$1&amp;"",0)),0)</f>
        <v>1</v>
      </c>
      <c r="U10" s="150" cm="1">
        <f t="array" ref="U10">IFERROR(INDEX(PQ_Aug!$B$2:$AF$1079,MATCH($C10,PQ_Aug!$A$2:$A$1079,0),MATCH(U$3&amp;"",PQ_Aug!$B$1:$AF$1&amp;"",0)),0)</f>
        <v>0</v>
      </c>
      <c r="V10" s="150" cm="1">
        <f t="array" ref="V10">IFERROR(INDEX(PQ_Aug!$B$2:$AF$1079,MATCH($C10,PQ_Aug!$A$2:$A$1079,0),MATCH(V$3&amp;"",PQ_Aug!$B$1:$AF$1&amp;"",0)),0)</f>
        <v>0</v>
      </c>
      <c r="W10" s="151"/>
      <c r="X10" s="151"/>
      <c r="Y10" s="150" cm="1">
        <f t="array" ref="Y10">IFERROR(INDEX(PQ_Aug!$B$2:$AF$1079,MATCH($C10,PQ_Aug!$A$2:$A$1079,0),MATCH(Y$3&amp;"",PQ_Aug!$B$1:$AF$1&amp;"",0)),0)</f>
        <v>2</v>
      </c>
      <c r="Z10" s="150" cm="1">
        <f t="array" ref="Z10">IFERROR(INDEX(PQ_Aug!$B$2:$AF$1079,MATCH($C10,PQ_Aug!$A$2:$A$1079,0),MATCH(Z$3&amp;"",PQ_Aug!$B$1:$AF$1&amp;"",0)),0)</f>
        <v>2</v>
      </c>
      <c r="AA10" s="150" cm="1">
        <f t="array" ref="AA10">IFERROR(INDEX(PQ_Aug!$B$2:$AF$1079,MATCH($C10,PQ_Aug!$A$2:$A$1079,0),MATCH(AA$3&amp;"",PQ_Aug!$B$1:$AF$1&amp;"",0)),0)</f>
        <v>2</v>
      </c>
      <c r="AB10" s="150" cm="1">
        <f t="array" ref="AB10">IFERROR(INDEX(PQ_Aug!$B$2:$AF$1079,MATCH($C10,PQ_Aug!$A$2:$A$1079,0),MATCH(AB$3&amp;"",PQ_Aug!$B$1:$AF$1&amp;"",0)),0)</f>
        <v>0</v>
      </c>
      <c r="AC10" s="150" cm="1">
        <f t="array" ref="AC10">IFERROR(INDEX(PQ_Aug!$B$2:$AF$1079,MATCH($C10,PQ_Aug!$A$2:$A$1079,0),MATCH(AC$3&amp;"",PQ_Aug!$B$1:$AF$1&amp;"",0)),0)</f>
        <v>1</v>
      </c>
      <c r="AD10" s="151"/>
      <c r="AE10" s="150" cm="1">
        <f t="array" ref="AE10">IFERROR(INDEX(PQ_Aug!$B$2:$AF$1079,MATCH($C10,PQ_Aug!$A$2:$A$1079,0),MATCH(AE$3&amp;"",PQ_Aug!$B$1:$AF$1&amp;"",0)),0)</f>
        <v>1</v>
      </c>
      <c r="AF10" s="151"/>
      <c r="AG10" s="150"/>
      <c r="AH10" s="150"/>
      <c r="AI10" s="150"/>
      <c r="AJ10" s="150"/>
      <c r="AK10" s="151"/>
      <c r="AL10" s="150"/>
      <c r="AM10" s="152">
        <v>4</v>
      </c>
      <c r="AN10" s="150">
        <f t="shared" si="4"/>
        <v>30</v>
      </c>
      <c r="AO10" s="153">
        <f t="shared" si="1"/>
        <v>64</v>
      </c>
      <c r="AP10" s="154">
        <v>30</v>
      </c>
      <c r="AQ10" s="154" t="s">
        <v>21</v>
      </c>
      <c r="AR10" s="155">
        <v>46238</v>
      </c>
      <c r="AS10" s="156">
        <v>1</v>
      </c>
      <c r="AT10" s="161"/>
      <c r="AU10" s="153"/>
      <c r="AV10" s="159">
        <v>46245</v>
      </c>
      <c r="AW10" s="161"/>
      <c r="AX10" s="153">
        <f t="shared" si="5"/>
        <v>60</v>
      </c>
      <c r="AY10" s="153">
        <f t="shared" si="6"/>
        <v>0</v>
      </c>
      <c r="AZ10" s="153">
        <f t="shared" si="2"/>
        <v>60</v>
      </c>
      <c r="BA10" s="153">
        <f t="shared" si="3"/>
        <v>64</v>
      </c>
      <c r="BB10" s="160"/>
      <c r="BC10" s="30"/>
      <c r="BD10" s="36"/>
      <c r="BE10" s="34" t="s">
        <v>109</v>
      </c>
      <c r="BF10" s="30"/>
    </row>
    <row r="11" spans="1:58" ht="22.5" customHeight="1">
      <c r="A11" s="242">
        <f t="shared" si="7"/>
        <v>48</v>
      </c>
      <c r="B11" s="243"/>
      <c r="C11" s="133" t="s">
        <v>106</v>
      </c>
      <c r="D11" s="148">
        <v>60</v>
      </c>
      <c r="E11" s="148">
        <v>19</v>
      </c>
      <c r="F11" s="148">
        <v>12</v>
      </c>
      <c r="G11" s="149">
        <f>Juli2026!AO11</f>
        <v>76</v>
      </c>
      <c r="H11" s="150" cm="1">
        <f t="array" ref="H11">IFERROR(INDEX(PQ_Aug!$B$2:$AF$1079,MATCH($C11,PQ_Aug!$A$2:$A$1079,0),MATCH(H$3&amp;"",PQ_Aug!$B$1:$AF$1&amp;"",0)),0)</f>
        <v>0</v>
      </c>
      <c r="I11" s="151"/>
      <c r="J11" s="150" cm="1">
        <f t="array" ref="J11">IFERROR(INDEX(PQ_Aug!$B$2:$AF$1079,MATCH($C11,PQ_Aug!$A$2:$A$1079,0),MATCH(J$3&amp;"",PQ_Aug!$B$1:$AF$1&amp;"",0)),0)</f>
        <v>0</v>
      </c>
      <c r="K11" s="150" cm="1">
        <f t="array" ref="K11">IFERROR(INDEX(PQ_Aug!$B$2:$AF$1079,MATCH($C11,PQ_Aug!$A$2:$A$1079,0),MATCH(K$3&amp;"",PQ_Aug!$B$1:$AF$1&amp;"",0)),0)</f>
        <v>1</v>
      </c>
      <c r="L11" s="150" cm="1">
        <f t="array" ref="L11">IFERROR(INDEX(PQ_Aug!$B$2:$AF$1079,MATCH($C11,PQ_Aug!$A$2:$A$1079,0),MATCH(L$3&amp;"",PQ_Aug!$B$1:$AF$1&amp;"",0)),0)</f>
        <v>8</v>
      </c>
      <c r="M11" s="150" cm="1">
        <f t="array" ref="M11">IFERROR(INDEX(PQ_Aug!$B$2:$AF$1079,MATCH($C11,PQ_Aug!$A$2:$A$1079,0),MATCH(M$3&amp;"",PQ_Aug!$B$1:$AF$1&amp;"",0)),0)</f>
        <v>2</v>
      </c>
      <c r="N11" s="150" cm="1">
        <f t="array" ref="N11">IFERROR(INDEX(PQ_Aug!$B$2:$AF$1079,MATCH($C11,PQ_Aug!$A$2:$A$1079,0),MATCH(N$3&amp;"",PQ_Aug!$B$1:$AF$1&amp;"",0)),0)</f>
        <v>0</v>
      </c>
      <c r="O11" s="150" cm="1">
        <f t="array" ref="O11">IFERROR(INDEX(PQ_Aug!$B$2:$AF$1079,MATCH($C11,PQ_Aug!$A$2:$A$1079,0),MATCH(O$3&amp;"",PQ_Aug!$B$1:$AF$1&amp;"",0)),0)</f>
        <v>1</v>
      </c>
      <c r="P11" s="151"/>
      <c r="Q11" s="150" cm="1">
        <f t="array" ref="Q11">IFERROR(INDEX(PQ_Aug!$B$2:$AF$1079,MATCH($C11,PQ_Aug!$A$2:$A$1079,0),MATCH(Q$3&amp;"",PQ_Aug!$B$1:$AF$1&amp;"",0)),0)</f>
        <v>1</v>
      </c>
      <c r="R11" s="150" cm="1">
        <f t="array" ref="R11">IFERROR(INDEX(PQ_Aug!$B$2:$AF$1079,MATCH($C11,PQ_Aug!$A$2:$A$1079,0),MATCH(R$3&amp;"",PQ_Aug!$B$1:$AF$1&amp;"",0)),0)</f>
        <v>0</v>
      </c>
      <c r="S11" s="150" cm="1">
        <f t="array" ref="S11">IFERROR(INDEX(PQ_Aug!$B$2:$AF$1079,MATCH($C11,PQ_Aug!$A$2:$A$1079,0),MATCH(S$3&amp;"",PQ_Aug!$B$1:$AF$1&amp;"",0)),0)</f>
        <v>2</v>
      </c>
      <c r="T11" s="150" cm="1">
        <f t="array" ref="T11">IFERROR(INDEX(PQ_Aug!$B$2:$AF$1079,MATCH($C11,PQ_Aug!$A$2:$A$1079,0),MATCH(T$3&amp;"",PQ_Aug!$B$1:$AF$1&amp;"",0)),0)</f>
        <v>1</v>
      </c>
      <c r="U11" s="150" cm="1">
        <f t="array" ref="U11">IFERROR(INDEX(PQ_Aug!$B$2:$AF$1079,MATCH($C11,PQ_Aug!$A$2:$A$1079,0),MATCH(U$3&amp;"",PQ_Aug!$B$1:$AF$1&amp;"",0)),0)</f>
        <v>0</v>
      </c>
      <c r="V11" s="150" cm="1">
        <f t="array" ref="V11">IFERROR(INDEX(PQ_Aug!$B$2:$AF$1079,MATCH($C11,PQ_Aug!$A$2:$A$1079,0),MATCH(V$3&amp;"",PQ_Aug!$B$1:$AF$1&amp;"",0)),0)</f>
        <v>0</v>
      </c>
      <c r="W11" s="151"/>
      <c r="X11" s="151"/>
      <c r="Y11" s="150" cm="1">
        <f t="array" ref="Y11">IFERROR(INDEX(PQ_Aug!$B$2:$AF$1079,MATCH($C11,PQ_Aug!$A$2:$A$1079,0),MATCH(Y$3&amp;"",PQ_Aug!$B$1:$AF$1&amp;"",0)),0)</f>
        <v>2</v>
      </c>
      <c r="Z11" s="150" cm="1">
        <f t="array" ref="Z11">IFERROR(INDEX(PQ_Aug!$B$2:$AF$1079,MATCH($C11,PQ_Aug!$A$2:$A$1079,0),MATCH(Z$3&amp;"",PQ_Aug!$B$1:$AF$1&amp;"",0)),0)</f>
        <v>2</v>
      </c>
      <c r="AA11" s="150" cm="1">
        <f t="array" ref="AA11">IFERROR(INDEX(PQ_Aug!$B$2:$AF$1079,MATCH($C11,PQ_Aug!$A$2:$A$1079,0),MATCH(AA$3&amp;"",PQ_Aug!$B$1:$AF$1&amp;"",0)),0)</f>
        <v>2</v>
      </c>
      <c r="AB11" s="150" cm="1">
        <f t="array" ref="AB11">IFERROR(INDEX(PQ_Aug!$B$2:$AF$1079,MATCH($C11,PQ_Aug!$A$2:$A$1079,0),MATCH(AB$3&amp;"",PQ_Aug!$B$1:$AF$1&amp;"",0)),0)</f>
        <v>0</v>
      </c>
      <c r="AC11" s="150" cm="1">
        <f t="array" ref="AC11">IFERROR(INDEX(PQ_Aug!$B$2:$AF$1079,MATCH($C11,PQ_Aug!$A$2:$A$1079,0),MATCH(AC$3&amp;"",PQ_Aug!$B$1:$AF$1&amp;"",0)),0)</f>
        <v>1</v>
      </c>
      <c r="AD11" s="151"/>
      <c r="AE11" s="150" cm="1">
        <f t="array" ref="AE11">IFERROR(INDEX(PQ_Aug!$B$2:$AF$1079,MATCH($C11,PQ_Aug!$A$2:$A$1079,0),MATCH(AE$3&amp;"",PQ_Aug!$B$1:$AF$1&amp;"",0)),0)</f>
        <v>1</v>
      </c>
      <c r="AF11" s="151"/>
      <c r="AG11" s="150"/>
      <c r="AH11" s="150"/>
      <c r="AI11" s="150"/>
      <c r="AJ11" s="150"/>
      <c r="AK11" s="151"/>
      <c r="AL11" s="150"/>
      <c r="AM11" s="152">
        <v>4</v>
      </c>
      <c r="AN11" s="150">
        <f t="shared" si="4"/>
        <v>28</v>
      </c>
      <c r="AO11" s="153">
        <f t="shared" si="1"/>
        <v>48</v>
      </c>
      <c r="AP11" s="154">
        <v>30</v>
      </c>
      <c r="AQ11" s="154" t="s">
        <v>21</v>
      </c>
      <c r="AR11" s="161"/>
      <c r="AS11" s="153"/>
      <c r="AT11" s="161"/>
      <c r="AU11" s="153"/>
      <c r="AV11" s="159"/>
      <c r="AW11" s="161"/>
      <c r="AX11" s="153">
        <f t="shared" si="5"/>
        <v>0</v>
      </c>
      <c r="AY11" s="153">
        <f t="shared" si="6"/>
        <v>0</v>
      </c>
      <c r="AZ11" s="153">
        <f t="shared" si="2"/>
        <v>0</v>
      </c>
      <c r="BA11" s="153">
        <f t="shared" si="3"/>
        <v>48</v>
      </c>
      <c r="BB11" s="164"/>
      <c r="BC11" s="30"/>
      <c r="BD11" s="244" t="s">
        <v>27</v>
      </c>
      <c r="BE11" s="244"/>
      <c r="BF11" s="30"/>
    </row>
    <row r="12" spans="1:58" ht="22.5" customHeight="1">
      <c r="A12" s="233">
        <f t="shared" si="7"/>
        <v>37</v>
      </c>
      <c r="B12" s="234"/>
      <c r="C12" s="133" t="s">
        <v>107</v>
      </c>
      <c r="D12" s="148">
        <v>60</v>
      </c>
      <c r="E12" s="148">
        <v>14</v>
      </c>
      <c r="F12" s="148">
        <v>29</v>
      </c>
      <c r="G12" s="149">
        <f>Juli2026!AO12</f>
        <v>85</v>
      </c>
      <c r="H12" s="150" cm="1">
        <f t="array" ref="H12">IFERROR(INDEX(PQ_Aug!$B$2:$AF$1079,MATCH($C12,PQ_Aug!$A$2:$A$1079,0),MATCH(H$3&amp;"",PQ_Aug!$B$1:$AF$1&amp;"",0)),0)</f>
        <v>2</v>
      </c>
      <c r="I12" s="151"/>
      <c r="J12" s="150" cm="1">
        <f t="array" ref="J12">IFERROR(INDEX(PQ_Aug!$B$2:$AF$1079,MATCH($C12,PQ_Aug!$A$2:$A$1079,0),MATCH(J$3&amp;"",PQ_Aug!$B$1:$AF$1&amp;"",0)),0)</f>
        <v>2</v>
      </c>
      <c r="K12" s="150" cm="1">
        <f t="array" ref="K12">IFERROR(INDEX(PQ_Aug!$B$2:$AF$1079,MATCH($C12,PQ_Aug!$A$2:$A$1079,0),MATCH(K$3&amp;"",PQ_Aug!$B$1:$AF$1&amp;"",0)),0)</f>
        <v>1</v>
      </c>
      <c r="L12" s="150">
        <v>5</v>
      </c>
      <c r="M12" s="150" cm="1">
        <f t="array" ref="M12">IFERROR(INDEX(PQ_Aug!$B$2:$AF$1079,MATCH($C12,PQ_Aug!$A$2:$A$1079,0),MATCH(M$3&amp;"",PQ_Aug!$B$1:$AF$1&amp;"",0)),0)</f>
        <v>3</v>
      </c>
      <c r="N12" s="150" cm="1">
        <f t="array" ref="N12">IFERROR(INDEX(PQ_Aug!$B$2:$AF$1079,MATCH($C12,PQ_Aug!$A$2:$A$1079,0),MATCH(N$3&amp;"",PQ_Aug!$B$1:$AF$1&amp;"",0)),0)</f>
        <v>0</v>
      </c>
      <c r="O12" s="150" cm="1">
        <f t="array" ref="O12">IFERROR(INDEX(PQ_Aug!$B$2:$AF$1079,MATCH($C12,PQ_Aug!$A$2:$A$1079,0),MATCH(O$3&amp;"",PQ_Aug!$B$1:$AF$1&amp;"",0)),0)</f>
        <v>4</v>
      </c>
      <c r="P12" s="151"/>
      <c r="Q12" s="150" cm="1">
        <f t="array" ref="Q12">IFERROR(INDEX(PQ_Aug!$B$2:$AF$1079,MATCH($C12,PQ_Aug!$A$2:$A$1079,0),MATCH(Q$3&amp;"",PQ_Aug!$B$1:$AF$1&amp;"",0)),0)</f>
        <v>4</v>
      </c>
      <c r="R12" s="150" cm="1">
        <f t="array" ref="R12">IFERROR(INDEX(PQ_Aug!$B$2:$AF$1079,MATCH($C12,PQ_Aug!$A$2:$A$1079,0),MATCH(R$3&amp;"",PQ_Aug!$B$1:$AF$1&amp;"",0)),0)</f>
        <v>3</v>
      </c>
      <c r="S12" s="150" cm="1">
        <f t="array" ref="S12">IFERROR(INDEX(PQ_Aug!$B$2:$AF$1079,MATCH($C12,PQ_Aug!$A$2:$A$1079,0),MATCH(S$3&amp;"",PQ_Aug!$B$1:$AF$1&amp;"",0)),0)</f>
        <v>1</v>
      </c>
      <c r="T12" s="150" cm="1">
        <f t="array" ref="T12">IFERROR(INDEX(PQ_Aug!$B$2:$AF$1079,MATCH($C12,PQ_Aug!$A$2:$A$1079,0),MATCH(T$3&amp;"",PQ_Aug!$B$1:$AF$1&amp;"",0)),0)</f>
        <v>1</v>
      </c>
      <c r="U12" s="150" cm="1">
        <f t="array" ref="U12">IFERROR(INDEX(PQ_Aug!$B$2:$AF$1079,MATCH($C12,PQ_Aug!$A$2:$A$1079,0),MATCH(U$3&amp;"",PQ_Aug!$B$1:$AF$1&amp;"",0)),0)</f>
        <v>1</v>
      </c>
      <c r="V12" s="150" cm="1">
        <f t="array" ref="V12">IFERROR(INDEX(PQ_Aug!$B$2:$AF$1079,MATCH($C12,PQ_Aug!$A$2:$A$1079,0),MATCH(V$3&amp;"",PQ_Aug!$B$1:$AF$1&amp;"",0)),0)</f>
        <v>4</v>
      </c>
      <c r="W12" s="151"/>
      <c r="X12" s="151"/>
      <c r="Y12" s="150" cm="1">
        <f t="array" ref="Y12">IFERROR(INDEX(PQ_Aug!$B$2:$AF$1079,MATCH($C12,PQ_Aug!$A$2:$A$1079,0),MATCH(Y$3&amp;"",PQ_Aug!$B$1:$AF$1&amp;"",0)),0)</f>
        <v>2</v>
      </c>
      <c r="Z12" s="150" cm="1">
        <f t="array" ref="Z12">IFERROR(INDEX(PQ_Aug!$B$2:$AF$1079,MATCH($C12,PQ_Aug!$A$2:$A$1079,0),MATCH(Z$3&amp;"",PQ_Aug!$B$1:$AF$1&amp;"",0)),0)</f>
        <v>4</v>
      </c>
      <c r="AA12" s="150" cm="1">
        <f t="array" ref="AA12">IFERROR(INDEX(PQ_Aug!$B$2:$AF$1079,MATCH($C12,PQ_Aug!$A$2:$A$1079,0),MATCH(AA$3&amp;"",PQ_Aug!$B$1:$AF$1&amp;"",0)),0)</f>
        <v>2</v>
      </c>
      <c r="AB12" s="150" cm="1">
        <f t="array" ref="AB12">IFERROR(INDEX(PQ_Aug!$B$2:$AF$1079,MATCH($C12,PQ_Aug!$A$2:$A$1079,0),MATCH(AB$3&amp;"",PQ_Aug!$B$1:$AF$1&amp;"",0)),0)</f>
        <v>0</v>
      </c>
      <c r="AC12" s="150" cm="1">
        <f t="array" ref="AC12">IFERROR(INDEX(PQ_Aug!$B$2:$AF$1079,MATCH($C12,PQ_Aug!$A$2:$A$1079,0),MATCH(AC$3&amp;"",PQ_Aug!$B$1:$AF$1&amp;"",0)),0)</f>
        <v>2</v>
      </c>
      <c r="AD12" s="151"/>
      <c r="AE12" s="150" cm="1">
        <f t="array" ref="AE12">IFERROR(INDEX(PQ_Aug!$B$2:$AF$1079,MATCH($C12,PQ_Aug!$A$2:$A$1079,0),MATCH(AE$3&amp;"",PQ_Aug!$B$1:$AF$1&amp;"",0)),0)</f>
        <v>4</v>
      </c>
      <c r="AF12" s="151"/>
      <c r="AG12" s="150"/>
      <c r="AH12" s="150"/>
      <c r="AI12" s="150"/>
      <c r="AJ12" s="150"/>
      <c r="AK12" s="151"/>
      <c r="AL12" s="150"/>
      <c r="AM12" s="152">
        <v>3</v>
      </c>
      <c r="AN12" s="150">
        <f t="shared" si="4"/>
        <v>48</v>
      </c>
      <c r="AO12" s="153">
        <f t="shared" si="1"/>
        <v>37</v>
      </c>
      <c r="AP12" s="154">
        <v>40</v>
      </c>
      <c r="AQ12" s="154" t="s">
        <v>21</v>
      </c>
      <c r="AR12" s="161"/>
      <c r="AS12" s="153"/>
      <c r="AT12" s="161"/>
      <c r="AU12" s="153"/>
      <c r="AV12" s="161"/>
      <c r="AW12" s="161"/>
      <c r="AX12" s="153">
        <f t="shared" si="5"/>
        <v>0</v>
      </c>
      <c r="AY12" s="153">
        <f t="shared" si="6"/>
        <v>0</v>
      </c>
      <c r="AZ12" s="153">
        <f t="shared" si="2"/>
        <v>0</v>
      </c>
      <c r="BA12" s="153">
        <f t="shared" si="3"/>
        <v>37</v>
      </c>
      <c r="BB12" s="165"/>
      <c r="BC12" s="30"/>
      <c r="BD12" s="30"/>
      <c r="BE12" s="30"/>
      <c r="BF12" s="30"/>
    </row>
    <row r="13" spans="1:58" ht="22.5" customHeight="1">
      <c r="A13" s="233">
        <f t="shared" si="7"/>
        <v>54</v>
      </c>
      <c r="B13" s="234"/>
      <c r="C13" s="133" t="s">
        <v>108</v>
      </c>
      <c r="D13" s="148">
        <v>60</v>
      </c>
      <c r="E13" s="148">
        <v>29</v>
      </c>
      <c r="F13" s="148">
        <v>33</v>
      </c>
      <c r="G13" s="149">
        <f>Juli2026!AO13</f>
        <v>90</v>
      </c>
      <c r="H13" s="150" cm="1">
        <f t="array" ref="H13">IFERROR(INDEX(PQ_Aug!$B$2:$AF$1079,MATCH($C13,PQ_Aug!$A$2:$A$1079,0),MATCH(H$3&amp;"",PQ_Aug!$B$1:$AF$1&amp;"",0)),0)</f>
        <v>3</v>
      </c>
      <c r="I13" s="151"/>
      <c r="J13" s="150" cm="1">
        <f t="array" ref="J13">IFERROR(INDEX(PQ_Aug!$B$2:$AF$1079,MATCH($C13,PQ_Aug!$A$2:$A$1079,0),MATCH(J$3&amp;"",PQ_Aug!$B$1:$AF$1&amp;"",0)),0)</f>
        <v>3</v>
      </c>
      <c r="K13" s="150" cm="1">
        <f t="array" ref="K13">IFERROR(INDEX(PQ_Aug!$B$2:$AF$1079,MATCH($C13,PQ_Aug!$A$2:$A$1079,0),MATCH(K$3&amp;"",PQ_Aug!$B$1:$AF$1&amp;"",0)),0)</f>
        <v>0</v>
      </c>
      <c r="L13" s="150" cm="1">
        <f t="array" ref="L13">IFERROR(INDEX(PQ_Aug!$B$2:$AF$1079,MATCH($C13,PQ_Aug!$A$2:$A$1079,0),MATCH(L$3&amp;"",PQ_Aug!$B$1:$AF$1&amp;"",0)),0)</f>
        <v>3</v>
      </c>
      <c r="M13" s="150" cm="1">
        <f t="array" ref="M13">IFERROR(INDEX(PQ_Aug!$B$2:$AF$1079,MATCH($C13,PQ_Aug!$A$2:$A$1079,0),MATCH(M$3&amp;"",PQ_Aug!$B$1:$AF$1&amp;"",0)),0)</f>
        <v>3</v>
      </c>
      <c r="N13" s="150" cm="1">
        <f t="array" ref="N13">IFERROR(INDEX(PQ_Aug!$B$2:$AF$1079,MATCH($C13,PQ_Aug!$A$2:$A$1079,0),MATCH(N$3&amp;"",PQ_Aug!$B$1:$AF$1&amp;"",0)),0)</f>
        <v>1</v>
      </c>
      <c r="O13" s="150" cm="1">
        <f t="array" ref="O13">IFERROR(INDEX(PQ_Aug!$B$2:$AF$1079,MATCH($C13,PQ_Aug!$A$2:$A$1079,0),MATCH(O$3&amp;"",PQ_Aug!$B$1:$AF$1&amp;"",0)),0)</f>
        <v>1</v>
      </c>
      <c r="P13" s="151"/>
      <c r="Q13" s="150" cm="1">
        <f t="array" ref="Q13">IFERROR(INDEX(PQ_Aug!$B$2:$AF$1079,MATCH($C13,PQ_Aug!$A$2:$A$1079,0),MATCH(Q$3&amp;"",PQ_Aug!$B$1:$AF$1&amp;"",0)),0)</f>
        <v>2</v>
      </c>
      <c r="R13" s="150" cm="1">
        <f t="array" ref="R13">IFERROR(INDEX(PQ_Aug!$B$2:$AF$1079,MATCH($C13,PQ_Aug!$A$2:$A$1079,0),MATCH(R$3&amp;"",PQ_Aug!$B$1:$AF$1&amp;"",0)),0)</f>
        <v>2</v>
      </c>
      <c r="S13" s="150" cm="1">
        <f t="array" ref="S13">IFERROR(INDEX(PQ_Aug!$B$2:$AF$1079,MATCH($C13,PQ_Aug!$A$2:$A$1079,0),MATCH(S$3&amp;"",PQ_Aug!$B$1:$AF$1&amp;"",0)),0)</f>
        <v>2</v>
      </c>
      <c r="T13" s="150" cm="1">
        <f t="array" ref="T13">IFERROR(INDEX(PQ_Aug!$B$2:$AF$1079,MATCH($C13,PQ_Aug!$A$2:$A$1079,0),MATCH(T$3&amp;"",PQ_Aug!$B$1:$AF$1&amp;"",0)),0)</f>
        <v>1</v>
      </c>
      <c r="U13" s="150" cm="1">
        <f t="array" ref="U13">IFERROR(INDEX(PQ_Aug!$B$2:$AF$1079,MATCH($C13,PQ_Aug!$A$2:$A$1079,0),MATCH(U$3&amp;"",PQ_Aug!$B$1:$AF$1&amp;"",0)),0)</f>
        <v>3</v>
      </c>
      <c r="V13" s="150" cm="1">
        <f t="array" ref="V13">IFERROR(INDEX(PQ_Aug!$B$2:$AF$1079,MATCH($C13,PQ_Aug!$A$2:$A$1079,0),MATCH(V$3&amp;"",PQ_Aug!$B$1:$AF$1&amp;"",0)),0)</f>
        <v>1</v>
      </c>
      <c r="W13" s="151"/>
      <c r="X13" s="151"/>
      <c r="Y13" s="150" cm="1">
        <f t="array" ref="Y13">IFERROR(INDEX(PQ_Aug!$B$2:$AF$1079,MATCH($C13,PQ_Aug!$A$2:$A$1079,0),MATCH(Y$3&amp;"",PQ_Aug!$B$1:$AF$1&amp;"",0)),0)</f>
        <v>1</v>
      </c>
      <c r="Z13" s="150" cm="1">
        <f t="array" ref="Z13">IFERROR(INDEX(PQ_Aug!$B$2:$AF$1079,MATCH($C13,PQ_Aug!$A$2:$A$1079,0),MATCH(Z$3&amp;"",PQ_Aug!$B$1:$AF$1&amp;"",0)),0)</f>
        <v>1</v>
      </c>
      <c r="AA13" s="150" cm="1">
        <f t="array" ref="AA13">IFERROR(INDEX(PQ_Aug!$B$2:$AF$1079,MATCH($C13,PQ_Aug!$A$2:$A$1079,0),MATCH(AA$3&amp;"",PQ_Aug!$B$1:$AF$1&amp;"",0)),0)</f>
        <v>1</v>
      </c>
      <c r="AB13" s="150" cm="1">
        <f t="array" ref="AB13">IFERROR(INDEX(PQ_Aug!$B$2:$AF$1079,MATCH($C13,PQ_Aug!$A$2:$A$1079,0),MATCH(AB$3&amp;"",PQ_Aug!$B$1:$AF$1&amp;"",0)),0)</f>
        <v>0</v>
      </c>
      <c r="AC13" s="150" cm="1">
        <f t="array" ref="AC13">IFERROR(INDEX(PQ_Aug!$B$2:$AF$1079,MATCH($C13,PQ_Aug!$A$2:$A$1079,0),MATCH(AC$3&amp;"",PQ_Aug!$B$1:$AF$1&amp;"",0)),0)</f>
        <v>2</v>
      </c>
      <c r="AD13" s="151"/>
      <c r="AE13" s="150" cm="1">
        <f t="array" ref="AE13">IFERROR(INDEX(PQ_Aug!$B$2:$AF$1079,MATCH($C13,PQ_Aug!$A$2:$A$1079,0),MATCH(AE$3&amp;"",PQ_Aug!$B$1:$AF$1&amp;"",0)),0)</f>
        <v>3</v>
      </c>
      <c r="AF13" s="151"/>
      <c r="AG13" s="150"/>
      <c r="AH13" s="150"/>
      <c r="AI13" s="150"/>
      <c r="AJ13" s="150"/>
      <c r="AK13" s="151"/>
      <c r="AL13" s="150"/>
      <c r="AM13" s="152">
        <v>3</v>
      </c>
      <c r="AN13" s="150">
        <f t="shared" si="4"/>
        <v>36</v>
      </c>
      <c r="AO13" s="153">
        <f t="shared" si="1"/>
        <v>54</v>
      </c>
      <c r="AP13" s="154">
        <v>40</v>
      </c>
      <c r="AQ13" s="154" t="s">
        <v>21</v>
      </c>
      <c r="AR13" s="161"/>
      <c r="AS13" s="153"/>
      <c r="AT13" s="161"/>
      <c r="AU13" s="153"/>
      <c r="AV13" s="159"/>
      <c r="AW13" s="159"/>
      <c r="AX13" s="153">
        <f t="shared" si="5"/>
        <v>0</v>
      </c>
      <c r="AY13" s="153">
        <f t="shared" si="6"/>
        <v>0</v>
      </c>
      <c r="AZ13" s="153">
        <f t="shared" si="2"/>
        <v>0</v>
      </c>
      <c r="BA13" s="153">
        <f t="shared" si="3"/>
        <v>54</v>
      </c>
      <c r="BB13" s="158"/>
      <c r="BC13" s="30"/>
      <c r="BD13" s="30"/>
      <c r="BE13" s="30"/>
      <c r="BF13" s="30"/>
    </row>
    <row r="14" spans="1:58" ht="22.5" customHeight="1">
      <c r="A14" s="242" t="e">
        <f t="shared" si="7"/>
        <v>#REF!</v>
      </c>
      <c r="B14" s="243"/>
      <c r="C14" s="133" t="s">
        <v>110</v>
      </c>
      <c r="D14" s="148">
        <v>60</v>
      </c>
      <c r="E14" s="148">
        <v>23</v>
      </c>
      <c r="F14" s="148">
        <v>20</v>
      </c>
      <c r="G14" s="149" t="e">
        <f>Juli2026!AO14</f>
        <v>#REF!</v>
      </c>
      <c r="H14" s="150" cm="1">
        <f t="array" ref="H14">IFERROR(INDEX(PQ_Aug!$B$2:$AF$1079,MATCH($C14,PQ_Aug!$A$2:$A$1079,0),MATCH(H$3&amp;"",PQ_Aug!$B$1:$AF$1&amp;"",0)),0)</f>
        <v>1</v>
      </c>
      <c r="I14" s="151"/>
      <c r="J14" s="150" cm="1">
        <f t="array" ref="J14">IFERROR(INDEX(PQ_Aug!$B$2:$AF$1079,MATCH($C14,PQ_Aug!$A$2:$A$1079,0),MATCH(J$3&amp;"",PQ_Aug!$B$1:$AF$1&amp;"",0)),0)</f>
        <v>0</v>
      </c>
      <c r="K14" s="150" cm="1">
        <f t="array" ref="K14">IFERROR(INDEX(PQ_Aug!$B$2:$AF$1079,MATCH($C14,PQ_Aug!$A$2:$A$1079,0),MATCH(K$3&amp;"",PQ_Aug!$B$1:$AF$1&amp;"",0)),0)</f>
        <v>0</v>
      </c>
      <c r="L14" s="150" cm="1">
        <f t="array" ref="L14">IFERROR(INDEX(PQ_Aug!$B$2:$AF$1079,MATCH($C14,PQ_Aug!$A$2:$A$1079,0),MATCH(L$3&amp;"",PQ_Aug!$B$1:$AF$1&amp;"",0)),0)</f>
        <v>0</v>
      </c>
      <c r="M14" s="150" cm="1">
        <f t="array" ref="M14">IFERROR(INDEX(PQ_Aug!$B$2:$AF$1079,MATCH($C14,PQ_Aug!$A$2:$A$1079,0),MATCH(M$3&amp;"",PQ_Aug!$B$1:$AF$1&amp;"",0)),0)</f>
        <v>0</v>
      </c>
      <c r="N14" s="150" cm="1">
        <f t="array" ref="N14">IFERROR(INDEX(PQ_Aug!$B$2:$AF$1079,MATCH($C14,PQ_Aug!$A$2:$A$1079,0),MATCH(N$3&amp;"",PQ_Aug!$B$1:$AF$1&amp;"",0)),0)</f>
        <v>2</v>
      </c>
      <c r="O14" s="150" cm="1">
        <f t="array" ref="O14">IFERROR(INDEX(PQ_Aug!$B$2:$AF$1079,MATCH($C14,PQ_Aug!$A$2:$A$1079,0),MATCH(O$3&amp;"",PQ_Aug!$B$1:$AF$1&amp;"",0)),0)</f>
        <v>0</v>
      </c>
      <c r="P14" s="151"/>
      <c r="Q14" s="150" cm="1">
        <f t="array" ref="Q14">IFERROR(INDEX(PQ_Aug!$B$2:$AF$1079,MATCH($C14,PQ_Aug!$A$2:$A$1079,0),MATCH(Q$3&amp;"",PQ_Aug!$B$1:$AF$1&amp;"",0)),0)</f>
        <v>1</v>
      </c>
      <c r="R14" s="150" cm="1">
        <f t="array" ref="R14">IFERROR(INDEX(PQ_Aug!$B$2:$AF$1079,MATCH($C14,PQ_Aug!$A$2:$A$1079,0),MATCH(R$3&amp;"",PQ_Aug!$B$1:$AF$1&amp;"",0)),0)</f>
        <v>3</v>
      </c>
      <c r="S14" s="150" cm="1">
        <f t="array" ref="S14">IFERROR(INDEX(PQ_Aug!$B$2:$AF$1079,MATCH($C14,PQ_Aug!$A$2:$A$1079,0),MATCH(S$3&amp;"",PQ_Aug!$B$1:$AF$1&amp;"",0)),0)</f>
        <v>0</v>
      </c>
      <c r="T14" s="150" cm="1">
        <f t="array" ref="T14">IFERROR(INDEX(PQ_Aug!$B$2:$AF$1079,MATCH($C14,PQ_Aug!$A$2:$A$1079,0),MATCH(T$3&amp;"",PQ_Aug!$B$1:$AF$1&amp;"",0)),0)</f>
        <v>2</v>
      </c>
      <c r="U14" s="150" cm="1">
        <f t="array" ref="U14">IFERROR(INDEX(PQ_Aug!$B$2:$AF$1079,MATCH($C14,PQ_Aug!$A$2:$A$1079,0),MATCH(U$3&amp;"",PQ_Aug!$B$1:$AF$1&amp;"",0)),0)</f>
        <v>0</v>
      </c>
      <c r="V14" s="150" cm="1">
        <f t="array" ref="V14">IFERROR(INDEX(PQ_Aug!$B$2:$AF$1079,MATCH($C14,PQ_Aug!$A$2:$A$1079,0),MATCH(V$3&amp;"",PQ_Aug!$B$1:$AF$1&amp;"",0)),0)</f>
        <v>0</v>
      </c>
      <c r="W14" s="151"/>
      <c r="X14" s="151"/>
      <c r="Y14" s="150" cm="1">
        <f t="array" ref="Y14">IFERROR(INDEX(PQ_Aug!$B$2:$AF$1079,MATCH($C14,PQ_Aug!$A$2:$A$1079,0),MATCH(Y$3&amp;"",PQ_Aug!$B$1:$AF$1&amp;"",0)),0)</f>
        <v>0</v>
      </c>
      <c r="Z14" s="150" cm="1">
        <f t="array" ref="Z14">IFERROR(INDEX(PQ_Aug!$B$2:$AF$1079,MATCH($C14,PQ_Aug!$A$2:$A$1079,0),MATCH(Z$3&amp;"",PQ_Aug!$B$1:$AF$1&amp;"",0)),0)</f>
        <v>1</v>
      </c>
      <c r="AA14" s="150" cm="1">
        <f t="array" ref="AA14">IFERROR(INDEX(PQ_Aug!$B$2:$AF$1079,MATCH($C14,PQ_Aug!$A$2:$A$1079,0),MATCH(AA$3&amp;"",PQ_Aug!$B$1:$AF$1&amp;"",0)),0)</f>
        <v>1</v>
      </c>
      <c r="AB14" s="150" cm="1">
        <f t="array" ref="AB14">IFERROR(INDEX(PQ_Aug!$B$2:$AF$1079,MATCH($C14,PQ_Aug!$A$2:$A$1079,0),MATCH(AB$3&amp;"",PQ_Aug!$B$1:$AF$1&amp;"",0)),0)</f>
        <v>0</v>
      </c>
      <c r="AC14" s="150" cm="1">
        <f t="array" ref="AC14">IFERROR(INDEX(PQ_Aug!$B$2:$AF$1079,MATCH($C14,PQ_Aug!$A$2:$A$1079,0),MATCH(AC$3&amp;"",PQ_Aug!$B$1:$AF$1&amp;"",0)),0)</f>
        <v>0</v>
      </c>
      <c r="AD14" s="151"/>
      <c r="AE14" s="150" cm="1">
        <f t="array" ref="AE14">IFERROR(INDEX(PQ_Aug!$B$2:$AF$1079,MATCH($C14,PQ_Aug!$A$2:$A$1079,0),MATCH(AE$3&amp;"",PQ_Aug!$B$1:$AF$1&amp;"",0)),0)</f>
        <v>1</v>
      </c>
      <c r="AF14" s="151"/>
      <c r="AG14" s="150"/>
      <c r="AH14" s="150"/>
      <c r="AI14" s="150"/>
      <c r="AJ14" s="150"/>
      <c r="AK14" s="151"/>
      <c r="AL14" s="150"/>
      <c r="AM14" s="152"/>
      <c r="AN14" s="150">
        <f t="shared" si="4"/>
        <v>12</v>
      </c>
      <c r="AO14" s="153" t="e">
        <f t="shared" si="1"/>
        <v>#REF!</v>
      </c>
      <c r="AP14" s="154">
        <v>20</v>
      </c>
      <c r="AQ14" s="154" t="s">
        <v>21</v>
      </c>
      <c r="AR14" s="161"/>
      <c r="AS14" s="153"/>
      <c r="AT14" s="161"/>
      <c r="AU14" s="153"/>
      <c r="AV14" s="161"/>
      <c r="AW14" s="161"/>
      <c r="AX14" s="153">
        <f t="shared" si="5"/>
        <v>0</v>
      </c>
      <c r="AY14" s="153">
        <f t="shared" si="6"/>
        <v>0</v>
      </c>
      <c r="AZ14" s="153">
        <f t="shared" si="2"/>
        <v>0</v>
      </c>
      <c r="BA14" s="153" t="e">
        <f t="shared" si="3"/>
        <v>#REF!</v>
      </c>
      <c r="BB14" s="160"/>
      <c r="BC14" s="30"/>
      <c r="BD14" s="30"/>
      <c r="BE14" s="30"/>
      <c r="BF14" s="30"/>
    </row>
    <row r="15" spans="1:58" ht="22.5" customHeight="1">
      <c r="A15" s="233">
        <f t="shared" si="7"/>
        <v>15</v>
      </c>
      <c r="B15" s="234"/>
      <c r="C15" s="133" t="s">
        <v>111</v>
      </c>
      <c r="D15" s="148">
        <v>60</v>
      </c>
      <c r="E15" s="148">
        <v>30</v>
      </c>
      <c r="F15" s="148">
        <v>23</v>
      </c>
      <c r="G15" s="149">
        <f>Juli2026!AO16</f>
        <v>46</v>
      </c>
      <c r="H15" s="150" cm="1">
        <f t="array" ref="H15">IFERROR(INDEX(PQ_Aug!$B$2:$AF$1079,MATCH($C15,PQ_Aug!$A$2:$A$1079,0),MATCH(H$3&amp;"",PQ_Aug!$B$1:$AF$1&amp;"",0)),0)</f>
        <v>2</v>
      </c>
      <c r="I15" s="151"/>
      <c r="J15" s="150" cm="1">
        <f t="array" ref="J15">IFERROR(INDEX(PQ_Aug!$B$2:$AF$1079,MATCH($C15,PQ_Aug!$A$2:$A$1079,0),MATCH(J$3&amp;"",PQ_Aug!$B$1:$AF$1&amp;"",0)),0)</f>
        <v>2</v>
      </c>
      <c r="K15" s="150" cm="1">
        <f t="array" ref="K15">IFERROR(INDEX(PQ_Aug!$B$2:$AF$1079,MATCH($C15,PQ_Aug!$A$2:$A$1079,0),MATCH(K$3&amp;"",PQ_Aug!$B$1:$AF$1&amp;"",0)),0)</f>
        <v>1</v>
      </c>
      <c r="L15" s="150" cm="1">
        <f t="array" ref="L15">IFERROR(INDEX(PQ_Aug!$B$2:$AF$1079,MATCH($C15,PQ_Aug!$A$2:$A$1079,0),MATCH(L$3&amp;"",PQ_Aug!$B$1:$AF$1&amp;"",0)),0)</f>
        <v>0</v>
      </c>
      <c r="M15" s="150" cm="1">
        <f t="array" ref="M15">IFERROR(INDEX(PQ_Aug!$B$2:$AF$1079,MATCH($C15,PQ_Aug!$A$2:$A$1079,0),MATCH(M$3&amp;"",PQ_Aug!$B$1:$AF$1&amp;"",0)),0)</f>
        <v>1</v>
      </c>
      <c r="N15" s="150" cm="1">
        <f t="array" ref="N15">IFERROR(INDEX(PQ_Aug!$B$2:$AF$1079,MATCH($C15,PQ_Aug!$A$2:$A$1079,0),MATCH(N$3&amp;"",PQ_Aug!$B$1:$AF$1&amp;"",0)),0)</f>
        <v>0</v>
      </c>
      <c r="O15" s="150" cm="1">
        <f t="array" ref="O15">IFERROR(INDEX(PQ_Aug!$B$2:$AF$1079,MATCH($C15,PQ_Aug!$A$2:$A$1079,0),MATCH(O$3&amp;"",PQ_Aug!$B$1:$AF$1&amp;"",0)),0)</f>
        <v>6</v>
      </c>
      <c r="P15" s="151"/>
      <c r="Q15" s="150" cm="1">
        <f t="array" ref="Q15">IFERROR(INDEX(PQ_Aug!$B$2:$AF$1079,MATCH($C15,PQ_Aug!$A$2:$A$1079,0),MATCH(Q$3&amp;"",PQ_Aug!$B$1:$AF$1&amp;"",0)),0)</f>
        <v>3</v>
      </c>
      <c r="R15" s="150" cm="1">
        <f t="array" ref="R15">IFERROR(INDEX(PQ_Aug!$B$2:$AF$1079,MATCH($C15,PQ_Aug!$A$2:$A$1079,0),MATCH(R$3&amp;"",PQ_Aug!$B$1:$AF$1&amp;"",0)),0)</f>
        <v>1</v>
      </c>
      <c r="S15" s="150" cm="1">
        <f t="array" ref="S15">IFERROR(INDEX(PQ_Aug!$B$2:$AF$1079,MATCH($C15,PQ_Aug!$A$2:$A$1079,0),MATCH(S$3&amp;"",PQ_Aug!$B$1:$AF$1&amp;"",0)),0)</f>
        <v>2</v>
      </c>
      <c r="T15" s="150" cm="1">
        <f t="array" ref="T15">IFERROR(INDEX(PQ_Aug!$B$2:$AF$1079,MATCH($C15,PQ_Aug!$A$2:$A$1079,0),MATCH(T$3&amp;"",PQ_Aug!$B$1:$AF$1&amp;"",0)),0)</f>
        <v>0</v>
      </c>
      <c r="U15" s="150" cm="1">
        <f t="array" ref="U15">IFERROR(INDEX(PQ_Aug!$B$2:$AF$1079,MATCH($C15,PQ_Aug!$A$2:$A$1079,0),MATCH(U$3&amp;"",PQ_Aug!$B$1:$AF$1&amp;"",0)),0)</f>
        <v>0</v>
      </c>
      <c r="V15" s="150" cm="1">
        <f t="array" ref="V15">IFERROR(INDEX(PQ_Aug!$B$2:$AF$1079,MATCH($C15,PQ_Aug!$A$2:$A$1079,0),MATCH(V$3&amp;"",PQ_Aug!$B$1:$AF$1&amp;"",0)),0)</f>
        <v>1</v>
      </c>
      <c r="W15" s="151"/>
      <c r="X15" s="151"/>
      <c r="Y15" s="150" cm="1">
        <f t="array" ref="Y15">IFERROR(INDEX(PQ_Aug!$B$2:$AF$1079,MATCH($C15,PQ_Aug!$A$2:$A$1079,0),MATCH(Y$3&amp;"",PQ_Aug!$B$1:$AF$1&amp;"",0)),0)</f>
        <v>3</v>
      </c>
      <c r="Z15" s="150" cm="1">
        <f t="array" ref="Z15">IFERROR(INDEX(PQ_Aug!$B$2:$AF$1079,MATCH($C15,PQ_Aug!$A$2:$A$1079,0),MATCH(Z$3&amp;"",PQ_Aug!$B$1:$AF$1&amp;"",0)),0)</f>
        <v>2</v>
      </c>
      <c r="AA15" s="150" cm="1">
        <f t="array" ref="AA15">IFERROR(INDEX(PQ_Aug!$B$2:$AF$1079,MATCH($C15,PQ_Aug!$A$2:$A$1079,0),MATCH(AA$3&amp;"",PQ_Aug!$B$1:$AF$1&amp;"",0)),0)</f>
        <v>0</v>
      </c>
      <c r="AB15" s="150" cm="1">
        <f t="array" ref="AB15">IFERROR(INDEX(PQ_Aug!$B$2:$AF$1079,MATCH($C15,PQ_Aug!$A$2:$A$1079,0),MATCH(AB$3&amp;"",PQ_Aug!$B$1:$AF$1&amp;"",0)),0)</f>
        <v>0</v>
      </c>
      <c r="AC15" s="150" cm="1">
        <f t="array" ref="AC15">IFERROR(INDEX(PQ_Aug!$B$2:$AF$1079,MATCH($C15,PQ_Aug!$A$2:$A$1079,0),MATCH(AC$3&amp;"",PQ_Aug!$B$1:$AF$1&amp;"",0)),0)</f>
        <v>3</v>
      </c>
      <c r="AD15" s="151"/>
      <c r="AE15" s="150" cm="1">
        <f t="array" ref="AE15">IFERROR(INDEX(PQ_Aug!$B$2:$AF$1079,MATCH($C15,PQ_Aug!$A$2:$A$1079,0),MATCH(AE$3&amp;"",PQ_Aug!$B$1:$AF$1&amp;"",0)),0)</f>
        <v>1</v>
      </c>
      <c r="AF15" s="151"/>
      <c r="AG15" s="150"/>
      <c r="AH15" s="150"/>
      <c r="AI15" s="150"/>
      <c r="AJ15" s="150"/>
      <c r="AK15" s="151"/>
      <c r="AL15" s="150"/>
      <c r="AM15" s="152">
        <v>3</v>
      </c>
      <c r="AN15" s="150">
        <f t="shared" si="4"/>
        <v>31</v>
      </c>
      <c r="AO15" s="153">
        <f t="shared" si="1"/>
        <v>15</v>
      </c>
      <c r="AP15" s="154">
        <v>20</v>
      </c>
      <c r="AQ15" s="154" t="s">
        <v>21</v>
      </c>
      <c r="AR15" s="161">
        <v>46253</v>
      </c>
      <c r="AS15" s="153">
        <v>1</v>
      </c>
      <c r="AT15" s="161"/>
      <c r="AU15" s="153"/>
      <c r="AV15" s="159"/>
      <c r="AW15" s="161"/>
      <c r="AX15" s="153">
        <f t="shared" si="5"/>
        <v>0</v>
      </c>
      <c r="AY15" s="153">
        <f t="shared" si="6"/>
        <v>0</v>
      </c>
      <c r="AZ15" s="153">
        <f t="shared" si="2"/>
        <v>0</v>
      </c>
      <c r="BA15" s="153">
        <f t="shared" si="3"/>
        <v>15</v>
      </c>
      <c r="BB15" s="160"/>
      <c r="BC15" s="30"/>
      <c r="BD15" s="30"/>
      <c r="BE15" s="30"/>
      <c r="BF15" s="30"/>
    </row>
    <row r="16" spans="1:58" ht="22.5" customHeight="1">
      <c r="A16" s="233">
        <f t="shared" si="7"/>
        <v>8</v>
      </c>
      <c r="B16" s="234"/>
      <c r="C16" s="133" t="s">
        <v>112</v>
      </c>
      <c r="D16" s="148">
        <v>60</v>
      </c>
      <c r="E16" s="148">
        <v>30</v>
      </c>
      <c r="F16" s="148">
        <v>40</v>
      </c>
      <c r="G16" s="149">
        <f>Juli2026!AO17</f>
        <v>31</v>
      </c>
      <c r="H16" s="150" cm="1">
        <f t="array" ref="H16">IFERROR(INDEX(PQ_Aug!$B$2:$AF$1079,MATCH($C16,PQ_Aug!$A$2:$A$1079,0),MATCH(H$3&amp;"",PQ_Aug!$B$1:$AF$1&amp;"",0)),0)</f>
        <v>4</v>
      </c>
      <c r="I16" s="151"/>
      <c r="J16" s="150" cm="1">
        <f t="array" ref="J16">IFERROR(INDEX(PQ_Aug!$B$2:$AF$1079,MATCH($C16,PQ_Aug!$A$2:$A$1079,0),MATCH(J$3&amp;"",PQ_Aug!$B$1:$AF$1&amp;"",0)),0)</f>
        <v>2</v>
      </c>
      <c r="K16" s="150" cm="1">
        <f t="array" ref="K16">IFERROR(INDEX(PQ_Aug!$B$2:$AF$1079,MATCH($C16,PQ_Aug!$A$2:$A$1079,0),MATCH(K$3&amp;"",PQ_Aug!$B$1:$AF$1&amp;"",0)),0)</f>
        <v>2</v>
      </c>
      <c r="L16" s="150" cm="1">
        <f t="array" ref="L16">IFERROR(INDEX(PQ_Aug!$B$2:$AF$1079,MATCH($C16,PQ_Aug!$A$2:$A$1079,0),MATCH(L$3&amp;"",PQ_Aug!$B$1:$AF$1&amp;"",0)),0)</f>
        <v>0</v>
      </c>
      <c r="M16" s="150" cm="1">
        <f t="array" ref="M16">IFERROR(INDEX(PQ_Aug!$B$2:$AF$1079,MATCH($C16,PQ_Aug!$A$2:$A$1079,0),MATCH(M$3&amp;"",PQ_Aug!$B$1:$AF$1&amp;"",0)),0)</f>
        <v>2</v>
      </c>
      <c r="N16" s="150" cm="1">
        <f t="array" ref="N16">IFERROR(INDEX(PQ_Aug!$B$2:$AF$1079,MATCH($C16,PQ_Aug!$A$2:$A$1079,0),MATCH(N$3&amp;"",PQ_Aug!$B$1:$AF$1&amp;"",0)),0)</f>
        <v>1</v>
      </c>
      <c r="O16" s="150" cm="1">
        <f t="array" ref="O16">IFERROR(INDEX(PQ_Aug!$B$2:$AF$1079,MATCH($C16,PQ_Aug!$A$2:$A$1079,0),MATCH(O$3&amp;"",PQ_Aug!$B$1:$AF$1&amp;"",0)),0)</f>
        <v>0</v>
      </c>
      <c r="P16" s="151"/>
      <c r="Q16" s="150" cm="1">
        <f t="array" ref="Q16">IFERROR(INDEX(PQ_Aug!$B$2:$AF$1079,MATCH($C16,PQ_Aug!$A$2:$A$1079,0),MATCH(Q$3&amp;"",PQ_Aug!$B$1:$AF$1&amp;"",0)),0)</f>
        <v>2</v>
      </c>
      <c r="R16" s="150" cm="1">
        <f t="array" ref="R16">IFERROR(INDEX(PQ_Aug!$B$2:$AF$1079,MATCH($C16,PQ_Aug!$A$2:$A$1079,0),MATCH(R$3&amp;"",PQ_Aug!$B$1:$AF$1&amp;"",0)),0)</f>
        <v>0</v>
      </c>
      <c r="S16" s="150" cm="1">
        <f t="array" ref="S16">IFERROR(INDEX(PQ_Aug!$B$2:$AF$1079,MATCH($C16,PQ_Aug!$A$2:$A$1079,0),MATCH(S$3&amp;"",PQ_Aug!$B$1:$AF$1&amp;"",0)),0)</f>
        <v>1</v>
      </c>
      <c r="T16" s="150" cm="1">
        <f t="array" ref="T16">IFERROR(INDEX(PQ_Aug!$B$2:$AF$1079,MATCH($C16,PQ_Aug!$A$2:$A$1079,0),MATCH(T$3&amp;"",PQ_Aug!$B$1:$AF$1&amp;"",0)),0)</f>
        <v>0</v>
      </c>
      <c r="U16" s="150" cm="1">
        <f t="array" ref="U16">IFERROR(INDEX(PQ_Aug!$B$2:$AF$1079,MATCH($C16,PQ_Aug!$A$2:$A$1079,0),MATCH(U$3&amp;"",PQ_Aug!$B$1:$AF$1&amp;"",0)),0)</f>
        <v>3</v>
      </c>
      <c r="V16" s="150" cm="1">
        <f t="array" ref="V16">IFERROR(INDEX(PQ_Aug!$B$2:$AF$1079,MATCH($C16,PQ_Aug!$A$2:$A$1079,0),MATCH(V$3&amp;"",PQ_Aug!$B$1:$AF$1&amp;"",0)),0)</f>
        <v>1</v>
      </c>
      <c r="W16" s="151"/>
      <c r="X16" s="151"/>
      <c r="Y16" s="150" cm="1">
        <f t="array" ref="Y16">IFERROR(INDEX(PQ_Aug!$B$2:$AF$1079,MATCH($C16,PQ_Aug!$A$2:$A$1079,0),MATCH(Y$3&amp;"",PQ_Aug!$B$1:$AF$1&amp;"",0)),0)</f>
        <v>1</v>
      </c>
      <c r="Z16" s="150" cm="1">
        <f t="array" ref="Z16">IFERROR(INDEX(PQ_Aug!$B$2:$AF$1079,MATCH($C16,PQ_Aug!$A$2:$A$1079,0),MATCH(Z$3&amp;"",PQ_Aug!$B$1:$AF$1&amp;"",0)),0)</f>
        <v>1</v>
      </c>
      <c r="AA16" s="150" cm="1">
        <f t="array" ref="AA16">IFERROR(INDEX(PQ_Aug!$B$2:$AF$1079,MATCH($C16,PQ_Aug!$A$2:$A$1079,0),MATCH(AA$3&amp;"",PQ_Aug!$B$1:$AF$1&amp;"",0)),0)</f>
        <v>1</v>
      </c>
      <c r="AB16" s="150" cm="1">
        <f t="array" ref="AB16">IFERROR(INDEX(PQ_Aug!$B$2:$AF$1079,MATCH($C16,PQ_Aug!$A$2:$A$1079,0),MATCH(AB$3&amp;"",PQ_Aug!$B$1:$AF$1&amp;"",0)),0)</f>
        <v>0</v>
      </c>
      <c r="AC16" s="150" cm="1">
        <f t="array" ref="AC16">IFERROR(INDEX(PQ_Aug!$B$2:$AF$1079,MATCH($C16,PQ_Aug!$A$2:$A$1079,0),MATCH(AC$3&amp;"",PQ_Aug!$B$1:$AF$1&amp;"",0)),0)</f>
        <v>0</v>
      </c>
      <c r="AD16" s="151"/>
      <c r="AE16" s="150" cm="1">
        <f t="array" ref="AE16">IFERROR(INDEX(PQ_Aug!$B$2:$AF$1079,MATCH($C16,PQ_Aug!$A$2:$A$1079,0),MATCH(AE$3&amp;"",PQ_Aug!$B$1:$AF$1&amp;"",0)),0)</f>
        <v>2</v>
      </c>
      <c r="AF16" s="151"/>
      <c r="AG16" s="150"/>
      <c r="AH16" s="150"/>
      <c r="AI16" s="150"/>
      <c r="AJ16" s="150"/>
      <c r="AK16" s="151"/>
      <c r="AL16" s="150"/>
      <c r="AM16" s="152"/>
      <c r="AN16" s="150">
        <f t="shared" si="4"/>
        <v>23</v>
      </c>
      <c r="AO16" s="153">
        <f t="shared" si="1"/>
        <v>8</v>
      </c>
      <c r="AP16" s="154">
        <v>20</v>
      </c>
      <c r="AQ16" s="154" t="s">
        <v>21</v>
      </c>
      <c r="AR16" s="161">
        <v>46253</v>
      </c>
      <c r="AS16" s="153">
        <v>1</v>
      </c>
      <c r="AT16" s="161"/>
      <c r="AU16" s="153"/>
      <c r="AV16" s="161"/>
      <c r="AW16" s="161"/>
      <c r="AX16" s="153">
        <f t="shared" si="5"/>
        <v>0</v>
      </c>
      <c r="AY16" s="153">
        <f t="shared" si="6"/>
        <v>0</v>
      </c>
      <c r="AZ16" s="153">
        <f t="shared" si="2"/>
        <v>0</v>
      </c>
      <c r="BA16" s="153">
        <f t="shared" si="3"/>
        <v>8</v>
      </c>
      <c r="BB16" s="160"/>
      <c r="BC16" s="30"/>
      <c r="BD16" s="30"/>
      <c r="BE16" s="30"/>
      <c r="BF16" s="30"/>
    </row>
    <row r="17" spans="1:58" ht="22.5" customHeight="1">
      <c r="A17" s="242">
        <f t="shared" si="7"/>
        <v>18</v>
      </c>
      <c r="B17" s="243"/>
      <c r="C17" s="133" t="s">
        <v>113</v>
      </c>
      <c r="D17" s="148">
        <v>60</v>
      </c>
      <c r="E17" s="148">
        <v>6</v>
      </c>
      <c r="F17" s="148">
        <v>12</v>
      </c>
      <c r="G17" s="149">
        <f>Juli2026!AO18</f>
        <v>34</v>
      </c>
      <c r="H17" s="150" cm="1">
        <f t="array" ref="H17">IFERROR(INDEX(PQ_Aug!$B$2:$AF$1079,MATCH($C17,PQ_Aug!$A$2:$A$1079,0),MATCH(H$3&amp;"",PQ_Aug!$B$1:$AF$1&amp;"",0)),0)</f>
        <v>0</v>
      </c>
      <c r="I17" s="151"/>
      <c r="J17" s="150" cm="1">
        <f t="array" ref="J17">IFERROR(INDEX(PQ_Aug!$B$2:$AF$1079,MATCH($C17,PQ_Aug!$A$2:$A$1079,0),MATCH(J$3&amp;"",PQ_Aug!$B$1:$AF$1&amp;"",0)),0)</f>
        <v>1</v>
      </c>
      <c r="K17" s="150" cm="1">
        <f t="array" ref="K17">IFERROR(INDEX(PQ_Aug!$B$2:$AF$1079,MATCH($C17,PQ_Aug!$A$2:$A$1079,0),MATCH(K$3&amp;"",PQ_Aug!$B$1:$AF$1&amp;"",0)),0)</f>
        <v>0</v>
      </c>
      <c r="L17" s="150" cm="1">
        <f t="array" ref="L17">IFERROR(INDEX(PQ_Aug!$B$2:$AF$1079,MATCH($C17,PQ_Aug!$A$2:$A$1079,0),MATCH(L$3&amp;"",PQ_Aug!$B$1:$AF$1&amp;"",0)),0)</f>
        <v>2</v>
      </c>
      <c r="M17" s="150" cm="1">
        <f t="array" ref="M17">IFERROR(INDEX(PQ_Aug!$B$2:$AF$1079,MATCH($C17,PQ_Aug!$A$2:$A$1079,0),MATCH(M$3&amp;"",PQ_Aug!$B$1:$AF$1&amp;"",0)),0)</f>
        <v>1</v>
      </c>
      <c r="N17" s="150" cm="1">
        <f t="array" ref="N17">IFERROR(INDEX(PQ_Aug!$B$2:$AF$1079,MATCH($C17,PQ_Aug!$A$2:$A$1079,0),MATCH(N$3&amp;"",PQ_Aug!$B$1:$AF$1&amp;"",0)),0)</f>
        <v>1</v>
      </c>
      <c r="O17" s="150" cm="1">
        <f t="array" ref="O17">IFERROR(INDEX(PQ_Aug!$B$2:$AF$1079,MATCH($C17,PQ_Aug!$A$2:$A$1079,0),MATCH(O$3&amp;"",PQ_Aug!$B$1:$AF$1&amp;"",0)),0)</f>
        <v>3</v>
      </c>
      <c r="P17" s="151"/>
      <c r="Q17" s="150" cm="1">
        <f t="array" ref="Q17">IFERROR(INDEX(PQ_Aug!$B$2:$AF$1079,MATCH($C17,PQ_Aug!$A$2:$A$1079,0),MATCH(Q$3&amp;"",PQ_Aug!$B$1:$AF$1&amp;"",0)),0)</f>
        <v>0</v>
      </c>
      <c r="R17" s="150" cm="1">
        <f t="array" ref="R17">IFERROR(INDEX(PQ_Aug!$B$2:$AF$1079,MATCH($C17,PQ_Aug!$A$2:$A$1079,0),MATCH(R$3&amp;"",PQ_Aug!$B$1:$AF$1&amp;"",0)),0)</f>
        <v>0</v>
      </c>
      <c r="S17" s="150" cm="1">
        <f t="array" ref="S17">IFERROR(INDEX(PQ_Aug!$B$2:$AF$1079,MATCH($C17,PQ_Aug!$A$2:$A$1079,0),MATCH(S$3&amp;"",PQ_Aug!$B$1:$AF$1&amp;"",0)),0)</f>
        <v>0</v>
      </c>
      <c r="T17" s="150" cm="1">
        <f t="array" ref="T17">IFERROR(INDEX(PQ_Aug!$B$2:$AF$1079,MATCH($C17,PQ_Aug!$A$2:$A$1079,0),MATCH(T$3&amp;"",PQ_Aug!$B$1:$AF$1&amp;"",0)),0)</f>
        <v>1</v>
      </c>
      <c r="U17" s="150" cm="1">
        <f t="array" ref="U17">IFERROR(INDEX(PQ_Aug!$B$2:$AF$1079,MATCH($C17,PQ_Aug!$A$2:$A$1079,0),MATCH(U$3&amp;"",PQ_Aug!$B$1:$AF$1&amp;"",0)),0)</f>
        <v>1</v>
      </c>
      <c r="V17" s="150" cm="1">
        <f t="array" ref="V17">IFERROR(INDEX(PQ_Aug!$B$2:$AF$1079,MATCH($C17,PQ_Aug!$A$2:$A$1079,0),MATCH(V$3&amp;"",PQ_Aug!$B$1:$AF$1&amp;"",0)),0)</f>
        <v>1</v>
      </c>
      <c r="W17" s="151"/>
      <c r="X17" s="151"/>
      <c r="Y17" s="150" cm="1">
        <f t="array" ref="Y17">IFERROR(INDEX(PQ_Aug!$B$2:$AF$1079,MATCH($C17,PQ_Aug!$A$2:$A$1079,0),MATCH(Y$3&amp;"",PQ_Aug!$B$1:$AF$1&amp;"",0)),0)</f>
        <v>2</v>
      </c>
      <c r="Z17" s="150" cm="1">
        <f t="array" ref="Z17">IFERROR(INDEX(PQ_Aug!$B$2:$AF$1079,MATCH($C17,PQ_Aug!$A$2:$A$1079,0),MATCH(Z$3&amp;"",PQ_Aug!$B$1:$AF$1&amp;"",0)),0)</f>
        <v>1</v>
      </c>
      <c r="AA17" s="150" cm="1">
        <f t="array" ref="AA17">IFERROR(INDEX(PQ_Aug!$B$2:$AF$1079,MATCH($C17,PQ_Aug!$A$2:$A$1079,0),MATCH(AA$3&amp;"",PQ_Aug!$B$1:$AF$1&amp;"",0)),0)</f>
        <v>2</v>
      </c>
      <c r="AB17" s="150" cm="1">
        <f t="array" ref="AB17">IFERROR(INDEX(PQ_Aug!$B$2:$AF$1079,MATCH($C17,PQ_Aug!$A$2:$A$1079,0),MATCH(AB$3&amp;"",PQ_Aug!$B$1:$AF$1&amp;"",0)),0)</f>
        <v>0</v>
      </c>
      <c r="AC17" s="150" cm="1">
        <f t="array" ref="AC17">IFERROR(INDEX(PQ_Aug!$B$2:$AF$1079,MATCH($C17,PQ_Aug!$A$2:$A$1079,0),MATCH(AC$3&amp;"",PQ_Aug!$B$1:$AF$1&amp;"",0)),0)</f>
        <v>0</v>
      </c>
      <c r="AD17" s="151"/>
      <c r="AE17" s="150" cm="1">
        <f t="array" ref="AE17">IFERROR(INDEX(PQ_Aug!$B$2:$AF$1079,MATCH($C17,PQ_Aug!$A$2:$A$1079,0),MATCH(AE$3&amp;"",PQ_Aug!$B$1:$AF$1&amp;"",0)),0)</f>
        <v>0</v>
      </c>
      <c r="AF17" s="151"/>
      <c r="AG17" s="150"/>
      <c r="AH17" s="150"/>
      <c r="AI17" s="150"/>
      <c r="AJ17" s="150"/>
      <c r="AK17" s="151"/>
      <c r="AL17" s="150"/>
      <c r="AM17" s="152"/>
      <c r="AN17" s="150">
        <f t="shared" si="4"/>
        <v>16</v>
      </c>
      <c r="AO17" s="153">
        <f t="shared" si="1"/>
        <v>18</v>
      </c>
      <c r="AP17" s="154">
        <v>20</v>
      </c>
      <c r="AQ17" s="154" t="s">
        <v>21</v>
      </c>
      <c r="AR17" s="161">
        <v>46253</v>
      </c>
      <c r="AS17" s="153">
        <v>1</v>
      </c>
      <c r="AT17" s="161"/>
      <c r="AU17" s="153"/>
      <c r="AV17" s="161"/>
      <c r="AW17" s="161"/>
      <c r="AX17" s="153">
        <f t="shared" si="5"/>
        <v>0</v>
      </c>
      <c r="AY17" s="153">
        <f t="shared" si="6"/>
        <v>0</v>
      </c>
      <c r="AZ17" s="153">
        <f t="shared" si="2"/>
        <v>0</v>
      </c>
      <c r="BA17" s="153">
        <f t="shared" si="3"/>
        <v>18</v>
      </c>
      <c r="BB17" s="160"/>
      <c r="BC17" s="30"/>
      <c r="BD17" s="30"/>
      <c r="BE17" s="30"/>
      <c r="BF17" s="30"/>
    </row>
    <row r="18" spans="1:58" ht="22.5" customHeight="1">
      <c r="A18" s="233">
        <f t="shared" si="7"/>
        <v>19</v>
      </c>
      <c r="B18" s="234"/>
      <c r="C18" s="133" t="s">
        <v>114</v>
      </c>
      <c r="D18" s="148">
        <v>60</v>
      </c>
      <c r="E18" s="148">
        <v>3</v>
      </c>
      <c r="F18" s="148">
        <v>6</v>
      </c>
      <c r="G18" s="149">
        <f>Juli2026!AO19</f>
        <v>26</v>
      </c>
      <c r="H18" s="150" cm="1">
        <f t="array" ref="H18">IFERROR(INDEX(PQ_Aug!$B$2:$AF$1079,MATCH($C18,PQ_Aug!$A$2:$A$1079,0),MATCH(H$3&amp;"",PQ_Aug!$B$1:$AF$1&amp;"",0)),0)</f>
        <v>0</v>
      </c>
      <c r="I18" s="151"/>
      <c r="J18" s="150" cm="1">
        <f t="array" ref="J18">IFERROR(INDEX(PQ_Aug!$B$2:$AF$1079,MATCH($C18,PQ_Aug!$A$2:$A$1079,0),MATCH(J$3&amp;"",PQ_Aug!$B$1:$AF$1&amp;"",0)),0)</f>
        <v>0</v>
      </c>
      <c r="K18" s="150" cm="1">
        <f t="array" ref="K18">IFERROR(INDEX(PQ_Aug!$B$2:$AF$1079,MATCH($C18,PQ_Aug!$A$2:$A$1079,0),MATCH(K$3&amp;"",PQ_Aug!$B$1:$AF$1&amp;"",0)),0)</f>
        <v>0</v>
      </c>
      <c r="L18" s="150" cm="1">
        <f t="array" ref="L18">IFERROR(INDEX(PQ_Aug!$B$2:$AF$1079,MATCH($C18,PQ_Aug!$A$2:$A$1079,0),MATCH(L$3&amp;"",PQ_Aug!$B$1:$AF$1&amp;"",0)),0)</f>
        <v>0</v>
      </c>
      <c r="M18" s="150" cm="1">
        <f t="array" ref="M18">IFERROR(INDEX(PQ_Aug!$B$2:$AF$1079,MATCH($C18,PQ_Aug!$A$2:$A$1079,0),MATCH(M$3&amp;"",PQ_Aug!$B$1:$AF$1&amp;"",0)),0)</f>
        <v>1</v>
      </c>
      <c r="N18" s="150" cm="1">
        <f t="array" ref="N18">IFERROR(INDEX(PQ_Aug!$B$2:$AF$1079,MATCH($C18,PQ_Aug!$A$2:$A$1079,0),MATCH(N$3&amp;"",PQ_Aug!$B$1:$AF$1&amp;"",0)),0)</f>
        <v>1</v>
      </c>
      <c r="O18" s="150" cm="1">
        <f t="array" ref="O18">IFERROR(INDEX(PQ_Aug!$B$2:$AF$1079,MATCH($C18,PQ_Aug!$A$2:$A$1079,0),MATCH(O$3&amp;"",PQ_Aug!$B$1:$AF$1&amp;"",0)),0)</f>
        <v>2</v>
      </c>
      <c r="P18" s="151"/>
      <c r="Q18" s="150" cm="1">
        <f t="array" ref="Q18">IFERROR(INDEX(PQ_Aug!$B$2:$AF$1079,MATCH($C18,PQ_Aug!$A$2:$A$1079,0),MATCH(Q$3&amp;"",PQ_Aug!$B$1:$AF$1&amp;"",0)),0)</f>
        <v>1</v>
      </c>
      <c r="R18" s="150" cm="1">
        <f t="array" ref="R18">IFERROR(INDEX(PQ_Aug!$B$2:$AF$1079,MATCH($C18,PQ_Aug!$A$2:$A$1079,0),MATCH(R$3&amp;"",PQ_Aug!$B$1:$AF$1&amp;"",0)),0)</f>
        <v>0</v>
      </c>
      <c r="S18" s="150" cm="1">
        <f t="array" ref="S18">IFERROR(INDEX(PQ_Aug!$B$2:$AF$1079,MATCH($C18,PQ_Aug!$A$2:$A$1079,0),MATCH(S$3&amp;"",PQ_Aug!$B$1:$AF$1&amp;"",0)),0)</f>
        <v>0</v>
      </c>
      <c r="T18" s="150" cm="1">
        <f t="array" ref="T18">IFERROR(INDEX(PQ_Aug!$B$2:$AF$1079,MATCH($C18,PQ_Aug!$A$2:$A$1079,0),MATCH(T$3&amp;"",PQ_Aug!$B$1:$AF$1&amp;"",0)),0)</f>
        <v>0</v>
      </c>
      <c r="U18" s="150" cm="1">
        <f t="array" ref="U18">IFERROR(INDEX(PQ_Aug!$B$2:$AF$1079,MATCH($C18,PQ_Aug!$A$2:$A$1079,0),MATCH(U$3&amp;"",PQ_Aug!$B$1:$AF$1&amp;"",0)),0)</f>
        <v>0</v>
      </c>
      <c r="V18" s="150" cm="1">
        <f t="array" ref="V18">IFERROR(INDEX(PQ_Aug!$B$2:$AF$1079,MATCH($C18,PQ_Aug!$A$2:$A$1079,0),MATCH(V$3&amp;"",PQ_Aug!$B$1:$AF$1&amp;"",0)),0)</f>
        <v>0</v>
      </c>
      <c r="W18" s="151"/>
      <c r="X18" s="151"/>
      <c r="Y18" s="150" cm="1">
        <f t="array" ref="Y18">IFERROR(INDEX(PQ_Aug!$B$2:$AF$1079,MATCH($C18,PQ_Aug!$A$2:$A$1079,0),MATCH(Y$3&amp;"",PQ_Aug!$B$1:$AF$1&amp;"",0)),0)</f>
        <v>1</v>
      </c>
      <c r="Z18" s="150" cm="1">
        <f t="array" ref="Z18">IFERROR(INDEX(PQ_Aug!$B$2:$AF$1079,MATCH($C18,PQ_Aug!$A$2:$A$1079,0),MATCH(Z$3&amp;"",PQ_Aug!$B$1:$AF$1&amp;"",0)),0)</f>
        <v>0</v>
      </c>
      <c r="AA18" s="150" cm="1">
        <f t="array" ref="AA18">IFERROR(INDEX(PQ_Aug!$B$2:$AF$1079,MATCH($C18,PQ_Aug!$A$2:$A$1079,0),MATCH(AA$3&amp;"",PQ_Aug!$B$1:$AF$1&amp;"",0)),0)</f>
        <v>0</v>
      </c>
      <c r="AB18" s="150" cm="1">
        <f t="array" ref="AB18">IFERROR(INDEX(PQ_Aug!$B$2:$AF$1079,MATCH($C18,PQ_Aug!$A$2:$A$1079,0),MATCH(AB$3&amp;"",PQ_Aug!$B$1:$AF$1&amp;"",0)),0)</f>
        <v>0</v>
      </c>
      <c r="AC18" s="150" cm="1">
        <f t="array" ref="AC18">IFERROR(INDEX(PQ_Aug!$B$2:$AF$1079,MATCH($C18,PQ_Aug!$A$2:$A$1079,0),MATCH(AC$3&amp;"",PQ_Aug!$B$1:$AF$1&amp;"",0)),0)</f>
        <v>0</v>
      </c>
      <c r="AD18" s="151"/>
      <c r="AE18" s="150" cm="1">
        <f t="array" ref="AE18">IFERROR(INDEX(PQ_Aug!$B$2:$AF$1079,MATCH($C18,PQ_Aug!$A$2:$A$1079,0),MATCH(AE$3&amp;"",PQ_Aug!$B$1:$AF$1&amp;"",0)),0)</f>
        <v>1</v>
      </c>
      <c r="AF18" s="151"/>
      <c r="AG18" s="150"/>
      <c r="AH18" s="150"/>
      <c r="AI18" s="150"/>
      <c r="AJ18" s="150"/>
      <c r="AK18" s="151"/>
      <c r="AL18" s="150"/>
      <c r="AM18" s="152"/>
      <c r="AN18" s="150">
        <f t="shared" si="4"/>
        <v>7</v>
      </c>
      <c r="AO18" s="153">
        <f t="shared" si="1"/>
        <v>19</v>
      </c>
      <c r="AP18" s="154">
        <v>15</v>
      </c>
      <c r="AQ18" s="154" t="s">
        <v>21</v>
      </c>
      <c r="AR18" s="161"/>
      <c r="AS18" s="153"/>
      <c r="AT18" s="161"/>
      <c r="AU18" s="153"/>
      <c r="AV18" s="161"/>
      <c r="AW18" s="161"/>
      <c r="AX18" s="153">
        <f t="shared" si="5"/>
        <v>0</v>
      </c>
      <c r="AY18" s="153">
        <f t="shared" si="6"/>
        <v>0</v>
      </c>
      <c r="AZ18" s="153">
        <f t="shared" si="2"/>
        <v>0</v>
      </c>
      <c r="BA18" s="153">
        <f t="shared" si="3"/>
        <v>19</v>
      </c>
      <c r="BB18" s="160"/>
      <c r="BC18" s="30"/>
      <c r="BD18" s="30"/>
      <c r="BE18" s="30"/>
      <c r="BF18" s="30"/>
    </row>
    <row r="19" spans="1:58" ht="22.5" customHeight="1">
      <c r="A19" s="233" t="e">
        <f t="shared" si="7"/>
        <v>#REF!</v>
      </c>
      <c r="B19" s="234"/>
      <c r="C19" s="133" t="s">
        <v>115</v>
      </c>
      <c r="D19" s="148">
        <v>60</v>
      </c>
      <c r="E19" s="148">
        <v>54</v>
      </c>
      <c r="F19" s="148">
        <v>24</v>
      </c>
      <c r="G19" s="149" t="e">
        <f>Juli2026!AO20</f>
        <v>#REF!</v>
      </c>
      <c r="H19" s="150" cm="1">
        <f t="array" ref="H19">IFERROR(INDEX(PQ_Aug!$B$2:$AF$1079,MATCH($C19,PQ_Aug!$A$2:$A$1079,0),MATCH(H$3&amp;"",PQ_Aug!$B$1:$AF$1&amp;"",0)),0)</f>
        <v>0</v>
      </c>
      <c r="I19" s="151"/>
      <c r="J19" s="150" cm="1">
        <f t="array" ref="J19">IFERROR(INDEX(PQ_Aug!$B$2:$AF$1079,MATCH($C19,PQ_Aug!$A$2:$A$1079,0),MATCH(J$3&amp;"",PQ_Aug!$B$1:$AF$1&amp;"",0)),0)</f>
        <v>0</v>
      </c>
      <c r="K19" s="150" cm="1">
        <f t="array" ref="K19">IFERROR(INDEX(PQ_Aug!$B$2:$AF$1079,MATCH($C19,PQ_Aug!$A$2:$A$1079,0),MATCH(K$3&amp;"",PQ_Aug!$B$1:$AF$1&amp;"",0)),0)</f>
        <v>0</v>
      </c>
      <c r="L19" s="150" cm="1">
        <f t="array" ref="L19">IFERROR(INDEX(PQ_Aug!$B$2:$AF$1079,MATCH($C19,PQ_Aug!$A$2:$A$1079,0),MATCH(L$3&amp;"",PQ_Aug!$B$1:$AF$1&amp;"",0)),0)</f>
        <v>0</v>
      </c>
      <c r="M19" s="150" cm="1">
        <f t="array" ref="M19">IFERROR(INDEX(PQ_Aug!$B$2:$AF$1079,MATCH($C19,PQ_Aug!$A$2:$A$1079,0),MATCH(M$3&amp;"",PQ_Aug!$B$1:$AF$1&amp;"",0)),0)</f>
        <v>0</v>
      </c>
      <c r="N19" s="150" cm="1">
        <f t="array" ref="N19">IFERROR(INDEX(PQ_Aug!$B$2:$AF$1079,MATCH($C19,PQ_Aug!$A$2:$A$1079,0),MATCH(N$3&amp;"",PQ_Aug!$B$1:$AF$1&amp;"",0)),0)</f>
        <v>0</v>
      </c>
      <c r="O19" s="150" cm="1">
        <f t="array" ref="O19">IFERROR(INDEX(PQ_Aug!$B$2:$AF$1079,MATCH($C19,PQ_Aug!$A$2:$A$1079,0),MATCH(O$3&amp;"",PQ_Aug!$B$1:$AF$1&amp;"",0)),0)</f>
        <v>0</v>
      </c>
      <c r="P19" s="151"/>
      <c r="Q19" s="150" cm="1">
        <f t="array" ref="Q19">IFERROR(INDEX(PQ_Aug!$B$2:$AF$1079,MATCH($C19,PQ_Aug!$A$2:$A$1079,0),MATCH(Q$3&amp;"",PQ_Aug!$B$1:$AF$1&amp;"",0)),0)</f>
        <v>1</v>
      </c>
      <c r="R19" s="150" cm="1">
        <f t="array" ref="R19">IFERROR(INDEX(PQ_Aug!$B$2:$AF$1079,MATCH($C19,PQ_Aug!$A$2:$A$1079,0),MATCH(R$3&amp;"",PQ_Aug!$B$1:$AF$1&amp;"",0)),0)</f>
        <v>0</v>
      </c>
      <c r="S19" s="150" cm="1">
        <f t="array" ref="S19">IFERROR(INDEX(PQ_Aug!$B$2:$AF$1079,MATCH($C19,PQ_Aug!$A$2:$A$1079,0),MATCH(S$3&amp;"",PQ_Aug!$B$1:$AF$1&amp;"",0)),0)</f>
        <v>0</v>
      </c>
      <c r="T19" s="150" cm="1">
        <f t="array" ref="T19">IFERROR(INDEX(PQ_Aug!$B$2:$AF$1079,MATCH($C19,PQ_Aug!$A$2:$A$1079,0),MATCH(T$3&amp;"",PQ_Aug!$B$1:$AF$1&amp;"",0)),0)</f>
        <v>0</v>
      </c>
      <c r="U19" s="150" cm="1">
        <f t="array" ref="U19">IFERROR(INDEX(PQ_Aug!$B$2:$AF$1079,MATCH($C19,PQ_Aug!$A$2:$A$1079,0),MATCH(U$3&amp;"",PQ_Aug!$B$1:$AF$1&amp;"",0)),0)</f>
        <v>0</v>
      </c>
      <c r="V19" s="150" cm="1">
        <f t="array" ref="V19">IFERROR(INDEX(PQ_Aug!$B$2:$AF$1079,MATCH($C19,PQ_Aug!$A$2:$A$1079,0),MATCH(V$3&amp;"",PQ_Aug!$B$1:$AF$1&amp;"",0)),0)</f>
        <v>0</v>
      </c>
      <c r="W19" s="151"/>
      <c r="X19" s="151"/>
      <c r="Y19" s="150" cm="1">
        <f t="array" ref="Y19">IFERROR(INDEX(PQ_Aug!$B$2:$AF$1079,MATCH($C19,PQ_Aug!$A$2:$A$1079,0),MATCH(Y$3&amp;"",PQ_Aug!$B$1:$AF$1&amp;"",0)),0)</f>
        <v>0</v>
      </c>
      <c r="Z19" s="150" cm="1">
        <f t="array" ref="Z19">IFERROR(INDEX(PQ_Aug!$B$2:$AF$1079,MATCH($C19,PQ_Aug!$A$2:$A$1079,0),MATCH(Z$3&amp;"",PQ_Aug!$B$1:$AF$1&amp;"",0)),0)</f>
        <v>0</v>
      </c>
      <c r="AA19" s="150" cm="1">
        <f t="array" ref="AA19">IFERROR(INDEX(PQ_Aug!$B$2:$AF$1079,MATCH($C19,PQ_Aug!$A$2:$A$1079,0),MATCH(AA$3&amp;"",PQ_Aug!$B$1:$AF$1&amp;"",0)),0)</f>
        <v>0</v>
      </c>
      <c r="AB19" s="150" cm="1">
        <f t="array" ref="AB19">IFERROR(INDEX(PQ_Aug!$B$2:$AF$1079,MATCH($C19,PQ_Aug!$A$2:$A$1079,0),MATCH(AB$3&amp;"",PQ_Aug!$B$1:$AF$1&amp;"",0)),0)</f>
        <v>0</v>
      </c>
      <c r="AC19" s="150" cm="1">
        <f t="array" ref="AC19">IFERROR(INDEX(PQ_Aug!$B$2:$AF$1079,MATCH($C19,PQ_Aug!$A$2:$A$1079,0),MATCH(AC$3&amp;"",PQ_Aug!$B$1:$AF$1&amp;"",0)),0)</f>
        <v>0</v>
      </c>
      <c r="AD19" s="151"/>
      <c r="AE19" s="150" cm="1">
        <f t="array" ref="AE19">IFERROR(INDEX(PQ_Aug!$B$2:$AF$1079,MATCH($C19,PQ_Aug!$A$2:$A$1079,0),MATCH(AE$3&amp;"",PQ_Aug!$B$1:$AF$1&amp;"",0)),0)</f>
        <v>0</v>
      </c>
      <c r="AF19" s="151"/>
      <c r="AG19" s="150"/>
      <c r="AH19" s="150"/>
      <c r="AI19" s="150"/>
      <c r="AJ19" s="150"/>
      <c r="AK19" s="151"/>
      <c r="AL19" s="150"/>
      <c r="AM19" s="152">
        <v>3</v>
      </c>
      <c r="AN19" s="150">
        <f t="shared" si="4"/>
        <v>4</v>
      </c>
      <c r="AO19" s="153" t="e">
        <f t="shared" si="1"/>
        <v>#REF!</v>
      </c>
      <c r="AP19" s="154">
        <v>30</v>
      </c>
      <c r="AQ19" s="154" t="s">
        <v>21</v>
      </c>
      <c r="AR19" s="161"/>
      <c r="AS19" s="153"/>
      <c r="AT19" s="161"/>
      <c r="AU19" s="153"/>
      <c r="AV19" s="161"/>
      <c r="AW19" s="161"/>
      <c r="AX19" s="153">
        <f t="shared" si="5"/>
        <v>0</v>
      </c>
      <c r="AY19" s="153">
        <f t="shared" si="6"/>
        <v>0</v>
      </c>
      <c r="AZ19" s="153">
        <f t="shared" si="2"/>
        <v>0</v>
      </c>
      <c r="BA19" s="153" t="e">
        <f t="shared" si="3"/>
        <v>#REF!</v>
      </c>
      <c r="BB19" s="160"/>
      <c r="BC19" s="30"/>
      <c r="BD19" s="30"/>
      <c r="BE19" s="30"/>
      <c r="BF19" s="30"/>
    </row>
    <row r="20" spans="1:58" ht="22.5" customHeight="1">
      <c r="A20" s="242">
        <f t="shared" si="7"/>
        <v>36</v>
      </c>
      <c r="B20" s="243"/>
      <c r="C20" s="133" t="s">
        <v>116</v>
      </c>
      <c r="D20" s="148">
        <v>30</v>
      </c>
      <c r="E20" s="148">
        <v>7</v>
      </c>
      <c r="F20" s="148">
        <v>12</v>
      </c>
      <c r="G20" s="149">
        <f>Juli2026!AO21</f>
        <v>19</v>
      </c>
      <c r="H20" s="150" cm="1">
        <f t="array" ref="H20">IFERROR(INDEX(PQ_Aug!$B$2:$AF$1079,MATCH($C20,PQ_Aug!$A$2:$A$1079,0),MATCH(H$3&amp;"",PQ_Aug!$B$1:$AF$1&amp;"",0)),0)</f>
        <v>2</v>
      </c>
      <c r="I20" s="151"/>
      <c r="J20" s="150" cm="1">
        <f t="array" ref="J20">IFERROR(INDEX(PQ_Aug!$B$2:$AF$1079,MATCH($C20,PQ_Aug!$A$2:$A$1079,0),MATCH(J$3&amp;"",PQ_Aug!$B$1:$AF$1&amp;"",0)),0)</f>
        <v>0</v>
      </c>
      <c r="K20" s="150" cm="1">
        <f t="array" ref="K20">IFERROR(INDEX(PQ_Aug!$B$2:$AF$1079,MATCH($C20,PQ_Aug!$A$2:$A$1079,0),MATCH(K$3&amp;"",PQ_Aug!$B$1:$AF$1&amp;"",0)),0)</f>
        <v>0</v>
      </c>
      <c r="L20" s="150" cm="1">
        <f t="array" ref="L20">IFERROR(INDEX(PQ_Aug!$B$2:$AF$1079,MATCH($C20,PQ_Aug!$A$2:$A$1079,0),MATCH(L$3&amp;"",PQ_Aug!$B$1:$AF$1&amp;"",0)),0)</f>
        <v>0</v>
      </c>
      <c r="M20" s="150" cm="1">
        <f t="array" ref="M20">IFERROR(INDEX(PQ_Aug!$B$2:$AF$1079,MATCH($C20,PQ_Aug!$A$2:$A$1079,0),MATCH(M$3&amp;"",PQ_Aug!$B$1:$AF$1&amp;"",0)),0)</f>
        <v>0</v>
      </c>
      <c r="N20" s="150" cm="1">
        <f t="array" ref="N20">IFERROR(INDEX(PQ_Aug!$B$2:$AF$1079,MATCH($C20,PQ_Aug!$A$2:$A$1079,0),MATCH(N$3&amp;"",PQ_Aug!$B$1:$AF$1&amp;"",0)),0)</f>
        <v>1</v>
      </c>
      <c r="O20" s="150" cm="1">
        <f t="array" ref="O20">IFERROR(INDEX(PQ_Aug!$B$2:$AF$1079,MATCH($C20,PQ_Aug!$A$2:$A$1079,0),MATCH(O$3&amp;"",PQ_Aug!$B$1:$AF$1&amp;"",0)),0)</f>
        <v>0</v>
      </c>
      <c r="P20" s="151"/>
      <c r="Q20" s="150" cm="1">
        <f t="array" ref="Q20">IFERROR(INDEX(PQ_Aug!$B$2:$AF$1079,MATCH($C20,PQ_Aug!$A$2:$A$1079,0),MATCH(Q$3&amp;"",PQ_Aug!$B$1:$AF$1&amp;"",0)),0)</f>
        <v>0</v>
      </c>
      <c r="R20" s="150" cm="1">
        <f t="array" ref="R20">IFERROR(INDEX(PQ_Aug!$B$2:$AF$1079,MATCH($C20,PQ_Aug!$A$2:$A$1079,0),MATCH(R$3&amp;"",PQ_Aug!$B$1:$AF$1&amp;"",0)),0)</f>
        <v>0</v>
      </c>
      <c r="S20" s="150" cm="1">
        <f t="array" ref="S20">IFERROR(INDEX(PQ_Aug!$B$2:$AF$1079,MATCH($C20,PQ_Aug!$A$2:$A$1079,0),MATCH(S$3&amp;"",PQ_Aug!$B$1:$AF$1&amp;"",0)),0)</f>
        <v>0</v>
      </c>
      <c r="T20" s="150" cm="1">
        <f t="array" ref="T20">IFERROR(INDEX(PQ_Aug!$B$2:$AF$1079,MATCH($C20,PQ_Aug!$A$2:$A$1079,0),MATCH(T$3&amp;"",PQ_Aug!$B$1:$AF$1&amp;"",0)),0)</f>
        <v>0</v>
      </c>
      <c r="U20" s="150" cm="1">
        <f t="array" ref="U20">IFERROR(INDEX(PQ_Aug!$B$2:$AF$1079,MATCH($C20,PQ_Aug!$A$2:$A$1079,0),MATCH(U$3&amp;"",PQ_Aug!$B$1:$AF$1&amp;"",0)),0)</f>
        <v>0</v>
      </c>
      <c r="V20" s="150" cm="1">
        <f t="array" ref="V20">IFERROR(INDEX(PQ_Aug!$B$2:$AF$1079,MATCH($C20,PQ_Aug!$A$2:$A$1079,0),MATCH(V$3&amp;"",PQ_Aug!$B$1:$AF$1&amp;"",0)),0)</f>
        <v>1</v>
      </c>
      <c r="W20" s="151"/>
      <c r="X20" s="151"/>
      <c r="Y20" s="150" cm="1">
        <f t="array" ref="Y20">IFERROR(INDEX(PQ_Aug!$B$2:$AF$1079,MATCH($C20,PQ_Aug!$A$2:$A$1079,0),MATCH(Y$3&amp;"",PQ_Aug!$B$1:$AF$1&amp;"",0)),0)</f>
        <v>0</v>
      </c>
      <c r="Z20" s="150" cm="1">
        <f t="array" ref="Z20">IFERROR(INDEX(PQ_Aug!$B$2:$AF$1079,MATCH($C20,PQ_Aug!$A$2:$A$1079,0),MATCH(Z$3&amp;"",PQ_Aug!$B$1:$AF$1&amp;"",0)),0)</f>
        <v>1</v>
      </c>
      <c r="AA20" s="150" cm="1">
        <f t="array" ref="AA20">IFERROR(INDEX(PQ_Aug!$B$2:$AF$1079,MATCH($C20,PQ_Aug!$A$2:$A$1079,0),MATCH(AA$3&amp;"",PQ_Aug!$B$1:$AF$1&amp;"",0)),0)</f>
        <v>0</v>
      </c>
      <c r="AB20" s="150" cm="1">
        <f t="array" ref="AB20">IFERROR(INDEX(PQ_Aug!$B$2:$AF$1079,MATCH($C20,PQ_Aug!$A$2:$A$1079,0),MATCH(AB$3&amp;"",PQ_Aug!$B$1:$AF$1&amp;"",0)),0)</f>
        <v>0</v>
      </c>
      <c r="AC20" s="150" cm="1">
        <f t="array" ref="AC20">IFERROR(INDEX(PQ_Aug!$B$2:$AF$1079,MATCH($C20,PQ_Aug!$A$2:$A$1079,0),MATCH(AC$3&amp;"",PQ_Aug!$B$1:$AF$1&amp;"",0)),0)</f>
        <v>0</v>
      </c>
      <c r="AD20" s="151"/>
      <c r="AE20" s="150" cm="1">
        <f t="array" ref="AE20">IFERROR(INDEX(PQ_Aug!$B$2:$AF$1079,MATCH($C20,PQ_Aug!$A$2:$A$1079,0),MATCH(AE$3&amp;"",PQ_Aug!$B$1:$AF$1&amp;"",0)),0)</f>
        <v>0</v>
      </c>
      <c r="AF20" s="151"/>
      <c r="AG20" s="150"/>
      <c r="AH20" s="150"/>
      <c r="AI20" s="150"/>
      <c r="AJ20" s="150"/>
      <c r="AK20" s="151"/>
      <c r="AL20" s="150"/>
      <c r="AM20" s="152">
        <v>8</v>
      </c>
      <c r="AN20" s="150">
        <f t="shared" si="4"/>
        <v>13</v>
      </c>
      <c r="AO20" s="153">
        <f t="shared" si="1"/>
        <v>36</v>
      </c>
      <c r="AP20" s="166">
        <v>20</v>
      </c>
      <c r="AQ20" s="166" t="s">
        <v>21</v>
      </c>
      <c r="AR20" s="155">
        <v>46238</v>
      </c>
      <c r="AS20" s="156">
        <v>1</v>
      </c>
      <c r="AT20" s="161"/>
      <c r="AU20" s="153"/>
      <c r="AV20" s="159">
        <v>46245</v>
      </c>
      <c r="AW20" s="161"/>
      <c r="AX20" s="153">
        <f t="shared" si="5"/>
        <v>30</v>
      </c>
      <c r="AY20" s="153">
        <f t="shared" si="6"/>
        <v>0</v>
      </c>
      <c r="AZ20" s="153">
        <f t="shared" si="2"/>
        <v>30</v>
      </c>
      <c r="BA20" s="153">
        <f t="shared" si="3"/>
        <v>36</v>
      </c>
      <c r="BB20" s="160"/>
      <c r="BC20" s="30"/>
      <c r="BD20" s="30"/>
      <c r="BE20" s="30"/>
      <c r="BF20" s="30"/>
    </row>
    <row r="21" spans="1:58" ht="22.5" customHeight="1">
      <c r="A21" s="233" t="e">
        <f t="shared" si="7"/>
        <v>#REF!</v>
      </c>
      <c r="B21" s="234"/>
      <c r="C21" s="133" t="s">
        <v>117</v>
      </c>
      <c r="D21" s="148">
        <v>30</v>
      </c>
      <c r="E21" s="148"/>
      <c r="F21" s="148"/>
      <c r="G21" s="149" t="e">
        <f>Juli2026!AO22</f>
        <v>#REF!</v>
      </c>
      <c r="H21" s="150" cm="1">
        <f t="array" ref="H21">IFERROR(INDEX(PQ_Aug!$B$2:$AF$1079,MATCH($C21,PQ_Aug!$A$2:$A$1079,0),MATCH(H$3&amp;"",PQ_Aug!$B$1:$AF$1&amp;"",0)),0)</f>
        <v>1</v>
      </c>
      <c r="I21" s="151"/>
      <c r="J21" s="150" cm="1">
        <f t="array" ref="J21">IFERROR(INDEX(PQ_Aug!$B$2:$AF$1079,MATCH($C21,PQ_Aug!$A$2:$A$1079,0),MATCH(J$3&amp;"",PQ_Aug!$B$1:$AF$1&amp;"",0)),0)</f>
        <v>0</v>
      </c>
      <c r="K21" s="150" cm="1">
        <f t="array" ref="K21">IFERROR(INDEX(PQ_Aug!$B$2:$AF$1079,MATCH($C21,PQ_Aug!$A$2:$A$1079,0),MATCH(K$3&amp;"",PQ_Aug!$B$1:$AF$1&amp;"",0)),0)</f>
        <v>0</v>
      </c>
      <c r="L21" s="150" cm="1">
        <f t="array" ref="L21">IFERROR(INDEX(PQ_Aug!$B$2:$AF$1079,MATCH($C21,PQ_Aug!$A$2:$A$1079,0),MATCH(L$3&amp;"",PQ_Aug!$B$1:$AF$1&amp;"",0)),0)</f>
        <v>0</v>
      </c>
      <c r="M21" s="150" cm="1">
        <f t="array" ref="M21">IFERROR(INDEX(PQ_Aug!$B$2:$AF$1079,MATCH($C21,PQ_Aug!$A$2:$A$1079,0),MATCH(M$3&amp;"",PQ_Aug!$B$1:$AF$1&amp;"",0)),0)</f>
        <v>0</v>
      </c>
      <c r="N21" s="150" cm="1">
        <f t="array" ref="N21">IFERROR(INDEX(PQ_Aug!$B$2:$AF$1079,MATCH($C21,PQ_Aug!$A$2:$A$1079,0),MATCH(N$3&amp;"",PQ_Aug!$B$1:$AF$1&amp;"",0)),0)</f>
        <v>0</v>
      </c>
      <c r="O21" s="150" cm="1">
        <f t="array" ref="O21">IFERROR(INDEX(PQ_Aug!$B$2:$AF$1079,MATCH($C21,PQ_Aug!$A$2:$A$1079,0),MATCH(O$3&amp;"",PQ_Aug!$B$1:$AF$1&amp;"",0)),0)</f>
        <v>0</v>
      </c>
      <c r="P21" s="151"/>
      <c r="Q21" s="150" cm="1">
        <f t="array" ref="Q21">IFERROR(INDEX(PQ_Aug!$B$2:$AF$1079,MATCH($C21,PQ_Aug!$A$2:$A$1079,0),MATCH(Q$3&amp;"",PQ_Aug!$B$1:$AF$1&amp;"",0)),0)</f>
        <v>1</v>
      </c>
      <c r="R21" s="150" cm="1">
        <f t="array" ref="R21">IFERROR(INDEX(PQ_Aug!$B$2:$AF$1079,MATCH($C21,PQ_Aug!$A$2:$A$1079,0),MATCH(R$3&amp;"",PQ_Aug!$B$1:$AF$1&amp;"",0)),0)</f>
        <v>0</v>
      </c>
      <c r="S21" s="150" cm="1">
        <f t="array" ref="S21">IFERROR(INDEX(PQ_Aug!$B$2:$AF$1079,MATCH($C21,PQ_Aug!$A$2:$A$1079,0),MATCH(S$3&amp;"",PQ_Aug!$B$1:$AF$1&amp;"",0)),0)</f>
        <v>0</v>
      </c>
      <c r="T21" s="150" cm="1">
        <f t="array" ref="T21">IFERROR(INDEX(PQ_Aug!$B$2:$AF$1079,MATCH($C21,PQ_Aug!$A$2:$A$1079,0),MATCH(T$3&amp;"",PQ_Aug!$B$1:$AF$1&amp;"",0)),0)</f>
        <v>0</v>
      </c>
      <c r="U21" s="150" cm="1">
        <f t="array" ref="U21">IFERROR(INDEX(PQ_Aug!$B$2:$AF$1079,MATCH($C21,PQ_Aug!$A$2:$A$1079,0),MATCH(U$3&amp;"",PQ_Aug!$B$1:$AF$1&amp;"",0)),0)</f>
        <v>0</v>
      </c>
      <c r="V21" s="150" cm="1">
        <f t="array" ref="V21">IFERROR(INDEX(PQ_Aug!$B$2:$AF$1079,MATCH($C21,PQ_Aug!$A$2:$A$1079,0),MATCH(V$3&amp;"",PQ_Aug!$B$1:$AF$1&amp;"",0)),0)</f>
        <v>0</v>
      </c>
      <c r="W21" s="151"/>
      <c r="X21" s="151"/>
      <c r="Y21" s="150" cm="1">
        <f t="array" ref="Y21">IFERROR(INDEX(PQ_Aug!$B$2:$AF$1079,MATCH($C21,PQ_Aug!$A$2:$A$1079,0),MATCH(Y$3&amp;"",PQ_Aug!$B$1:$AF$1&amp;"",0)),0)</f>
        <v>0</v>
      </c>
      <c r="Z21" s="150" cm="1">
        <f t="array" ref="Z21">IFERROR(INDEX(PQ_Aug!$B$2:$AF$1079,MATCH($C21,PQ_Aug!$A$2:$A$1079,0),MATCH(Z$3&amp;"",PQ_Aug!$B$1:$AF$1&amp;"",0)),0)</f>
        <v>1</v>
      </c>
      <c r="AA21" s="150" cm="1">
        <f t="array" ref="AA21">IFERROR(INDEX(PQ_Aug!$B$2:$AF$1079,MATCH($C21,PQ_Aug!$A$2:$A$1079,0),MATCH(AA$3&amp;"",PQ_Aug!$B$1:$AF$1&amp;"",0)),0)</f>
        <v>0</v>
      </c>
      <c r="AB21" s="150" cm="1">
        <f t="array" ref="AB21">IFERROR(INDEX(PQ_Aug!$B$2:$AF$1079,MATCH($C21,PQ_Aug!$A$2:$A$1079,0),MATCH(AB$3&amp;"",PQ_Aug!$B$1:$AF$1&amp;"",0)),0)</f>
        <v>0</v>
      </c>
      <c r="AC21" s="150" cm="1">
        <f t="array" ref="AC21">IFERROR(INDEX(PQ_Aug!$B$2:$AF$1079,MATCH($C21,PQ_Aug!$A$2:$A$1079,0),MATCH(AC$3&amp;"",PQ_Aug!$B$1:$AF$1&amp;"",0)),0)</f>
        <v>0</v>
      </c>
      <c r="AD21" s="151"/>
      <c r="AE21" s="150" cm="1">
        <f t="array" ref="AE21">IFERROR(INDEX(PQ_Aug!$B$2:$AF$1079,MATCH($C21,PQ_Aug!$A$2:$A$1079,0),MATCH(AE$3&amp;"",PQ_Aug!$B$1:$AF$1&amp;"",0)),0)</f>
        <v>0</v>
      </c>
      <c r="AF21" s="151"/>
      <c r="AG21" s="150"/>
      <c r="AH21" s="150"/>
      <c r="AI21" s="150"/>
      <c r="AJ21" s="150"/>
      <c r="AK21" s="151"/>
      <c r="AL21" s="150"/>
      <c r="AM21" s="152">
        <v>10</v>
      </c>
      <c r="AN21" s="150">
        <f t="shared" si="4"/>
        <v>13</v>
      </c>
      <c r="AO21" s="153" t="e">
        <f t="shared" si="1"/>
        <v>#REF!</v>
      </c>
      <c r="AP21" s="154">
        <v>15</v>
      </c>
      <c r="AQ21" s="166" t="s">
        <v>21</v>
      </c>
      <c r="AR21" s="161"/>
      <c r="AS21" s="153"/>
      <c r="AT21" s="161"/>
      <c r="AU21" s="153"/>
      <c r="AV21" s="161"/>
      <c r="AW21" s="161"/>
      <c r="AX21" s="153">
        <f t="shared" si="5"/>
        <v>0</v>
      </c>
      <c r="AY21" s="153">
        <f t="shared" si="6"/>
        <v>0</v>
      </c>
      <c r="AZ21" s="153">
        <f t="shared" si="2"/>
        <v>0</v>
      </c>
      <c r="BA21" s="153" t="e">
        <f t="shared" si="3"/>
        <v>#REF!</v>
      </c>
      <c r="BB21" s="160"/>
      <c r="BC21" s="30"/>
      <c r="BD21" s="30"/>
      <c r="BE21" s="30"/>
      <c r="BF21" s="30"/>
    </row>
    <row r="22" spans="1:58" ht="21.75" customHeight="1">
      <c r="A22" s="233">
        <f t="shared" si="7"/>
        <v>45</v>
      </c>
      <c r="B22" s="234"/>
      <c r="C22" s="133" t="s">
        <v>118</v>
      </c>
      <c r="D22" s="148">
        <v>60</v>
      </c>
      <c r="E22" s="148">
        <v>20</v>
      </c>
      <c r="F22" s="148">
        <v>35</v>
      </c>
      <c r="G22" s="149">
        <f>Juli2026!AO23</f>
        <v>66</v>
      </c>
      <c r="H22" s="150" cm="1">
        <f t="array" ref="H22">IFERROR(INDEX(PQ_Aug!$B$2:$AF$1079,MATCH($C22,PQ_Aug!$A$2:$A$1079,0),MATCH(H$3&amp;"",PQ_Aug!$B$1:$AF$1&amp;"",0)),0)</f>
        <v>2</v>
      </c>
      <c r="I22" s="151"/>
      <c r="J22" s="150" cm="1">
        <f t="array" ref="J22">IFERROR(INDEX(PQ_Aug!$B$2:$AF$1079,MATCH($C22,PQ_Aug!$A$2:$A$1079,0),MATCH(J$3&amp;"",PQ_Aug!$B$1:$AF$1&amp;"",0)),0)</f>
        <v>0</v>
      </c>
      <c r="K22" s="150" cm="1">
        <f t="array" ref="K22">IFERROR(INDEX(PQ_Aug!$B$2:$AF$1079,MATCH($C22,PQ_Aug!$A$2:$A$1079,0),MATCH(K$3&amp;"",PQ_Aug!$B$1:$AF$1&amp;"",0)),0)</f>
        <v>0</v>
      </c>
      <c r="L22" s="150" cm="1">
        <f t="array" ref="L22">IFERROR(INDEX(PQ_Aug!$B$2:$AF$1079,MATCH($C22,PQ_Aug!$A$2:$A$1079,0),MATCH(L$3&amp;"",PQ_Aug!$B$1:$AF$1&amp;"",0)),0)</f>
        <v>2</v>
      </c>
      <c r="M22" s="150" cm="1">
        <f t="array" ref="M22">IFERROR(INDEX(PQ_Aug!$B$2:$AF$1079,MATCH($C22,PQ_Aug!$A$2:$A$1079,0),MATCH(M$3&amp;"",PQ_Aug!$B$1:$AF$1&amp;"",0)),0)</f>
        <v>0</v>
      </c>
      <c r="N22" s="150" cm="1">
        <f t="array" ref="N22">IFERROR(INDEX(PQ_Aug!$B$2:$AF$1079,MATCH($C22,PQ_Aug!$A$2:$A$1079,0),MATCH(N$3&amp;"",PQ_Aug!$B$1:$AF$1&amp;"",0)),0)</f>
        <v>0</v>
      </c>
      <c r="O22" s="150" cm="1">
        <f t="array" ref="O22">IFERROR(INDEX(PQ_Aug!$B$2:$AF$1079,MATCH($C22,PQ_Aug!$A$2:$A$1079,0),MATCH(O$3&amp;"",PQ_Aug!$B$1:$AF$1&amp;"",0)),0)</f>
        <v>2</v>
      </c>
      <c r="P22" s="151"/>
      <c r="Q22" s="150" cm="1">
        <f t="array" ref="Q22">IFERROR(INDEX(PQ_Aug!$B$2:$AF$1079,MATCH($C22,PQ_Aug!$A$2:$A$1079,0),MATCH(Q$3&amp;"",PQ_Aug!$B$1:$AF$1&amp;"",0)),0)</f>
        <v>1</v>
      </c>
      <c r="R22" s="150" cm="1">
        <f t="array" ref="R22">IFERROR(INDEX(PQ_Aug!$B$2:$AF$1079,MATCH($C22,PQ_Aug!$A$2:$A$1079,0),MATCH(R$3&amp;"",PQ_Aug!$B$1:$AF$1&amp;"",0)),0)</f>
        <v>0</v>
      </c>
      <c r="S22" s="150" cm="1">
        <f t="array" ref="S22">IFERROR(INDEX(PQ_Aug!$B$2:$AF$1079,MATCH($C22,PQ_Aug!$A$2:$A$1079,0),MATCH(S$3&amp;"",PQ_Aug!$B$1:$AF$1&amp;"",0)),0)</f>
        <v>0</v>
      </c>
      <c r="T22" s="150" cm="1">
        <f t="array" ref="T22">IFERROR(INDEX(PQ_Aug!$B$2:$AF$1079,MATCH($C22,PQ_Aug!$A$2:$A$1079,0),MATCH(T$3&amp;"",PQ_Aug!$B$1:$AF$1&amp;"",0)),0)</f>
        <v>0</v>
      </c>
      <c r="U22" s="150" cm="1">
        <f t="array" ref="U22">IFERROR(INDEX(PQ_Aug!$B$2:$AF$1079,MATCH($C22,PQ_Aug!$A$2:$A$1079,0),MATCH(U$3&amp;"",PQ_Aug!$B$1:$AF$1&amp;"",0)),0)</f>
        <v>1</v>
      </c>
      <c r="V22" s="150" cm="1">
        <f t="array" ref="V22">IFERROR(INDEX(PQ_Aug!$B$2:$AF$1079,MATCH($C22,PQ_Aug!$A$2:$A$1079,0),MATCH(V$3&amp;"",PQ_Aug!$B$1:$AF$1&amp;"",0)),0)</f>
        <v>2</v>
      </c>
      <c r="W22" s="151"/>
      <c r="X22" s="151"/>
      <c r="Y22" s="150" cm="1">
        <f t="array" ref="Y22">IFERROR(INDEX(PQ_Aug!$B$2:$AF$1079,MATCH($C22,PQ_Aug!$A$2:$A$1079,0),MATCH(Y$3&amp;"",PQ_Aug!$B$1:$AF$1&amp;"",0)),0)</f>
        <v>2</v>
      </c>
      <c r="Z22" s="150" cm="1">
        <f t="array" ref="Z22">IFERROR(INDEX(PQ_Aug!$B$2:$AF$1079,MATCH($C22,PQ_Aug!$A$2:$A$1079,0),MATCH(Z$3&amp;"",PQ_Aug!$B$1:$AF$1&amp;"",0)),0)</f>
        <v>1</v>
      </c>
      <c r="AA22" s="150" cm="1">
        <f t="array" ref="AA22">IFERROR(INDEX(PQ_Aug!$B$2:$AF$1079,MATCH($C22,PQ_Aug!$A$2:$A$1079,0),MATCH(AA$3&amp;"",PQ_Aug!$B$1:$AF$1&amp;"",0)),0)</f>
        <v>1</v>
      </c>
      <c r="AB22" s="150" cm="1">
        <f t="array" ref="AB22">IFERROR(INDEX(PQ_Aug!$B$2:$AF$1079,MATCH($C22,PQ_Aug!$A$2:$A$1079,0),MATCH(AB$3&amp;"",PQ_Aug!$B$1:$AF$1&amp;"",0)),0)</f>
        <v>1</v>
      </c>
      <c r="AC22" s="150" cm="1">
        <f t="array" ref="AC22">IFERROR(INDEX(PQ_Aug!$B$2:$AF$1079,MATCH($C22,PQ_Aug!$A$2:$A$1079,0),MATCH(AC$3&amp;"",PQ_Aug!$B$1:$AF$1&amp;"",0)),0)</f>
        <v>0</v>
      </c>
      <c r="AD22" s="151"/>
      <c r="AE22" s="150" cm="1">
        <f t="array" ref="AE22">IFERROR(INDEX(PQ_Aug!$B$2:$AF$1079,MATCH($C22,PQ_Aug!$A$2:$A$1079,0),MATCH(AE$3&amp;"",PQ_Aug!$B$1:$AF$1&amp;"",0)),0)</f>
        <v>2</v>
      </c>
      <c r="AF22" s="151"/>
      <c r="AG22" s="150"/>
      <c r="AH22" s="150"/>
      <c r="AI22" s="150"/>
      <c r="AJ22" s="150"/>
      <c r="AK22" s="151"/>
      <c r="AL22" s="150"/>
      <c r="AM22" s="152">
        <v>4</v>
      </c>
      <c r="AN22" s="150">
        <f t="shared" si="4"/>
        <v>21</v>
      </c>
      <c r="AO22" s="153">
        <f t="shared" si="1"/>
        <v>45</v>
      </c>
      <c r="AP22" s="154">
        <v>30</v>
      </c>
      <c r="AQ22" s="166" t="s">
        <v>21</v>
      </c>
      <c r="AR22" s="161"/>
      <c r="AS22" s="153"/>
      <c r="AT22" s="161"/>
      <c r="AU22" s="153"/>
      <c r="AV22" s="161"/>
      <c r="AW22" s="161"/>
      <c r="AX22" s="153">
        <f t="shared" si="5"/>
        <v>0</v>
      </c>
      <c r="AY22" s="153">
        <f t="shared" si="6"/>
        <v>0</v>
      </c>
      <c r="AZ22" s="153">
        <f t="shared" si="2"/>
        <v>0</v>
      </c>
      <c r="BA22" s="153">
        <f t="shared" si="3"/>
        <v>45</v>
      </c>
      <c r="BB22" s="160"/>
      <c r="BC22" s="30"/>
      <c r="BD22" s="30"/>
      <c r="BE22" s="30"/>
      <c r="BF22" s="30"/>
    </row>
    <row r="23" spans="1:58" ht="22.5" customHeight="1">
      <c r="A23" s="242">
        <f t="shared" si="7"/>
        <v>31</v>
      </c>
      <c r="B23" s="243"/>
      <c r="C23" s="133" t="s">
        <v>119</v>
      </c>
      <c r="D23" s="148">
        <v>30</v>
      </c>
      <c r="E23" s="148">
        <v>2</v>
      </c>
      <c r="F23" s="148">
        <v>1</v>
      </c>
      <c r="G23" s="149">
        <f>Juli2026!AO24</f>
        <v>31</v>
      </c>
      <c r="H23" s="150" cm="1">
        <f t="array" ref="H23">IFERROR(INDEX(PQ_Aug!$B$2:$AF$1079,MATCH($C23,PQ_Aug!$A$2:$A$1079,0),MATCH(H$3&amp;"",PQ_Aug!$B$1:$AF$1&amp;"",0)),0)</f>
        <v>0</v>
      </c>
      <c r="I23" s="151"/>
      <c r="J23" s="150" cm="1">
        <f t="array" ref="J23">IFERROR(INDEX(PQ_Aug!$B$2:$AF$1079,MATCH($C23,PQ_Aug!$A$2:$A$1079,0),MATCH(J$3&amp;"",PQ_Aug!$B$1:$AF$1&amp;"",0)),0)</f>
        <v>0</v>
      </c>
      <c r="K23" s="150" cm="1">
        <f t="array" ref="K23">IFERROR(INDEX(PQ_Aug!$B$2:$AF$1079,MATCH($C23,PQ_Aug!$A$2:$A$1079,0),MATCH(K$3&amp;"",PQ_Aug!$B$1:$AF$1&amp;"",0)),0)</f>
        <v>0</v>
      </c>
      <c r="L23" s="150" cm="1">
        <f t="array" ref="L23">IFERROR(INDEX(PQ_Aug!$B$2:$AF$1079,MATCH($C23,PQ_Aug!$A$2:$A$1079,0),MATCH(L$3&amp;"",PQ_Aug!$B$1:$AF$1&amp;"",0)),0)</f>
        <v>0</v>
      </c>
      <c r="M23" s="150" cm="1">
        <f t="array" ref="M23">IFERROR(INDEX(PQ_Aug!$B$2:$AF$1079,MATCH($C23,PQ_Aug!$A$2:$A$1079,0),MATCH(M$3&amp;"",PQ_Aug!$B$1:$AF$1&amp;"",0)),0)</f>
        <v>0</v>
      </c>
      <c r="N23" s="150" cm="1">
        <f t="array" ref="N23">IFERROR(INDEX(PQ_Aug!$B$2:$AF$1079,MATCH($C23,PQ_Aug!$A$2:$A$1079,0),MATCH(N$3&amp;"",PQ_Aug!$B$1:$AF$1&amp;"",0)),0)</f>
        <v>0</v>
      </c>
      <c r="O23" s="150" cm="1">
        <f t="array" ref="O23">IFERROR(INDEX(PQ_Aug!$B$2:$AF$1079,MATCH($C23,PQ_Aug!$A$2:$A$1079,0),MATCH(O$3&amp;"",PQ_Aug!$B$1:$AF$1&amp;"",0)),0)</f>
        <v>0</v>
      </c>
      <c r="P23" s="151"/>
      <c r="Q23" s="150" cm="1">
        <f t="array" ref="Q23">IFERROR(INDEX(PQ_Aug!$B$2:$AF$1079,MATCH($C23,PQ_Aug!$A$2:$A$1079,0),MATCH(Q$3&amp;"",PQ_Aug!$B$1:$AF$1&amp;"",0)),0)</f>
        <v>0</v>
      </c>
      <c r="R23" s="150" cm="1">
        <f t="array" ref="R23">IFERROR(INDEX(PQ_Aug!$B$2:$AF$1079,MATCH($C23,PQ_Aug!$A$2:$A$1079,0),MATCH(R$3&amp;"",PQ_Aug!$B$1:$AF$1&amp;"",0)),0)</f>
        <v>0</v>
      </c>
      <c r="S23" s="150" cm="1">
        <f t="array" ref="S23">IFERROR(INDEX(PQ_Aug!$B$2:$AF$1079,MATCH($C23,PQ_Aug!$A$2:$A$1079,0),MATCH(S$3&amp;"",PQ_Aug!$B$1:$AF$1&amp;"",0)),0)</f>
        <v>0</v>
      </c>
      <c r="T23" s="150" cm="1">
        <f t="array" ref="T23">IFERROR(INDEX(PQ_Aug!$B$2:$AF$1079,MATCH($C23,PQ_Aug!$A$2:$A$1079,0),MATCH(T$3&amp;"",PQ_Aug!$B$1:$AF$1&amp;"",0)),0)</f>
        <v>0</v>
      </c>
      <c r="U23" s="150" cm="1">
        <f t="array" ref="U23">IFERROR(INDEX(PQ_Aug!$B$2:$AF$1079,MATCH($C23,PQ_Aug!$A$2:$A$1079,0),MATCH(U$3&amp;"",PQ_Aug!$B$1:$AF$1&amp;"",0)),0)</f>
        <v>0</v>
      </c>
      <c r="V23" s="150" cm="1">
        <f t="array" ref="V23">IFERROR(INDEX(PQ_Aug!$B$2:$AF$1079,MATCH($C23,PQ_Aug!$A$2:$A$1079,0),MATCH(V$3&amp;"",PQ_Aug!$B$1:$AF$1&amp;"",0)),0)</f>
        <v>0</v>
      </c>
      <c r="W23" s="151"/>
      <c r="X23" s="151"/>
      <c r="Y23" s="150" cm="1">
        <f t="array" ref="Y23">IFERROR(INDEX(PQ_Aug!$B$2:$AF$1079,MATCH($C23,PQ_Aug!$A$2:$A$1079,0),MATCH(Y$3&amp;"",PQ_Aug!$B$1:$AF$1&amp;"",0)),0)</f>
        <v>0</v>
      </c>
      <c r="Z23" s="150" cm="1">
        <f t="array" ref="Z23">IFERROR(INDEX(PQ_Aug!$B$2:$AF$1079,MATCH($C23,PQ_Aug!$A$2:$A$1079,0),MATCH(Z$3&amp;"",PQ_Aug!$B$1:$AF$1&amp;"",0)),0)</f>
        <v>0</v>
      </c>
      <c r="AA23" s="150" cm="1">
        <f t="array" ref="AA23">IFERROR(INDEX(PQ_Aug!$B$2:$AF$1079,MATCH($C23,PQ_Aug!$A$2:$A$1079,0),MATCH(AA$3&amp;"",PQ_Aug!$B$1:$AF$1&amp;"",0)),0)</f>
        <v>0</v>
      </c>
      <c r="AB23" s="150" cm="1">
        <f t="array" ref="AB23">IFERROR(INDEX(PQ_Aug!$B$2:$AF$1079,MATCH($C23,PQ_Aug!$A$2:$A$1079,0),MATCH(AB$3&amp;"",PQ_Aug!$B$1:$AF$1&amp;"",0)),0)</f>
        <v>0</v>
      </c>
      <c r="AC23" s="150" cm="1">
        <f t="array" ref="AC23">IFERROR(INDEX(PQ_Aug!$B$2:$AF$1079,MATCH($C23,PQ_Aug!$A$2:$A$1079,0),MATCH(AC$3&amp;"",PQ_Aug!$B$1:$AF$1&amp;"",0)),0)</f>
        <v>0</v>
      </c>
      <c r="AD23" s="151"/>
      <c r="AE23" s="150" cm="1">
        <f t="array" ref="AE23">IFERROR(INDEX(PQ_Aug!$B$2:$AF$1079,MATCH($C23,PQ_Aug!$A$2:$A$1079,0),MATCH(AE$3&amp;"",PQ_Aug!$B$1:$AF$1&amp;"",0)),0)</f>
        <v>0</v>
      </c>
      <c r="AF23" s="151"/>
      <c r="AG23" s="150"/>
      <c r="AH23" s="150"/>
      <c r="AI23" s="150"/>
      <c r="AJ23" s="150"/>
      <c r="AK23" s="151"/>
      <c r="AL23" s="150"/>
      <c r="AM23" s="152"/>
      <c r="AN23" s="150">
        <f t="shared" si="4"/>
        <v>0</v>
      </c>
      <c r="AO23" s="153">
        <f t="shared" si="1"/>
        <v>31</v>
      </c>
      <c r="AP23" s="154">
        <v>10</v>
      </c>
      <c r="AQ23" s="166" t="s">
        <v>21</v>
      </c>
      <c r="AR23" s="161"/>
      <c r="AS23" s="153"/>
      <c r="AT23" s="161"/>
      <c r="AU23" s="153"/>
      <c r="AV23" s="161"/>
      <c r="AW23" s="161"/>
      <c r="AX23" s="153">
        <f t="shared" si="5"/>
        <v>0</v>
      </c>
      <c r="AY23" s="153">
        <f t="shared" si="6"/>
        <v>0</v>
      </c>
      <c r="AZ23" s="153">
        <f t="shared" si="2"/>
        <v>0</v>
      </c>
      <c r="BA23" s="153">
        <f t="shared" si="3"/>
        <v>31</v>
      </c>
      <c r="BB23" s="160"/>
      <c r="BC23" s="30"/>
      <c r="BD23" s="30"/>
      <c r="BE23" s="30"/>
      <c r="BF23" s="30"/>
    </row>
    <row r="24" spans="1:58" ht="22.5" customHeight="1">
      <c r="A24" s="233" t="e">
        <f t="shared" si="7"/>
        <v>#REF!</v>
      </c>
      <c r="B24" s="234"/>
      <c r="C24" s="133" t="s">
        <v>120</v>
      </c>
      <c r="D24" s="148">
        <v>60</v>
      </c>
      <c r="E24" s="148">
        <v>60</v>
      </c>
      <c r="F24" s="148">
        <v>12</v>
      </c>
      <c r="G24" s="149" t="e">
        <f>Juli2026!AO25</f>
        <v>#REF!</v>
      </c>
      <c r="H24" s="150" cm="1">
        <f t="array" ref="H24">IFERROR(INDEX(PQ_Aug!$B$2:$AF$1079,MATCH($C24,PQ_Aug!$A$2:$A$1079,0),MATCH(H$3&amp;"",PQ_Aug!$B$1:$AF$1&amp;"",0)),0)</f>
        <v>0</v>
      </c>
      <c r="I24" s="151"/>
      <c r="J24" s="150" cm="1">
        <f t="array" ref="J24">IFERROR(INDEX(PQ_Aug!$B$2:$AF$1079,MATCH($C24,PQ_Aug!$A$2:$A$1079,0),MATCH(J$3&amp;"",PQ_Aug!$B$1:$AF$1&amp;"",0)),0)</f>
        <v>0</v>
      </c>
      <c r="K24" s="150" cm="1">
        <f t="array" ref="K24">IFERROR(INDEX(PQ_Aug!$B$2:$AF$1079,MATCH($C24,PQ_Aug!$A$2:$A$1079,0),MATCH(K$3&amp;"",PQ_Aug!$B$1:$AF$1&amp;"",0)),0)</f>
        <v>0</v>
      </c>
      <c r="L24" s="150" cm="1">
        <f t="array" ref="L24">IFERROR(INDEX(PQ_Aug!$B$2:$AF$1079,MATCH($C24,PQ_Aug!$A$2:$A$1079,0),MATCH(L$3&amp;"",PQ_Aug!$B$1:$AF$1&amp;"",0)),0)</f>
        <v>0</v>
      </c>
      <c r="M24" s="150" cm="1">
        <f t="array" ref="M24">IFERROR(INDEX(PQ_Aug!$B$2:$AF$1079,MATCH($C24,PQ_Aug!$A$2:$A$1079,0),MATCH(M$3&amp;"",PQ_Aug!$B$1:$AF$1&amp;"",0)),0)</f>
        <v>0</v>
      </c>
      <c r="N24" s="150" cm="1">
        <f t="array" ref="N24">IFERROR(INDEX(PQ_Aug!$B$2:$AF$1079,MATCH($C24,PQ_Aug!$A$2:$A$1079,0),MATCH(N$3&amp;"",PQ_Aug!$B$1:$AF$1&amp;"",0)),0)</f>
        <v>0</v>
      </c>
      <c r="O24" s="150" cm="1">
        <f t="array" ref="O24">IFERROR(INDEX(PQ_Aug!$B$2:$AF$1079,MATCH($C24,PQ_Aug!$A$2:$A$1079,0),MATCH(O$3&amp;"",PQ_Aug!$B$1:$AF$1&amp;"",0)),0)</f>
        <v>0</v>
      </c>
      <c r="P24" s="151"/>
      <c r="Q24" s="150" cm="1">
        <f t="array" ref="Q24">IFERROR(INDEX(PQ_Aug!$B$2:$AF$1079,MATCH($C24,PQ_Aug!$A$2:$A$1079,0),MATCH(Q$3&amp;"",PQ_Aug!$B$1:$AF$1&amp;"",0)),0)</f>
        <v>1</v>
      </c>
      <c r="R24" s="150" cm="1">
        <f t="array" ref="R24">IFERROR(INDEX(PQ_Aug!$B$2:$AF$1079,MATCH($C24,PQ_Aug!$A$2:$A$1079,0),MATCH(R$3&amp;"",PQ_Aug!$B$1:$AF$1&amp;"",0)),0)</f>
        <v>1</v>
      </c>
      <c r="S24" s="150" cm="1">
        <f t="array" ref="S24">IFERROR(INDEX(PQ_Aug!$B$2:$AF$1079,MATCH($C24,PQ_Aug!$A$2:$A$1079,0),MATCH(S$3&amp;"",PQ_Aug!$B$1:$AF$1&amp;"",0)),0)</f>
        <v>0</v>
      </c>
      <c r="T24" s="150" cm="1">
        <f t="array" ref="T24">IFERROR(INDEX(PQ_Aug!$B$2:$AF$1079,MATCH($C24,PQ_Aug!$A$2:$A$1079,0),MATCH(T$3&amp;"",PQ_Aug!$B$1:$AF$1&amp;"",0)),0)</f>
        <v>1</v>
      </c>
      <c r="U24" s="150" cm="1">
        <f t="array" ref="U24">IFERROR(INDEX(PQ_Aug!$B$2:$AF$1079,MATCH($C24,PQ_Aug!$A$2:$A$1079,0),MATCH(U$3&amp;"",PQ_Aug!$B$1:$AF$1&amp;"",0)),0)</f>
        <v>1</v>
      </c>
      <c r="V24" s="150" cm="1">
        <f t="array" ref="V24">IFERROR(INDEX(PQ_Aug!$B$2:$AF$1079,MATCH($C24,PQ_Aug!$A$2:$A$1079,0),MATCH(V$3&amp;"",PQ_Aug!$B$1:$AF$1&amp;"",0)),0)</f>
        <v>0</v>
      </c>
      <c r="W24" s="151"/>
      <c r="X24" s="151"/>
      <c r="Y24" s="150" cm="1">
        <f t="array" ref="Y24">IFERROR(INDEX(PQ_Aug!$B$2:$AF$1079,MATCH($C24,PQ_Aug!$A$2:$A$1079,0),MATCH(Y$3&amp;"",PQ_Aug!$B$1:$AF$1&amp;"",0)),0)</f>
        <v>0</v>
      </c>
      <c r="Z24" s="150" cm="1">
        <f t="array" ref="Z24">IFERROR(INDEX(PQ_Aug!$B$2:$AF$1079,MATCH($C24,PQ_Aug!$A$2:$A$1079,0),MATCH(Z$3&amp;"",PQ_Aug!$B$1:$AF$1&amp;"",0)),0)</f>
        <v>1</v>
      </c>
      <c r="AA24" s="150" cm="1">
        <f t="array" ref="AA24">IFERROR(INDEX(PQ_Aug!$B$2:$AF$1079,MATCH($C24,PQ_Aug!$A$2:$A$1079,0),MATCH(AA$3&amp;"",PQ_Aug!$B$1:$AF$1&amp;"",0)),0)</f>
        <v>0</v>
      </c>
      <c r="AB24" s="150" cm="1">
        <f t="array" ref="AB24">IFERROR(INDEX(PQ_Aug!$B$2:$AF$1079,MATCH($C24,PQ_Aug!$A$2:$A$1079,0),MATCH(AB$3&amp;"",PQ_Aug!$B$1:$AF$1&amp;"",0)),0)</f>
        <v>0</v>
      </c>
      <c r="AC24" s="150" cm="1">
        <f t="array" ref="AC24">IFERROR(INDEX(PQ_Aug!$B$2:$AF$1079,MATCH($C24,PQ_Aug!$A$2:$A$1079,0),MATCH(AC$3&amp;"",PQ_Aug!$B$1:$AF$1&amp;"",0)),0)</f>
        <v>1</v>
      </c>
      <c r="AD24" s="151"/>
      <c r="AE24" s="150" cm="1">
        <f t="array" ref="AE24">IFERROR(INDEX(PQ_Aug!$B$2:$AF$1079,MATCH($C24,PQ_Aug!$A$2:$A$1079,0),MATCH(AE$3&amp;"",PQ_Aug!$B$1:$AF$1&amp;"",0)),0)</f>
        <v>0</v>
      </c>
      <c r="AF24" s="151"/>
      <c r="AG24" s="150"/>
      <c r="AH24" s="150"/>
      <c r="AI24" s="150"/>
      <c r="AJ24" s="150"/>
      <c r="AK24" s="151"/>
      <c r="AL24" s="150"/>
      <c r="AM24" s="152">
        <v>4</v>
      </c>
      <c r="AN24" s="150">
        <f t="shared" si="4"/>
        <v>10</v>
      </c>
      <c r="AO24" s="153" t="e">
        <f t="shared" si="1"/>
        <v>#REF!</v>
      </c>
      <c r="AP24" s="167">
        <v>20</v>
      </c>
      <c r="AQ24" s="167" t="s">
        <v>21</v>
      </c>
      <c r="AR24" s="161"/>
      <c r="AS24" s="153"/>
      <c r="AT24" s="161"/>
      <c r="AU24" s="153"/>
      <c r="AV24" s="161"/>
      <c r="AW24" s="161"/>
      <c r="AX24" s="153">
        <f t="shared" si="5"/>
        <v>0</v>
      </c>
      <c r="AY24" s="153">
        <f t="shared" si="6"/>
        <v>0</v>
      </c>
      <c r="AZ24" s="153">
        <f t="shared" si="2"/>
        <v>0</v>
      </c>
      <c r="BA24" s="153" t="e">
        <f t="shared" si="3"/>
        <v>#REF!</v>
      </c>
      <c r="BB24" s="160"/>
      <c r="BC24" s="30"/>
      <c r="BD24" s="30"/>
      <c r="BE24" s="30"/>
      <c r="BF24" s="30"/>
    </row>
    <row r="25" spans="1:58" ht="22.5" customHeight="1">
      <c r="A25" s="233" t="e">
        <f t="shared" si="7"/>
        <v>#REF!</v>
      </c>
      <c r="B25" s="234"/>
      <c r="C25" s="133" t="s">
        <v>121</v>
      </c>
      <c r="D25" s="148">
        <v>60</v>
      </c>
      <c r="E25" s="148">
        <v>23</v>
      </c>
      <c r="F25" s="148">
        <v>31</v>
      </c>
      <c r="G25" s="149" t="e">
        <f>Juli2026!AO26</f>
        <v>#REF!</v>
      </c>
      <c r="H25" s="150" cm="1">
        <f t="array" ref="H25">IFERROR(INDEX(PQ_Aug!$B$2:$AF$1079,MATCH($C25,PQ_Aug!$A$2:$A$1079,0),MATCH(H$3&amp;"",PQ_Aug!$B$1:$AF$1&amp;"",0)),0)</f>
        <v>0</v>
      </c>
      <c r="I25" s="151"/>
      <c r="J25" s="150" cm="1">
        <f t="array" ref="J25">IFERROR(INDEX(PQ_Aug!$B$2:$AF$1079,MATCH($C25,PQ_Aug!$A$2:$A$1079,0),MATCH(J$3&amp;"",PQ_Aug!$B$1:$AF$1&amp;"",0)),0)</f>
        <v>1</v>
      </c>
      <c r="K25" s="150" cm="1">
        <f t="array" ref="K25">IFERROR(INDEX(PQ_Aug!$B$2:$AF$1079,MATCH($C25,PQ_Aug!$A$2:$A$1079,0),MATCH(K$3&amp;"",PQ_Aug!$B$1:$AF$1&amp;"",0)),0)</f>
        <v>0</v>
      </c>
      <c r="L25" s="150" cm="1">
        <f t="array" ref="L25">IFERROR(INDEX(PQ_Aug!$B$2:$AF$1079,MATCH($C25,PQ_Aug!$A$2:$A$1079,0),MATCH(L$3&amp;"",PQ_Aug!$B$1:$AF$1&amp;"",0)),0)</f>
        <v>0</v>
      </c>
      <c r="M25" s="150" cm="1">
        <f t="array" ref="M25">IFERROR(INDEX(PQ_Aug!$B$2:$AF$1079,MATCH($C25,PQ_Aug!$A$2:$A$1079,0),MATCH(M$3&amp;"",PQ_Aug!$B$1:$AF$1&amp;"",0)),0)</f>
        <v>0</v>
      </c>
      <c r="N25" s="150" cm="1">
        <f t="array" ref="N25">IFERROR(INDEX(PQ_Aug!$B$2:$AF$1079,MATCH($C25,PQ_Aug!$A$2:$A$1079,0),MATCH(N$3&amp;"",PQ_Aug!$B$1:$AF$1&amp;"",0)),0)</f>
        <v>0</v>
      </c>
      <c r="O25" s="150" cm="1">
        <f t="array" ref="O25">IFERROR(INDEX(PQ_Aug!$B$2:$AF$1079,MATCH($C25,PQ_Aug!$A$2:$A$1079,0),MATCH(O$3&amp;"",PQ_Aug!$B$1:$AF$1&amp;"",0)),0)</f>
        <v>0</v>
      </c>
      <c r="P25" s="151"/>
      <c r="Q25" s="150" cm="1">
        <f t="array" ref="Q25">IFERROR(INDEX(PQ_Aug!$B$2:$AF$1079,MATCH($C25,PQ_Aug!$A$2:$A$1079,0),MATCH(Q$3&amp;"",PQ_Aug!$B$1:$AF$1&amp;"",0)),0)</f>
        <v>2</v>
      </c>
      <c r="R25" s="150" cm="1">
        <f t="array" ref="R25">IFERROR(INDEX(PQ_Aug!$B$2:$AF$1079,MATCH($C25,PQ_Aug!$A$2:$A$1079,0),MATCH(R$3&amp;"",PQ_Aug!$B$1:$AF$1&amp;"",0)),0)</f>
        <v>0</v>
      </c>
      <c r="S25" s="150" cm="1">
        <f t="array" ref="S25">IFERROR(INDEX(PQ_Aug!$B$2:$AF$1079,MATCH($C25,PQ_Aug!$A$2:$A$1079,0),MATCH(S$3&amp;"",PQ_Aug!$B$1:$AF$1&amp;"",0)),0)</f>
        <v>0</v>
      </c>
      <c r="T25" s="150" cm="1">
        <f t="array" ref="T25">IFERROR(INDEX(PQ_Aug!$B$2:$AF$1079,MATCH($C25,PQ_Aug!$A$2:$A$1079,0),MATCH(T$3&amp;"",PQ_Aug!$B$1:$AF$1&amp;"",0)),0)</f>
        <v>0</v>
      </c>
      <c r="U25" s="150" cm="1">
        <f t="array" ref="U25">IFERROR(INDEX(PQ_Aug!$B$2:$AF$1079,MATCH($C25,PQ_Aug!$A$2:$A$1079,0),MATCH(U$3&amp;"",PQ_Aug!$B$1:$AF$1&amp;"",0)),0)</f>
        <v>1</v>
      </c>
      <c r="V25" s="150" cm="1">
        <f t="array" ref="V25">IFERROR(INDEX(PQ_Aug!$B$2:$AF$1079,MATCH($C25,PQ_Aug!$A$2:$A$1079,0),MATCH(V$3&amp;"",PQ_Aug!$B$1:$AF$1&amp;"",0)),0)</f>
        <v>0</v>
      </c>
      <c r="W25" s="151"/>
      <c r="X25" s="151"/>
      <c r="Y25" s="150" cm="1">
        <f t="array" ref="Y25">IFERROR(INDEX(PQ_Aug!$B$2:$AF$1079,MATCH($C25,PQ_Aug!$A$2:$A$1079,0),MATCH(Y$3&amp;"",PQ_Aug!$B$1:$AF$1&amp;"",0)),0)</f>
        <v>0</v>
      </c>
      <c r="Z25" s="150" cm="1">
        <f t="array" ref="Z25">IFERROR(INDEX(PQ_Aug!$B$2:$AF$1079,MATCH($C25,PQ_Aug!$A$2:$A$1079,0),MATCH(Z$3&amp;"",PQ_Aug!$B$1:$AF$1&amp;"",0)),0)</f>
        <v>0</v>
      </c>
      <c r="AA25" s="150" cm="1">
        <f t="array" ref="AA25">IFERROR(INDEX(PQ_Aug!$B$2:$AF$1079,MATCH($C25,PQ_Aug!$A$2:$A$1079,0),MATCH(AA$3&amp;"",PQ_Aug!$B$1:$AF$1&amp;"",0)),0)</f>
        <v>0</v>
      </c>
      <c r="AB25" s="150" cm="1">
        <f t="array" ref="AB25">IFERROR(INDEX(PQ_Aug!$B$2:$AF$1079,MATCH($C25,PQ_Aug!$A$2:$A$1079,0),MATCH(AB$3&amp;"",PQ_Aug!$B$1:$AF$1&amp;"",0)),0)</f>
        <v>0</v>
      </c>
      <c r="AC25" s="150" cm="1">
        <f t="array" ref="AC25">IFERROR(INDEX(PQ_Aug!$B$2:$AF$1079,MATCH($C25,PQ_Aug!$A$2:$A$1079,0),MATCH(AC$3&amp;"",PQ_Aug!$B$1:$AF$1&amp;"",0)),0)</f>
        <v>0</v>
      </c>
      <c r="AD25" s="151"/>
      <c r="AE25" s="150" cm="1">
        <f t="array" ref="AE25">IFERROR(INDEX(PQ_Aug!$B$2:$AF$1079,MATCH($C25,PQ_Aug!$A$2:$A$1079,0),MATCH(AE$3&amp;"",PQ_Aug!$B$1:$AF$1&amp;"",0)),0)</f>
        <v>2</v>
      </c>
      <c r="AF25" s="151"/>
      <c r="AG25" s="150"/>
      <c r="AH25" s="150"/>
      <c r="AI25" s="150"/>
      <c r="AJ25" s="150"/>
      <c r="AK25" s="151"/>
      <c r="AL25" s="150"/>
      <c r="AM25" s="152">
        <v>4</v>
      </c>
      <c r="AN25" s="150">
        <f t="shared" si="4"/>
        <v>10</v>
      </c>
      <c r="AO25" s="153" t="e">
        <f t="shared" si="1"/>
        <v>#REF!</v>
      </c>
      <c r="AP25" s="167">
        <v>20</v>
      </c>
      <c r="AQ25" s="167" t="s">
        <v>21</v>
      </c>
      <c r="AR25" s="161"/>
      <c r="AS25" s="153"/>
      <c r="AT25" s="161"/>
      <c r="AU25" s="153"/>
      <c r="AV25" s="159"/>
      <c r="AW25" s="161"/>
      <c r="AX25" s="153">
        <f t="shared" si="5"/>
        <v>0</v>
      </c>
      <c r="AY25" s="153">
        <f t="shared" si="6"/>
        <v>0</v>
      </c>
      <c r="AZ25" s="153">
        <f t="shared" si="2"/>
        <v>0</v>
      </c>
      <c r="BA25" s="153" t="e">
        <f t="shared" si="3"/>
        <v>#REF!</v>
      </c>
      <c r="BB25" s="160"/>
      <c r="BC25" s="30"/>
      <c r="BD25" s="30"/>
      <c r="BE25" s="30"/>
      <c r="BF25" s="30"/>
    </row>
    <row r="26" spans="1:58" ht="22.5" customHeight="1">
      <c r="A26" s="242">
        <f t="shared" si="7"/>
        <v>21</v>
      </c>
      <c r="B26" s="243"/>
      <c r="C26" s="133" t="s">
        <v>122</v>
      </c>
      <c r="D26" s="148">
        <v>60</v>
      </c>
      <c r="E26" s="148">
        <v>12</v>
      </c>
      <c r="F26" s="148">
        <v>17</v>
      </c>
      <c r="G26" s="149">
        <f>Juli2026!AO27</f>
        <v>36</v>
      </c>
      <c r="H26" s="150" cm="1">
        <f t="array" ref="H26">IFERROR(INDEX(PQ_Aug!$B$2:$AF$1079,MATCH($C26,PQ_Aug!$A$2:$A$1079,0),MATCH(H$3&amp;"",PQ_Aug!$B$1:$AF$1&amp;"",0)),0)</f>
        <v>1</v>
      </c>
      <c r="I26" s="151"/>
      <c r="J26" s="150" cm="1">
        <f t="array" ref="J26">IFERROR(INDEX(PQ_Aug!$B$2:$AF$1079,MATCH($C26,PQ_Aug!$A$2:$A$1079,0),MATCH(J$3&amp;"",PQ_Aug!$B$1:$AF$1&amp;"",0)),0)</f>
        <v>0</v>
      </c>
      <c r="K26" s="150" cm="1">
        <f t="array" ref="K26">IFERROR(INDEX(PQ_Aug!$B$2:$AF$1079,MATCH($C26,PQ_Aug!$A$2:$A$1079,0),MATCH(K$3&amp;"",PQ_Aug!$B$1:$AF$1&amp;"",0)),0)</f>
        <v>0</v>
      </c>
      <c r="L26" s="150" cm="1">
        <f t="array" ref="L26">IFERROR(INDEX(PQ_Aug!$B$2:$AF$1079,MATCH($C26,PQ_Aug!$A$2:$A$1079,0),MATCH(L$3&amp;"",PQ_Aug!$B$1:$AF$1&amp;"",0)),0)</f>
        <v>2</v>
      </c>
      <c r="M26" s="150" cm="1">
        <f t="array" ref="M26">IFERROR(INDEX(PQ_Aug!$B$2:$AF$1079,MATCH($C26,PQ_Aug!$A$2:$A$1079,0),MATCH(M$3&amp;"",PQ_Aug!$B$1:$AF$1&amp;"",0)),0)</f>
        <v>0</v>
      </c>
      <c r="N26" s="150" cm="1">
        <f t="array" ref="N26">IFERROR(INDEX(PQ_Aug!$B$2:$AF$1079,MATCH($C26,PQ_Aug!$A$2:$A$1079,0),MATCH(N$3&amp;"",PQ_Aug!$B$1:$AF$1&amp;"",0)),0)</f>
        <v>0</v>
      </c>
      <c r="O26" s="150" cm="1">
        <f t="array" ref="O26">IFERROR(INDEX(PQ_Aug!$B$2:$AF$1079,MATCH($C26,PQ_Aug!$A$2:$A$1079,0),MATCH(O$3&amp;"",PQ_Aug!$B$1:$AF$1&amp;"",0)),0)</f>
        <v>1</v>
      </c>
      <c r="P26" s="151"/>
      <c r="Q26" s="150" cm="1">
        <f t="array" ref="Q26">IFERROR(INDEX(PQ_Aug!$B$2:$AF$1079,MATCH($C26,PQ_Aug!$A$2:$A$1079,0),MATCH(Q$3&amp;"",PQ_Aug!$B$1:$AF$1&amp;"",0)),0)</f>
        <v>3</v>
      </c>
      <c r="R26" s="150" cm="1">
        <f t="array" ref="R26">IFERROR(INDEX(PQ_Aug!$B$2:$AF$1079,MATCH($C26,PQ_Aug!$A$2:$A$1079,0),MATCH(R$3&amp;"",PQ_Aug!$B$1:$AF$1&amp;"",0)),0)</f>
        <v>0</v>
      </c>
      <c r="S26" s="150" cm="1">
        <f t="array" ref="S26">IFERROR(INDEX(PQ_Aug!$B$2:$AF$1079,MATCH($C26,PQ_Aug!$A$2:$A$1079,0),MATCH(S$3&amp;"",PQ_Aug!$B$1:$AF$1&amp;"",0)),0)</f>
        <v>1</v>
      </c>
      <c r="T26" s="150" cm="1">
        <f t="array" ref="T26">IFERROR(INDEX(PQ_Aug!$B$2:$AF$1079,MATCH($C26,PQ_Aug!$A$2:$A$1079,0),MATCH(T$3&amp;"",PQ_Aug!$B$1:$AF$1&amp;"",0)),0)</f>
        <v>1</v>
      </c>
      <c r="U26" s="150" cm="1">
        <f t="array" ref="U26">IFERROR(INDEX(PQ_Aug!$B$2:$AF$1079,MATCH($C26,PQ_Aug!$A$2:$A$1079,0),MATCH(U$3&amp;"",PQ_Aug!$B$1:$AF$1&amp;"",0)),0)</f>
        <v>1</v>
      </c>
      <c r="V26" s="150" cm="1">
        <f t="array" ref="V26">IFERROR(INDEX(PQ_Aug!$B$2:$AF$1079,MATCH($C26,PQ_Aug!$A$2:$A$1079,0),MATCH(V$3&amp;"",PQ_Aug!$B$1:$AF$1&amp;"",0)),0)</f>
        <v>0</v>
      </c>
      <c r="W26" s="151"/>
      <c r="X26" s="151"/>
      <c r="Y26" s="150" cm="1">
        <f t="array" ref="Y26">IFERROR(INDEX(PQ_Aug!$B$2:$AF$1079,MATCH($C26,PQ_Aug!$A$2:$A$1079,0),MATCH(Y$3&amp;"",PQ_Aug!$B$1:$AF$1&amp;"",0)),0)</f>
        <v>0</v>
      </c>
      <c r="Z26" s="150" cm="1">
        <f t="array" ref="Z26">IFERROR(INDEX(PQ_Aug!$B$2:$AF$1079,MATCH($C26,PQ_Aug!$A$2:$A$1079,0),MATCH(Z$3&amp;"",PQ_Aug!$B$1:$AF$1&amp;"",0)),0)</f>
        <v>1</v>
      </c>
      <c r="AA26" s="150" cm="1">
        <f t="array" ref="AA26">IFERROR(INDEX(PQ_Aug!$B$2:$AF$1079,MATCH($C26,PQ_Aug!$A$2:$A$1079,0),MATCH(AA$3&amp;"",PQ_Aug!$B$1:$AF$1&amp;"",0)),0)</f>
        <v>0</v>
      </c>
      <c r="AB26" s="150" cm="1">
        <f t="array" ref="AB26">IFERROR(INDEX(PQ_Aug!$B$2:$AF$1079,MATCH($C26,PQ_Aug!$A$2:$A$1079,0),MATCH(AB$3&amp;"",PQ_Aug!$B$1:$AF$1&amp;"",0)),0)</f>
        <v>0</v>
      </c>
      <c r="AC26" s="150" cm="1">
        <f t="array" ref="AC26">IFERROR(INDEX(PQ_Aug!$B$2:$AF$1079,MATCH($C26,PQ_Aug!$A$2:$A$1079,0),MATCH(AC$3&amp;"",PQ_Aug!$B$1:$AF$1&amp;"",0)),0)</f>
        <v>1</v>
      </c>
      <c r="AD26" s="151"/>
      <c r="AE26" s="150" cm="1">
        <f t="array" ref="AE26">IFERROR(INDEX(PQ_Aug!$B$2:$AF$1079,MATCH($C26,PQ_Aug!$A$2:$A$1079,0),MATCH(AE$3&amp;"",PQ_Aug!$B$1:$AF$1&amp;"",0)),0)</f>
        <v>3</v>
      </c>
      <c r="AF26" s="151"/>
      <c r="AG26" s="150"/>
      <c r="AH26" s="150"/>
      <c r="AI26" s="150"/>
      <c r="AJ26" s="150"/>
      <c r="AK26" s="151"/>
      <c r="AL26" s="150"/>
      <c r="AM26" s="152"/>
      <c r="AN26" s="150">
        <f t="shared" si="4"/>
        <v>15</v>
      </c>
      <c r="AO26" s="153">
        <f t="shared" si="1"/>
        <v>21</v>
      </c>
      <c r="AP26" s="167">
        <v>30</v>
      </c>
      <c r="AQ26" s="167" t="s">
        <v>21</v>
      </c>
      <c r="AR26" s="161">
        <v>46253</v>
      </c>
      <c r="AS26" s="153">
        <v>1</v>
      </c>
      <c r="AT26" s="161"/>
      <c r="AU26" s="153"/>
      <c r="AV26" s="161"/>
      <c r="AW26" s="161"/>
      <c r="AX26" s="153">
        <f t="shared" si="5"/>
        <v>0</v>
      </c>
      <c r="AY26" s="153">
        <f t="shared" si="6"/>
        <v>0</v>
      </c>
      <c r="AZ26" s="153">
        <f t="shared" si="2"/>
        <v>0</v>
      </c>
      <c r="BA26" s="153">
        <f t="shared" si="3"/>
        <v>21</v>
      </c>
      <c r="BB26" s="160"/>
      <c r="BC26" s="30"/>
      <c r="BD26" s="30"/>
      <c r="BE26" s="30"/>
      <c r="BF26" s="30"/>
    </row>
    <row r="27" spans="1:58" ht="22.5" customHeight="1">
      <c r="A27" s="233">
        <f t="shared" si="7"/>
        <v>47</v>
      </c>
      <c r="B27" s="234"/>
      <c r="C27" s="133" t="s">
        <v>123</v>
      </c>
      <c r="D27" s="148">
        <v>60</v>
      </c>
      <c r="E27" s="148">
        <v>15</v>
      </c>
      <c r="F27" s="148">
        <v>20</v>
      </c>
      <c r="G27" s="149">
        <f>Juli2026!AO28</f>
        <v>65</v>
      </c>
      <c r="H27" s="150" cm="1">
        <f t="array" ref="H27">IFERROR(INDEX(PQ_Aug!$B$2:$AF$1079,MATCH($C27,PQ_Aug!$A$2:$A$1079,0),MATCH(H$3&amp;"",PQ_Aug!$B$1:$AF$1&amp;"",0)),0)</f>
        <v>1</v>
      </c>
      <c r="I27" s="151"/>
      <c r="J27" s="150" cm="1">
        <f t="array" ref="J27">IFERROR(INDEX(PQ_Aug!$B$2:$AF$1079,MATCH($C27,PQ_Aug!$A$2:$A$1079,0),MATCH(J$3&amp;"",PQ_Aug!$B$1:$AF$1&amp;"",0)),0)</f>
        <v>0</v>
      </c>
      <c r="K27" s="150" cm="1">
        <f t="array" ref="K27">IFERROR(INDEX(PQ_Aug!$B$2:$AF$1079,MATCH($C27,PQ_Aug!$A$2:$A$1079,0),MATCH(K$3&amp;"",PQ_Aug!$B$1:$AF$1&amp;"",0)),0)</f>
        <v>0</v>
      </c>
      <c r="L27" s="150" cm="1">
        <f t="array" ref="L27">IFERROR(INDEX(PQ_Aug!$B$2:$AF$1079,MATCH($C27,PQ_Aug!$A$2:$A$1079,0),MATCH(L$3&amp;"",PQ_Aug!$B$1:$AF$1&amp;"",0)),0)</f>
        <v>1</v>
      </c>
      <c r="M27" s="150" cm="1">
        <f t="array" ref="M27">IFERROR(INDEX(PQ_Aug!$B$2:$AF$1079,MATCH($C27,PQ_Aug!$A$2:$A$1079,0),MATCH(M$3&amp;"",PQ_Aug!$B$1:$AF$1&amp;"",0)),0)</f>
        <v>0</v>
      </c>
      <c r="N27" s="150" cm="1">
        <f t="array" ref="N27">IFERROR(INDEX(PQ_Aug!$B$2:$AF$1079,MATCH($C27,PQ_Aug!$A$2:$A$1079,0),MATCH(N$3&amp;"",PQ_Aug!$B$1:$AF$1&amp;"",0)),0)</f>
        <v>1</v>
      </c>
      <c r="O27" s="150" cm="1">
        <f t="array" ref="O27">IFERROR(INDEX(PQ_Aug!$B$2:$AF$1079,MATCH($C27,PQ_Aug!$A$2:$A$1079,0),MATCH(O$3&amp;"",PQ_Aug!$B$1:$AF$1&amp;"",0)),0)</f>
        <v>3</v>
      </c>
      <c r="P27" s="151"/>
      <c r="Q27" s="150" cm="1">
        <f t="array" ref="Q27">IFERROR(INDEX(PQ_Aug!$B$2:$AF$1079,MATCH($C27,PQ_Aug!$A$2:$A$1079,0),MATCH(Q$3&amp;"",PQ_Aug!$B$1:$AF$1&amp;"",0)),0)</f>
        <v>1</v>
      </c>
      <c r="R27" s="150" cm="1">
        <f t="array" ref="R27">IFERROR(INDEX(PQ_Aug!$B$2:$AF$1079,MATCH($C27,PQ_Aug!$A$2:$A$1079,0),MATCH(R$3&amp;"",PQ_Aug!$B$1:$AF$1&amp;"",0)),0)</f>
        <v>0</v>
      </c>
      <c r="S27" s="150" cm="1">
        <f t="array" ref="S27">IFERROR(INDEX(PQ_Aug!$B$2:$AF$1079,MATCH($C27,PQ_Aug!$A$2:$A$1079,0),MATCH(S$3&amp;"",PQ_Aug!$B$1:$AF$1&amp;"",0)),0)</f>
        <v>1</v>
      </c>
      <c r="T27" s="150" cm="1">
        <f t="array" ref="T27">IFERROR(INDEX(PQ_Aug!$B$2:$AF$1079,MATCH($C27,PQ_Aug!$A$2:$A$1079,0),MATCH(T$3&amp;"",PQ_Aug!$B$1:$AF$1&amp;"",0)),0)</f>
        <v>1</v>
      </c>
      <c r="U27" s="150" cm="1">
        <f t="array" ref="U27">IFERROR(INDEX(PQ_Aug!$B$2:$AF$1079,MATCH($C27,PQ_Aug!$A$2:$A$1079,0),MATCH(U$3&amp;"",PQ_Aug!$B$1:$AF$1&amp;"",0)),0)</f>
        <v>0</v>
      </c>
      <c r="V27" s="150" cm="1">
        <f t="array" ref="V27">IFERROR(INDEX(PQ_Aug!$B$2:$AF$1079,MATCH($C27,PQ_Aug!$A$2:$A$1079,0),MATCH(V$3&amp;"",PQ_Aug!$B$1:$AF$1&amp;"",0)),0)</f>
        <v>0</v>
      </c>
      <c r="W27" s="151"/>
      <c r="X27" s="151"/>
      <c r="Y27" s="150" cm="1">
        <f t="array" ref="Y27">IFERROR(INDEX(PQ_Aug!$B$2:$AF$1079,MATCH($C27,PQ_Aug!$A$2:$A$1079,0),MATCH(Y$3&amp;"",PQ_Aug!$B$1:$AF$1&amp;"",0)),0)</f>
        <v>1</v>
      </c>
      <c r="Z27" s="150" cm="1">
        <f t="array" ref="Z27">IFERROR(INDEX(PQ_Aug!$B$2:$AF$1079,MATCH($C27,PQ_Aug!$A$2:$A$1079,0),MATCH(Z$3&amp;"",PQ_Aug!$B$1:$AF$1&amp;"",0)),0)</f>
        <v>1</v>
      </c>
      <c r="AA27" s="150" cm="1">
        <f t="array" ref="AA27">IFERROR(INDEX(PQ_Aug!$B$2:$AF$1079,MATCH($C27,PQ_Aug!$A$2:$A$1079,0),MATCH(AA$3&amp;"",PQ_Aug!$B$1:$AF$1&amp;"",0)),0)</f>
        <v>1</v>
      </c>
      <c r="AB27" s="150" cm="1">
        <f t="array" ref="AB27">IFERROR(INDEX(PQ_Aug!$B$2:$AF$1079,MATCH($C27,PQ_Aug!$A$2:$A$1079,0),MATCH(AB$3&amp;"",PQ_Aug!$B$1:$AF$1&amp;"",0)),0)</f>
        <v>1</v>
      </c>
      <c r="AC27" s="150" cm="1">
        <f t="array" ref="AC27">IFERROR(INDEX(PQ_Aug!$B$2:$AF$1079,MATCH($C27,PQ_Aug!$A$2:$A$1079,0),MATCH(AC$3&amp;"",PQ_Aug!$B$1:$AF$1&amp;"",0)),0)</f>
        <v>2</v>
      </c>
      <c r="AD27" s="151"/>
      <c r="AE27" s="150" cm="1">
        <f t="array" ref="AE27">IFERROR(INDEX(PQ_Aug!$B$2:$AF$1079,MATCH($C27,PQ_Aug!$A$2:$A$1079,0),MATCH(AE$3&amp;"",PQ_Aug!$B$1:$AF$1&amp;"",0)),0)</f>
        <v>3</v>
      </c>
      <c r="AF27" s="151"/>
      <c r="AG27" s="150"/>
      <c r="AH27" s="150"/>
      <c r="AI27" s="150"/>
      <c r="AJ27" s="150"/>
      <c r="AK27" s="151"/>
      <c r="AL27" s="150"/>
      <c r="AM27" s="152"/>
      <c r="AN27" s="150">
        <f t="shared" si="4"/>
        <v>18</v>
      </c>
      <c r="AO27" s="153">
        <f t="shared" si="1"/>
        <v>47</v>
      </c>
      <c r="AP27" s="167">
        <v>30</v>
      </c>
      <c r="AQ27" s="167" t="s">
        <v>21</v>
      </c>
      <c r="AR27" s="161"/>
      <c r="AS27" s="153"/>
      <c r="AT27" s="161"/>
      <c r="AU27" s="153"/>
      <c r="AV27" s="159"/>
      <c r="AW27" s="161"/>
      <c r="AX27" s="153">
        <f t="shared" si="5"/>
        <v>0</v>
      </c>
      <c r="AY27" s="153">
        <f t="shared" si="6"/>
        <v>0</v>
      </c>
      <c r="AZ27" s="153">
        <f t="shared" si="2"/>
        <v>0</v>
      </c>
      <c r="BA27" s="153">
        <f t="shared" si="3"/>
        <v>47</v>
      </c>
      <c r="BB27" s="160"/>
      <c r="BC27" s="30"/>
      <c r="BD27" s="30"/>
      <c r="BE27" s="30"/>
      <c r="BF27" s="30"/>
    </row>
    <row r="28" spans="1:58" ht="22.5" customHeight="1">
      <c r="A28" s="233" t="e">
        <f t="shared" si="7"/>
        <v>#REF!</v>
      </c>
      <c r="B28" s="234"/>
      <c r="C28" s="133" t="s">
        <v>124</v>
      </c>
      <c r="D28" s="148">
        <v>60</v>
      </c>
      <c r="E28" s="148">
        <v>8</v>
      </c>
      <c r="F28" s="148">
        <v>16</v>
      </c>
      <c r="G28" s="149" t="e">
        <f>Juli2026!AO29</f>
        <v>#REF!</v>
      </c>
      <c r="H28" s="150" cm="1">
        <f t="array" ref="H28">IFERROR(INDEX(PQ_Aug!$B$2:$AF$1079,MATCH($C28,PQ_Aug!$A$2:$A$1079,0),MATCH(H$3&amp;"",PQ_Aug!$B$1:$AF$1&amp;"",0)),0)</f>
        <v>4</v>
      </c>
      <c r="I28" s="151"/>
      <c r="J28" s="150" cm="1">
        <f t="array" ref="J28">IFERROR(INDEX(PQ_Aug!$B$2:$AF$1079,MATCH($C28,PQ_Aug!$A$2:$A$1079,0),MATCH(J$3&amp;"",PQ_Aug!$B$1:$AF$1&amp;"",0)),0)</f>
        <v>5</v>
      </c>
      <c r="K28" s="150" cm="1">
        <f t="array" ref="K28">IFERROR(INDEX(PQ_Aug!$B$2:$AF$1079,MATCH($C28,PQ_Aug!$A$2:$A$1079,0),MATCH(K$3&amp;"",PQ_Aug!$B$1:$AF$1&amp;"",0)),0)</f>
        <v>0</v>
      </c>
      <c r="L28" s="150" cm="1">
        <f t="array" ref="L28">IFERROR(INDEX(PQ_Aug!$B$2:$AF$1079,MATCH($C28,PQ_Aug!$A$2:$A$1079,0),MATCH(L$3&amp;"",PQ_Aug!$B$1:$AF$1&amp;"",0)),0)</f>
        <v>0</v>
      </c>
      <c r="M28" s="150" cm="1">
        <f t="array" ref="M28">IFERROR(INDEX(PQ_Aug!$B$2:$AF$1079,MATCH($C28,PQ_Aug!$A$2:$A$1079,0),MATCH(M$3&amp;"",PQ_Aug!$B$1:$AF$1&amp;"",0)),0)</f>
        <v>1</v>
      </c>
      <c r="N28" s="150" cm="1">
        <f t="array" ref="N28">IFERROR(INDEX(PQ_Aug!$B$2:$AF$1079,MATCH($C28,PQ_Aug!$A$2:$A$1079,0),MATCH(N$3&amp;"",PQ_Aug!$B$1:$AF$1&amp;"",0)),0)</f>
        <v>0</v>
      </c>
      <c r="O28" s="150" cm="1">
        <f t="array" ref="O28">IFERROR(INDEX(PQ_Aug!$B$2:$AF$1079,MATCH($C28,PQ_Aug!$A$2:$A$1079,0),MATCH(O$3&amp;"",PQ_Aug!$B$1:$AF$1&amp;"",0)),0)</f>
        <v>1</v>
      </c>
      <c r="P28" s="151"/>
      <c r="Q28" s="150" cm="1">
        <f t="array" ref="Q28">IFERROR(INDEX(PQ_Aug!$B$2:$AF$1079,MATCH($C28,PQ_Aug!$A$2:$A$1079,0),MATCH(Q$3&amp;"",PQ_Aug!$B$1:$AF$1&amp;"",0)),0)</f>
        <v>5</v>
      </c>
      <c r="R28" s="150" cm="1">
        <f t="array" ref="R28">IFERROR(INDEX(PQ_Aug!$B$2:$AF$1079,MATCH($C28,PQ_Aug!$A$2:$A$1079,0),MATCH(R$3&amp;"",PQ_Aug!$B$1:$AF$1&amp;"",0)),0)</f>
        <v>3</v>
      </c>
      <c r="S28" s="150" cm="1">
        <f t="array" ref="S28">IFERROR(INDEX(PQ_Aug!$B$2:$AF$1079,MATCH($C28,PQ_Aug!$A$2:$A$1079,0),MATCH(S$3&amp;"",PQ_Aug!$B$1:$AF$1&amp;"",0)),0)</f>
        <v>1</v>
      </c>
      <c r="T28" s="150" cm="1">
        <f t="array" ref="T28">IFERROR(INDEX(PQ_Aug!$B$2:$AF$1079,MATCH($C28,PQ_Aug!$A$2:$A$1079,0),MATCH(T$3&amp;"",PQ_Aug!$B$1:$AF$1&amp;"",0)),0)</f>
        <v>1</v>
      </c>
      <c r="U28" s="150" cm="1">
        <f t="array" ref="U28">IFERROR(INDEX(PQ_Aug!$B$2:$AF$1079,MATCH($C28,PQ_Aug!$A$2:$A$1079,0),MATCH(U$3&amp;"",PQ_Aug!$B$1:$AF$1&amp;"",0)),0)</f>
        <v>2</v>
      </c>
      <c r="V28" s="150" cm="1">
        <f t="array" ref="V28">IFERROR(INDEX(PQ_Aug!$B$2:$AF$1079,MATCH($C28,PQ_Aug!$A$2:$A$1079,0),MATCH(V$3&amp;"",PQ_Aug!$B$1:$AF$1&amp;"",0)),0)</f>
        <v>2</v>
      </c>
      <c r="W28" s="151"/>
      <c r="X28" s="151"/>
      <c r="Y28" s="150" cm="1">
        <f t="array" ref="Y28">IFERROR(INDEX(PQ_Aug!$B$2:$AF$1079,MATCH($C28,PQ_Aug!$A$2:$A$1079,0),MATCH(Y$3&amp;"",PQ_Aug!$B$1:$AF$1&amp;"",0)),0)</f>
        <v>1</v>
      </c>
      <c r="Z28" s="150" cm="1">
        <f t="array" ref="Z28">IFERROR(INDEX(PQ_Aug!$B$2:$AF$1079,MATCH($C28,PQ_Aug!$A$2:$A$1079,0),MATCH(Z$3&amp;"",PQ_Aug!$B$1:$AF$1&amp;"",0)),0)</f>
        <v>2</v>
      </c>
      <c r="AA28" s="150" cm="1">
        <f t="array" ref="AA28">IFERROR(INDEX(PQ_Aug!$B$2:$AF$1079,MATCH($C28,PQ_Aug!$A$2:$A$1079,0),MATCH(AA$3&amp;"",PQ_Aug!$B$1:$AF$1&amp;"",0)),0)</f>
        <v>1</v>
      </c>
      <c r="AB28" s="150" cm="1">
        <f t="array" ref="AB28">IFERROR(INDEX(PQ_Aug!$B$2:$AF$1079,MATCH($C28,PQ_Aug!$A$2:$A$1079,0),MATCH(AB$3&amp;"",PQ_Aug!$B$1:$AF$1&amp;"",0)),0)</f>
        <v>1</v>
      </c>
      <c r="AC28" s="150" cm="1">
        <f t="array" ref="AC28">IFERROR(INDEX(PQ_Aug!$B$2:$AF$1079,MATCH($C28,PQ_Aug!$A$2:$A$1079,0),MATCH(AC$3&amp;"",PQ_Aug!$B$1:$AF$1&amp;"",0)),0)</f>
        <v>1</v>
      </c>
      <c r="AD28" s="151"/>
      <c r="AE28" s="150" cm="1">
        <f t="array" ref="AE28">IFERROR(INDEX(PQ_Aug!$B$2:$AF$1079,MATCH($C28,PQ_Aug!$A$2:$A$1079,0),MATCH(AE$3&amp;"",PQ_Aug!$B$1:$AF$1&amp;"",0)),0)</f>
        <v>4</v>
      </c>
      <c r="AF28" s="151"/>
      <c r="AG28" s="150"/>
      <c r="AH28" s="150"/>
      <c r="AI28" s="150"/>
      <c r="AJ28" s="150"/>
      <c r="AK28" s="151"/>
      <c r="AL28" s="150"/>
      <c r="AM28" s="152">
        <v>4</v>
      </c>
      <c r="AN28" s="150">
        <f t="shared" si="4"/>
        <v>39</v>
      </c>
      <c r="AO28" s="153" t="e">
        <f t="shared" si="1"/>
        <v>#REF!</v>
      </c>
      <c r="AP28" s="167">
        <v>30</v>
      </c>
      <c r="AQ28" s="167" t="s">
        <v>21</v>
      </c>
      <c r="AR28" s="161">
        <v>46253</v>
      </c>
      <c r="AS28" s="153">
        <v>1</v>
      </c>
      <c r="AT28" s="161"/>
      <c r="AU28" s="153"/>
      <c r="AV28" s="161"/>
      <c r="AW28" s="161"/>
      <c r="AX28" s="153">
        <f t="shared" si="5"/>
        <v>0</v>
      </c>
      <c r="AY28" s="153">
        <f t="shared" si="6"/>
        <v>0</v>
      </c>
      <c r="AZ28" s="153">
        <f t="shared" si="2"/>
        <v>0</v>
      </c>
      <c r="BA28" s="153" t="e">
        <f t="shared" si="3"/>
        <v>#REF!</v>
      </c>
      <c r="BB28" s="160"/>
      <c r="BC28" s="30"/>
      <c r="BD28" s="30"/>
      <c r="BE28" s="30"/>
      <c r="BF28" s="30"/>
    </row>
    <row r="29" spans="1:58" ht="22.5" customHeight="1">
      <c r="A29" s="242" t="e">
        <f t="shared" si="7"/>
        <v>#REF!</v>
      </c>
      <c r="B29" s="243"/>
      <c r="C29" s="133" t="s">
        <v>125</v>
      </c>
      <c r="D29" s="148">
        <v>30</v>
      </c>
      <c r="E29" s="148">
        <v>13</v>
      </c>
      <c r="F29" s="148">
        <v>23</v>
      </c>
      <c r="G29" s="149" t="e">
        <f>Juli2026!AO30</f>
        <v>#REF!</v>
      </c>
      <c r="H29" s="150" cm="1">
        <f t="array" ref="H29">IFERROR(INDEX(PQ_Aug!$B$2:$AF$1079,MATCH($C29,PQ_Aug!$A$2:$A$1079,0),MATCH(H$3&amp;"",PQ_Aug!$B$1:$AF$1&amp;"",0)),0)</f>
        <v>1</v>
      </c>
      <c r="I29" s="151"/>
      <c r="J29" s="150" cm="1">
        <f t="array" ref="J29">IFERROR(INDEX(PQ_Aug!$B$2:$AF$1079,MATCH($C29,PQ_Aug!$A$2:$A$1079,0),MATCH(J$3&amp;"",PQ_Aug!$B$1:$AF$1&amp;"",0)),0)</f>
        <v>0</v>
      </c>
      <c r="K29" s="150" cm="1">
        <f t="array" ref="K29">IFERROR(INDEX(PQ_Aug!$B$2:$AF$1079,MATCH($C29,PQ_Aug!$A$2:$A$1079,0),MATCH(K$3&amp;"",PQ_Aug!$B$1:$AF$1&amp;"",0)),0)</f>
        <v>0</v>
      </c>
      <c r="L29" s="150" cm="1">
        <f t="array" ref="L29">IFERROR(INDEX(PQ_Aug!$B$2:$AF$1079,MATCH($C29,PQ_Aug!$A$2:$A$1079,0),MATCH(L$3&amp;"",PQ_Aug!$B$1:$AF$1&amp;"",0)),0)</f>
        <v>1</v>
      </c>
      <c r="M29" s="150" cm="1">
        <f t="array" ref="M29">IFERROR(INDEX(PQ_Aug!$B$2:$AF$1079,MATCH($C29,PQ_Aug!$A$2:$A$1079,0),MATCH(M$3&amp;"",PQ_Aug!$B$1:$AF$1&amp;"",0)),0)</f>
        <v>0</v>
      </c>
      <c r="N29" s="150" cm="1">
        <f t="array" ref="N29">IFERROR(INDEX(PQ_Aug!$B$2:$AF$1079,MATCH($C29,PQ_Aug!$A$2:$A$1079,0),MATCH(N$3&amp;"",PQ_Aug!$B$1:$AF$1&amp;"",0)),0)</f>
        <v>1</v>
      </c>
      <c r="O29" s="150" cm="1">
        <f t="array" ref="O29">IFERROR(INDEX(PQ_Aug!$B$2:$AF$1079,MATCH($C29,PQ_Aug!$A$2:$A$1079,0),MATCH(O$3&amp;"",PQ_Aug!$B$1:$AF$1&amp;"",0)),0)</f>
        <v>0</v>
      </c>
      <c r="P29" s="151"/>
      <c r="Q29" s="150" cm="1">
        <f t="array" ref="Q29">IFERROR(INDEX(PQ_Aug!$B$2:$AF$1079,MATCH($C29,PQ_Aug!$A$2:$A$1079,0),MATCH(Q$3&amp;"",PQ_Aug!$B$1:$AF$1&amp;"",0)),0)</f>
        <v>2</v>
      </c>
      <c r="R29" s="150" cm="1">
        <f t="array" ref="R29">IFERROR(INDEX(PQ_Aug!$B$2:$AF$1079,MATCH($C29,PQ_Aug!$A$2:$A$1079,0),MATCH(R$3&amp;"",PQ_Aug!$B$1:$AF$1&amp;"",0)),0)</f>
        <v>0</v>
      </c>
      <c r="S29" s="150" cm="1">
        <f t="array" ref="S29">IFERROR(INDEX(PQ_Aug!$B$2:$AF$1079,MATCH($C29,PQ_Aug!$A$2:$A$1079,0),MATCH(S$3&amp;"",PQ_Aug!$B$1:$AF$1&amp;"",0)),0)</f>
        <v>1</v>
      </c>
      <c r="T29" s="150" cm="1">
        <f t="array" ref="T29">IFERROR(INDEX(PQ_Aug!$B$2:$AF$1079,MATCH($C29,PQ_Aug!$A$2:$A$1079,0),MATCH(T$3&amp;"",PQ_Aug!$B$1:$AF$1&amp;"",0)),0)</f>
        <v>0</v>
      </c>
      <c r="U29" s="150" cm="1">
        <f t="array" ref="U29">IFERROR(INDEX(PQ_Aug!$B$2:$AF$1079,MATCH($C29,PQ_Aug!$A$2:$A$1079,0),MATCH(U$3&amp;"",PQ_Aug!$B$1:$AF$1&amp;"",0)),0)</f>
        <v>0</v>
      </c>
      <c r="V29" s="150" cm="1">
        <f t="array" ref="V29">IFERROR(INDEX(PQ_Aug!$B$2:$AF$1079,MATCH($C29,PQ_Aug!$A$2:$A$1079,0),MATCH(V$3&amp;"",PQ_Aug!$B$1:$AF$1&amp;"",0)),0)</f>
        <v>0</v>
      </c>
      <c r="W29" s="151"/>
      <c r="X29" s="151"/>
      <c r="Y29" s="150" cm="1">
        <f t="array" ref="Y29">IFERROR(INDEX(PQ_Aug!$B$2:$AF$1079,MATCH($C29,PQ_Aug!$A$2:$A$1079,0),MATCH(Y$3&amp;"",PQ_Aug!$B$1:$AF$1&amp;"",0)),0)</f>
        <v>1</v>
      </c>
      <c r="Z29" s="150" cm="1">
        <f t="array" ref="Z29">IFERROR(INDEX(PQ_Aug!$B$2:$AF$1079,MATCH($C29,PQ_Aug!$A$2:$A$1079,0),MATCH(Z$3&amp;"",PQ_Aug!$B$1:$AF$1&amp;"",0)),0)</f>
        <v>1</v>
      </c>
      <c r="AA29" s="150" cm="1">
        <f t="array" ref="AA29">IFERROR(INDEX(PQ_Aug!$B$2:$AF$1079,MATCH($C29,PQ_Aug!$A$2:$A$1079,0),MATCH(AA$3&amp;"",PQ_Aug!$B$1:$AF$1&amp;"",0)),0)</f>
        <v>1</v>
      </c>
      <c r="AB29" s="150" cm="1">
        <f t="array" ref="AB29">IFERROR(INDEX(PQ_Aug!$B$2:$AF$1079,MATCH($C29,PQ_Aug!$A$2:$A$1079,0),MATCH(AB$3&amp;"",PQ_Aug!$B$1:$AF$1&amp;"",0)),0)</f>
        <v>1</v>
      </c>
      <c r="AC29" s="150" cm="1">
        <f t="array" ref="AC29">IFERROR(INDEX(PQ_Aug!$B$2:$AF$1079,MATCH($C29,PQ_Aug!$A$2:$A$1079,0),MATCH(AC$3&amp;"",PQ_Aug!$B$1:$AF$1&amp;"",0)),0)</f>
        <v>1</v>
      </c>
      <c r="AD29" s="151"/>
      <c r="AE29" s="150" cm="1">
        <f t="array" ref="AE29">IFERROR(INDEX(PQ_Aug!$B$2:$AF$1079,MATCH($C29,PQ_Aug!$A$2:$A$1079,0),MATCH(AE$3&amp;"",PQ_Aug!$B$1:$AF$1&amp;"",0)),0)</f>
        <v>3</v>
      </c>
      <c r="AF29" s="151"/>
      <c r="AG29" s="150"/>
      <c r="AH29" s="150"/>
      <c r="AI29" s="150"/>
      <c r="AJ29" s="150"/>
      <c r="AK29" s="151"/>
      <c r="AL29" s="150"/>
      <c r="AM29" s="152">
        <v>8</v>
      </c>
      <c r="AN29" s="150">
        <f t="shared" si="4"/>
        <v>22</v>
      </c>
      <c r="AO29" s="153" t="e">
        <f t="shared" si="1"/>
        <v>#REF!</v>
      </c>
      <c r="AP29" s="167">
        <v>30</v>
      </c>
      <c r="AQ29" s="167" t="s">
        <v>21</v>
      </c>
      <c r="AR29" s="161">
        <v>46253</v>
      </c>
      <c r="AS29" s="153">
        <v>1</v>
      </c>
      <c r="AT29" s="161"/>
      <c r="AU29" s="153"/>
      <c r="AV29" s="161"/>
      <c r="AW29" s="161"/>
      <c r="AX29" s="153">
        <f t="shared" si="5"/>
        <v>0</v>
      </c>
      <c r="AY29" s="153">
        <f t="shared" si="6"/>
        <v>0</v>
      </c>
      <c r="AZ29" s="153">
        <f t="shared" si="2"/>
        <v>0</v>
      </c>
      <c r="BA29" s="153" t="e">
        <f t="shared" si="3"/>
        <v>#REF!</v>
      </c>
      <c r="BB29" s="160"/>
      <c r="BC29" s="30"/>
      <c r="BD29" s="30"/>
      <c r="BE29" s="30"/>
      <c r="BF29" s="30"/>
    </row>
    <row r="30" spans="1:58" ht="22.5" customHeight="1">
      <c r="A30" s="233">
        <f t="shared" si="7"/>
        <v>23</v>
      </c>
      <c r="B30" s="234"/>
      <c r="C30" s="133" t="s">
        <v>126</v>
      </c>
      <c r="D30" s="148">
        <v>60</v>
      </c>
      <c r="E30" s="148">
        <v>16</v>
      </c>
      <c r="F30" s="148">
        <v>25</v>
      </c>
      <c r="G30" s="149">
        <f>Juli2026!AO31</f>
        <v>37</v>
      </c>
      <c r="H30" s="150" cm="1">
        <f t="array" ref="H30">IFERROR(INDEX(PQ_Aug!$B$2:$AF$1079,MATCH($C30,PQ_Aug!$A$2:$A$1079,0),MATCH(H$3&amp;"",PQ_Aug!$B$1:$AF$1&amp;"",0)),0)</f>
        <v>1</v>
      </c>
      <c r="I30" s="151"/>
      <c r="J30" s="150" cm="1">
        <f t="array" ref="J30">IFERROR(INDEX(PQ_Aug!$B$2:$AF$1079,MATCH($C30,PQ_Aug!$A$2:$A$1079,0),MATCH(J$3&amp;"",PQ_Aug!$B$1:$AF$1&amp;"",0)),0)</f>
        <v>1</v>
      </c>
      <c r="K30" s="150" cm="1">
        <f t="array" ref="K30">IFERROR(INDEX(PQ_Aug!$B$2:$AF$1079,MATCH($C30,PQ_Aug!$A$2:$A$1079,0),MATCH(K$3&amp;"",PQ_Aug!$B$1:$AF$1&amp;"",0)),0)</f>
        <v>0</v>
      </c>
      <c r="L30" s="150" cm="1">
        <f t="array" ref="L30">IFERROR(INDEX(PQ_Aug!$B$2:$AF$1079,MATCH($C30,PQ_Aug!$A$2:$A$1079,0),MATCH(L$3&amp;"",PQ_Aug!$B$1:$AF$1&amp;"",0)),0)</f>
        <v>1</v>
      </c>
      <c r="M30" s="150" cm="1">
        <f t="array" ref="M30">IFERROR(INDEX(PQ_Aug!$B$2:$AF$1079,MATCH($C30,PQ_Aug!$A$2:$A$1079,0),MATCH(M$3&amp;"",PQ_Aug!$B$1:$AF$1&amp;"",0)),0)</f>
        <v>0</v>
      </c>
      <c r="N30" s="150" cm="1">
        <f t="array" ref="N30">IFERROR(INDEX(PQ_Aug!$B$2:$AF$1079,MATCH($C30,PQ_Aug!$A$2:$A$1079,0),MATCH(N$3&amp;"",PQ_Aug!$B$1:$AF$1&amp;"",0)),0)</f>
        <v>0</v>
      </c>
      <c r="O30" s="150" cm="1">
        <f t="array" ref="O30">IFERROR(INDEX(PQ_Aug!$B$2:$AF$1079,MATCH($C30,PQ_Aug!$A$2:$A$1079,0),MATCH(O$3&amp;"",PQ_Aug!$B$1:$AF$1&amp;"",0)),0)</f>
        <v>1</v>
      </c>
      <c r="P30" s="151"/>
      <c r="Q30" s="150" cm="1">
        <f t="array" ref="Q30">IFERROR(INDEX(PQ_Aug!$B$2:$AF$1079,MATCH($C30,PQ_Aug!$A$2:$A$1079,0),MATCH(Q$3&amp;"",PQ_Aug!$B$1:$AF$1&amp;"",0)),0)</f>
        <v>2</v>
      </c>
      <c r="R30" s="150" cm="1">
        <f t="array" ref="R30">IFERROR(INDEX(PQ_Aug!$B$2:$AF$1079,MATCH($C30,PQ_Aug!$A$2:$A$1079,0),MATCH(R$3&amp;"",PQ_Aug!$B$1:$AF$1&amp;"",0)),0)</f>
        <v>0</v>
      </c>
      <c r="S30" s="150" cm="1">
        <f t="array" ref="S30">IFERROR(INDEX(PQ_Aug!$B$2:$AF$1079,MATCH($C30,PQ_Aug!$A$2:$A$1079,0),MATCH(S$3&amp;"",PQ_Aug!$B$1:$AF$1&amp;"",0)),0)</f>
        <v>1</v>
      </c>
      <c r="T30" s="150" cm="1">
        <f t="array" ref="T30">IFERROR(INDEX(PQ_Aug!$B$2:$AF$1079,MATCH($C30,PQ_Aug!$A$2:$A$1079,0),MATCH(T$3&amp;"",PQ_Aug!$B$1:$AF$1&amp;"",0)),0)</f>
        <v>0</v>
      </c>
      <c r="U30" s="150" cm="1">
        <f t="array" ref="U30">IFERROR(INDEX(PQ_Aug!$B$2:$AF$1079,MATCH($C30,PQ_Aug!$A$2:$A$1079,0),MATCH(U$3&amp;"",PQ_Aug!$B$1:$AF$1&amp;"",0)),0)</f>
        <v>0</v>
      </c>
      <c r="V30" s="150" cm="1">
        <f t="array" ref="V30">IFERROR(INDEX(PQ_Aug!$B$2:$AF$1079,MATCH($C30,PQ_Aug!$A$2:$A$1079,0),MATCH(V$3&amp;"",PQ_Aug!$B$1:$AF$1&amp;"",0)),0)</f>
        <v>0</v>
      </c>
      <c r="W30" s="151"/>
      <c r="X30" s="151"/>
      <c r="Y30" s="150" cm="1">
        <f t="array" ref="Y30">IFERROR(INDEX(PQ_Aug!$B$2:$AF$1079,MATCH($C30,PQ_Aug!$A$2:$A$1079,0),MATCH(Y$3&amp;"",PQ_Aug!$B$1:$AF$1&amp;"",0)),0)</f>
        <v>0</v>
      </c>
      <c r="Z30" s="150" cm="1">
        <f t="array" ref="Z30">IFERROR(INDEX(PQ_Aug!$B$2:$AF$1079,MATCH($C30,PQ_Aug!$A$2:$A$1079,0),MATCH(Z$3&amp;"",PQ_Aug!$B$1:$AF$1&amp;"",0)),0)</f>
        <v>0</v>
      </c>
      <c r="AA30" s="150" cm="1">
        <f t="array" ref="AA30">IFERROR(INDEX(PQ_Aug!$B$2:$AF$1079,MATCH($C30,PQ_Aug!$A$2:$A$1079,0),MATCH(AA$3&amp;"",PQ_Aug!$B$1:$AF$1&amp;"",0)),0)</f>
        <v>0</v>
      </c>
      <c r="AB30" s="150" cm="1">
        <f t="array" ref="AB30">IFERROR(INDEX(PQ_Aug!$B$2:$AF$1079,MATCH($C30,PQ_Aug!$A$2:$A$1079,0),MATCH(AB$3&amp;"",PQ_Aug!$B$1:$AF$1&amp;"",0)),0)</f>
        <v>0</v>
      </c>
      <c r="AC30" s="150" cm="1">
        <f t="array" ref="AC30">IFERROR(INDEX(PQ_Aug!$B$2:$AF$1079,MATCH($C30,PQ_Aug!$A$2:$A$1079,0),MATCH(AC$3&amp;"",PQ_Aug!$B$1:$AF$1&amp;"",0)),0)</f>
        <v>0</v>
      </c>
      <c r="AD30" s="151"/>
      <c r="AE30" s="150" cm="1">
        <f t="array" ref="AE30">IFERROR(INDEX(PQ_Aug!$B$2:$AF$1079,MATCH($C30,PQ_Aug!$A$2:$A$1079,0),MATCH(AE$3&amp;"",PQ_Aug!$B$1:$AF$1&amp;"",0)),0)</f>
        <v>3</v>
      </c>
      <c r="AF30" s="151"/>
      <c r="AG30" s="150"/>
      <c r="AH30" s="150"/>
      <c r="AI30" s="150"/>
      <c r="AJ30" s="150"/>
      <c r="AK30" s="151"/>
      <c r="AL30" s="150"/>
      <c r="AM30" s="152">
        <v>4</v>
      </c>
      <c r="AN30" s="150">
        <f t="shared" si="4"/>
        <v>14</v>
      </c>
      <c r="AO30" s="153">
        <f t="shared" si="1"/>
        <v>23</v>
      </c>
      <c r="AP30" s="167">
        <v>30</v>
      </c>
      <c r="AQ30" s="167" t="s">
        <v>21</v>
      </c>
      <c r="AR30" s="161">
        <v>46253</v>
      </c>
      <c r="AS30" s="153">
        <v>1</v>
      </c>
      <c r="AT30" s="161"/>
      <c r="AU30" s="153"/>
      <c r="AV30" s="161"/>
      <c r="AW30" s="161"/>
      <c r="AX30" s="153">
        <f t="shared" si="5"/>
        <v>0</v>
      </c>
      <c r="AY30" s="153">
        <f t="shared" si="6"/>
        <v>0</v>
      </c>
      <c r="AZ30" s="153">
        <f t="shared" si="2"/>
        <v>0</v>
      </c>
      <c r="BA30" s="153">
        <f t="shared" si="3"/>
        <v>23</v>
      </c>
      <c r="BB30" s="160"/>
      <c r="BC30" s="30"/>
      <c r="BD30" s="30"/>
      <c r="BE30" s="30"/>
      <c r="BF30" s="30"/>
    </row>
    <row r="31" spans="1:58" ht="22.5" customHeight="1">
      <c r="A31" s="233">
        <f t="shared" si="7"/>
        <v>8</v>
      </c>
      <c r="B31" s="234"/>
      <c r="C31" s="133" t="s">
        <v>127</v>
      </c>
      <c r="D31" s="148">
        <v>30</v>
      </c>
      <c r="E31" s="148">
        <v>12</v>
      </c>
      <c r="F31" s="148">
        <v>21</v>
      </c>
      <c r="G31" s="149">
        <f>Juli2026!AO32</f>
        <v>22</v>
      </c>
      <c r="H31" s="150" cm="1">
        <f t="array" ref="H31">IFERROR(INDEX(PQ_Aug!$B$2:$AF$1079,MATCH($C31,PQ_Aug!$A$2:$A$1079,0),MATCH(H$3&amp;"",PQ_Aug!$B$1:$AF$1&amp;"",0)),0)</f>
        <v>1</v>
      </c>
      <c r="I31" s="151"/>
      <c r="J31" s="150" cm="1">
        <f t="array" ref="J31">IFERROR(INDEX(PQ_Aug!$B$2:$AF$1079,MATCH($C31,PQ_Aug!$A$2:$A$1079,0),MATCH(J$3&amp;"",PQ_Aug!$B$1:$AF$1&amp;"",0)),0)</f>
        <v>0</v>
      </c>
      <c r="K31" s="150" cm="1">
        <f t="array" ref="K31">IFERROR(INDEX(PQ_Aug!$B$2:$AF$1079,MATCH($C31,PQ_Aug!$A$2:$A$1079,0),MATCH(K$3&amp;"",PQ_Aug!$B$1:$AF$1&amp;"",0)),0)</f>
        <v>0</v>
      </c>
      <c r="L31" s="150" cm="1">
        <f t="array" ref="L31">IFERROR(INDEX(PQ_Aug!$B$2:$AF$1079,MATCH($C31,PQ_Aug!$A$2:$A$1079,0),MATCH(L$3&amp;"",PQ_Aug!$B$1:$AF$1&amp;"",0)),0)</f>
        <v>0</v>
      </c>
      <c r="M31" s="150" cm="1">
        <f t="array" ref="M31">IFERROR(INDEX(PQ_Aug!$B$2:$AF$1079,MATCH($C31,PQ_Aug!$A$2:$A$1079,0),MATCH(M$3&amp;"",PQ_Aug!$B$1:$AF$1&amp;"",0)),0)</f>
        <v>0</v>
      </c>
      <c r="N31" s="150" cm="1">
        <f t="array" ref="N31">IFERROR(INDEX(PQ_Aug!$B$2:$AF$1079,MATCH($C31,PQ_Aug!$A$2:$A$1079,0),MATCH(N$3&amp;"",PQ_Aug!$B$1:$AF$1&amp;"",0)),0)</f>
        <v>0</v>
      </c>
      <c r="O31" s="150" cm="1">
        <f t="array" ref="O31">IFERROR(INDEX(PQ_Aug!$B$2:$AF$1079,MATCH($C31,PQ_Aug!$A$2:$A$1079,0),MATCH(O$3&amp;"",PQ_Aug!$B$1:$AF$1&amp;"",0)),0)</f>
        <v>1</v>
      </c>
      <c r="P31" s="151"/>
      <c r="Q31" s="150" cm="1">
        <f t="array" ref="Q31">IFERROR(INDEX(PQ_Aug!$B$2:$AF$1079,MATCH($C31,PQ_Aug!$A$2:$A$1079,0),MATCH(Q$3&amp;"",PQ_Aug!$B$1:$AF$1&amp;"",0)),0)</f>
        <v>1</v>
      </c>
      <c r="R31" s="150" cm="1">
        <f t="array" ref="R31">IFERROR(INDEX(PQ_Aug!$B$2:$AF$1079,MATCH($C31,PQ_Aug!$A$2:$A$1079,0),MATCH(R$3&amp;"",PQ_Aug!$B$1:$AF$1&amp;"",0)),0)</f>
        <v>0</v>
      </c>
      <c r="S31" s="150" cm="1">
        <f t="array" ref="S31">IFERROR(INDEX(PQ_Aug!$B$2:$AF$1079,MATCH($C31,PQ_Aug!$A$2:$A$1079,0),MATCH(S$3&amp;"",PQ_Aug!$B$1:$AF$1&amp;"",0)),0)</f>
        <v>1</v>
      </c>
      <c r="T31" s="150" cm="1">
        <f t="array" ref="T31">IFERROR(INDEX(PQ_Aug!$B$2:$AF$1079,MATCH($C31,PQ_Aug!$A$2:$A$1079,0),MATCH(T$3&amp;"",PQ_Aug!$B$1:$AF$1&amp;"",0)),0)</f>
        <v>0</v>
      </c>
      <c r="U31" s="150" cm="1">
        <f t="array" ref="U31">IFERROR(INDEX(PQ_Aug!$B$2:$AF$1079,MATCH($C31,PQ_Aug!$A$2:$A$1079,0),MATCH(U$3&amp;"",PQ_Aug!$B$1:$AF$1&amp;"",0)),0)</f>
        <v>0</v>
      </c>
      <c r="V31" s="150" cm="1">
        <f t="array" ref="V31">IFERROR(INDEX(PQ_Aug!$B$2:$AF$1079,MATCH($C31,PQ_Aug!$A$2:$A$1079,0),MATCH(V$3&amp;"",PQ_Aug!$B$1:$AF$1&amp;"",0)),0)</f>
        <v>0</v>
      </c>
      <c r="W31" s="151"/>
      <c r="X31" s="151"/>
      <c r="Y31" s="150" cm="1">
        <f t="array" ref="Y31">IFERROR(INDEX(PQ_Aug!$B$2:$AF$1079,MATCH($C31,PQ_Aug!$A$2:$A$1079,0),MATCH(Y$3&amp;"",PQ_Aug!$B$1:$AF$1&amp;"",0)),0)</f>
        <v>1</v>
      </c>
      <c r="Z31" s="150" cm="1">
        <f t="array" ref="Z31">IFERROR(INDEX(PQ_Aug!$B$2:$AF$1079,MATCH($C31,PQ_Aug!$A$2:$A$1079,0),MATCH(Z$3&amp;"",PQ_Aug!$B$1:$AF$1&amp;"",0)),0)</f>
        <v>0</v>
      </c>
      <c r="AA31" s="150" cm="1">
        <f t="array" ref="AA31">IFERROR(INDEX(PQ_Aug!$B$2:$AF$1079,MATCH($C31,PQ_Aug!$A$2:$A$1079,0),MATCH(AA$3&amp;"",PQ_Aug!$B$1:$AF$1&amp;"",0)),0)</f>
        <v>1</v>
      </c>
      <c r="AB31" s="150" cm="1">
        <f t="array" ref="AB31">IFERROR(INDEX(PQ_Aug!$B$2:$AF$1079,MATCH($C31,PQ_Aug!$A$2:$A$1079,0),MATCH(AB$3&amp;"",PQ_Aug!$B$1:$AF$1&amp;"",0)),0)</f>
        <v>1</v>
      </c>
      <c r="AC31" s="150" cm="1">
        <f t="array" ref="AC31">IFERROR(INDEX(PQ_Aug!$B$2:$AF$1079,MATCH($C31,PQ_Aug!$A$2:$A$1079,0),MATCH(AC$3&amp;"",PQ_Aug!$B$1:$AF$1&amp;"",0)),0)</f>
        <v>0</v>
      </c>
      <c r="AD31" s="151"/>
      <c r="AE31" s="150" cm="1">
        <f t="array" ref="AE31">IFERROR(INDEX(PQ_Aug!$B$2:$AF$1079,MATCH($C31,PQ_Aug!$A$2:$A$1079,0),MATCH(AE$3&amp;"",PQ_Aug!$B$1:$AF$1&amp;"",0)),0)</f>
        <v>3</v>
      </c>
      <c r="AF31" s="151"/>
      <c r="AG31" s="150"/>
      <c r="AH31" s="150"/>
      <c r="AI31" s="150"/>
      <c r="AJ31" s="150"/>
      <c r="AK31" s="151"/>
      <c r="AL31" s="150"/>
      <c r="AM31" s="152">
        <v>4</v>
      </c>
      <c r="AN31" s="150">
        <f t="shared" si="4"/>
        <v>14</v>
      </c>
      <c r="AO31" s="153">
        <f t="shared" si="1"/>
        <v>8</v>
      </c>
      <c r="AP31" s="167">
        <v>20</v>
      </c>
      <c r="AQ31" s="167" t="s">
        <v>21</v>
      </c>
      <c r="AR31" s="161">
        <v>46253</v>
      </c>
      <c r="AS31" s="153">
        <v>1</v>
      </c>
      <c r="AT31" s="168"/>
      <c r="AU31" s="169"/>
      <c r="AV31" s="170"/>
      <c r="AW31" s="161"/>
      <c r="AX31" s="153">
        <f t="shared" si="5"/>
        <v>0</v>
      </c>
      <c r="AY31" s="153">
        <f t="shared" si="6"/>
        <v>0</v>
      </c>
      <c r="AZ31" s="153">
        <f t="shared" si="2"/>
        <v>0</v>
      </c>
      <c r="BA31" s="153">
        <f t="shared" si="3"/>
        <v>8</v>
      </c>
      <c r="BB31" s="160"/>
      <c r="BC31" s="30"/>
      <c r="BD31" s="30"/>
      <c r="BE31" s="30"/>
      <c r="BF31" s="30"/>
    </row>
    <row r="32" spans="1:58" ht="22.5" customHeight="1">
      <c r="A32" s="242">
        <f t="shared" si="7"/>
        <v>12</v>
      </c>
      <c r="B32" s="243"/>
      <c r="C32" s="133" t="s">
        <v>128</v>
      </c>
      <c r="D32" s="148">
        <v>30</v>
      </c>
      <c r="E32" s="148">
        <v>12</v>
      </c>
      <c r="F32" s="148">
        <v>14</v>
      </c>
      <c r="G32" s="149">
        <f>Juli2026!AO33</f>
        <v>31</v>
      </c>
      <c r="H32" s="150" cm="1">
        <f t="array" ref="H32">IFERROR(INDEX(PQ_Aug!$B$2:$AF$1079,MATCH($C32,PQ_Aug!$A$2:$A$1079,0),MATCH(H$3&amp;"",PQ_Aug!$B$1:$AF$1&amp;"",0)),0)</f>
        <v>0</v>
      </c>
      <c r="I32" s="151"/>
      <c r="J32" s="150" cm="1">
        <f t="array" ref="J32">IFERROR(INDEX(PQ_Aug!$B$2:$AF$1079,MATCH($C32,PQ_Aug!$A$2:$A$1079,0),MATCH(J$3&amp;"",PQ_Aug!$B$1:$AF$1&amp;"",0)),0)</f>
        <v>0</v>
      </c>
      <c r="K32" s="150" cm="1">
        <f t="array" ref="K32">IFERROR(INDEX(PQ_Aug!$B$2:$AF$1079,MATCH($C32,PQ_Aug!$A$2:$A$1079,0),MATCH(K$3&amp;"",PQ_Aug!$B$1:$AF$1&amp;"",0)),0)</f>
        <v>1</v>
      </c>
      <c r="L32" s="150" cm="1">
        <f t="array" ref="L32">IFERROR(INDEX(PQ_Aug!$B$2:$AF$1079,MATCH($C32,PQ_Aug!$A$2:$A$1079,0),MATCH(L$3&amp;"",PQ_Aug!$B$1:$AF$1&amp;"",0)),0)</f>
        <v>0</v>
      </c>
      <c r="M32" s="150" cm="1">
        <f t="array" ref="M32">IFERROR(INDEX(PQ_Aug!$B$2:$AF$1079,MATCH($C32,PQ_Aug!$A$2:$A$1079,0),MATCH(M$3&amp;"",PQ_Aug!$B$1:$AF$1&amp;"",0)),0)</f>
        <v>1</v>
      </c>
      <c r="N32" s="150" cm="1">
        <f t="array" ref="N32">IFERROR(INDEX(PQ_Aug!$B$2:$AF$1079,MATCH($C32,PQ_Aug!$A$2:$A$1079,0),MATCH(N$3&amp;"",PQ_Aug!$B$1:$AF$1&amp;"",0)),0)</f>
        <v>1</v>
      </c>
      <c r="O32" s="150" cm="1">
        <f t="array" ref="O32">IFERROR(INDEX(PQ_Aug!$B$2:$AF$1079,MATCH($C32,PQ_Aug!$A$2:$A$1079,0),MATCH(O$3&amp;"",PQ_Aug!$B$1:$AF$1&amp;"",0)),0)</f>
        <v>0</v>
      </c>
      <c r="P32" s="151"/>
      <c r="Q32" s="150" cm="1">
        <f t="array" ref="Q32">IFERROR(INDEX(PQ_Aug!$B$2:$AF$1079,MATCH($C32,PQ_Aug!$A$2:$A$1079,0),MATCH(Q$3&amp;"",PQ_Aug!$B$1:$AF$1&amp;"",0)),0)</f>
        <v>0</v>
      </c>
      <c r="R32" s="150" cm="1">
        <f t="array" ref="R32">IFERROR(INDEX(PQ_Aug!$B$2:$AF$1079,MATCH($C32,PQ_Aug!$A$2:$A$1079,0),MATCH(R$3&amp;"",PQ_Aug!$B$1:$AF$1&amp;"",0)),0)</f>
        <v>1</v>
      </c>
      <c r="S32" s="150" cm="1">
        <f t="array" ref="S32">IFERROR(INDEX(PQ_Aug!$B$2:$AF$1079,MATCH($C32,PQ_Aug!$A$2:$A$1079,0),MATCH(S$3&amp;"",PQ_Aug!$B$1:$AF$1&amp;"",0)),0)</f>
        <v>1</v>
      </c>
      <c r="T32" s="150" cm="1">
        <f t="array" ref="T32">IFERROR(INDEX(PQ_Aug!$B$2:$AF$1079,MATCH($C32,PQ_Aug!$A$2:$A$1079,0),MATCH(T$3&amp;"",PQ_Aug!$B$1:$AF$1&amp;"",0)),0)</f>
        <v>0</v>
      </c>
      <c r="U32" s="150" cm="1">
        <f t="array" ref="U32">IFERROR(INDEX(PQ_Aug!$B$2:$AF$1079,MATCH($C32,PQ_Aug!$A$2:$A$1079,0),MATCH(U$3&amp;"",PQ_Aug!$B$1:$AF$1&amp;"",0)),0)</f>
        <v>1</v>
      </c>
      <c r="V32" s="150" cm="1">
        <f t="array" ref="V32">IFERROR(INDEX(PQ_Aug!$B$2:$AF$1079,MATCH($C32,PQ_Aug!$A$2:$A$1079,0),MATCH(V$3&amp;"",PQ_Aug!$B$1:$AF$1&amp;"",0)),0)</f>
        <v>0</v>
      </c>
      <c r="W32" s="151"/>
      <c r="X32" s="151"/>
      <c r="Y32" s="150" cm="1">
        <f t="array" ref="Y32">IFERROR(INDEX(PQ_Aug!$B$2:$AF$1079,MATCH($C32,PQ_Aug!$A$2:$A$1079,0),MATCH(Y$3&amp;"",PQ_Aug!$B$1:$AF$1&amp;"",0)),0)</f>
        <v>3</v>
      </c>
      <c r="Z32" s="150" cm="1">
        <f t="array" ref="Z32">IFERROR(INDEX(PQ_Aug!$B$2:$AF$1079,MATCH($C32,PQ_Aug!$A$2:$A$1079,0),MATCH(Z$3&amp;"",PQ_Aug!$B$1:$AF$1&amp;"",0)),0)</f>
        <v>1</v>
      </c>
      <c r="AA32" s="150" cm="1">
        <f t="array" ref="AA32">IFERROR(INDEX(PQ_Aug!$B$2:$AF$1079,MATCH($C32,PQ_Aug!$A$2:$A$1079,0),MATCH(AA$3&amp;"",PQ_Aug!$B$1:$AF$1&amp;"",0)),0)</f>
        <v>1</v>
      </c>
      <c r="AB32" s="150" cm="1">
        <f t="array" ref="AB32">IFERROR(INDEX(PQ_Aug!$B$2:$AF$1079,MATCH($C32,PQ_Aug!$A$2:$A$1079,0),MATCH(AB$3&amp;"",PQ_Aug!$B$1:$AF$1&amp;"",0)),0)</f>
        <v>0</v>
      </c>
      <c r="AC32" s="150" cm="1">
        <f t="array" ref="AC32">IFERROR(INDEX(PQ_Aug!$B$2:$AF$1079,MATCH($C32,PQ_Aug!$A$2:$A$1079,0),MATCH(AC$3&amp;"",PQ_Aug!$B$1:$AF$1&amp;"",0)),0)</f>
        <v>0</v>
      </c>
      <c r="AD32" s="151"/>
      <c r="AE32" s="150" cm="1">
        <f t="array" ref="AE32">IFERROR(INDEX(PQ_Aug!$B$2:$AF$1079,MATCH($C32,PQ_Aug!$A$2:$A$1079,0),MATCH(AE$3&amp;"",PQ_Aug!$B$1:$AF$1&amp;"",0)),0)</f>
        <v>0</v>
      </c>
      <c r="AF32" s="151"/>
      <c r="AG32" s="150"/>
      <c r="AH32" s="150"/>
      <c r="AI32" s="150"/>
      <c r="AJ32" s="150"/>
      <c r="AK32" s="151"/>
      <c r="AL32" s="150"/>
      <c r="AM32" s="152">
        <v>8</v>
      </c>
      <c r="AN32" s="150">
        <f t="shared" si="4"/>
        <v>19</v>
      </c>
      <c r="AO32" s="153">
        <f t="shared" si="1"/>
        <v>12</v>
      </c>
      <c r="AP32" s="167">
        <v>20</v>
      </c>
      <c r="AQ32" s="171" t="s">
        <v>21</v>
      </c>
      <c r="AR32" s="161">
        <v>46253</v>
      </c>
      <c r="AS32" s="153">
        <v>1</v>
      </c>
      <c r="AT32" s="172"/>
      <c r="AU32" s="173"/>
      <c r="AV32" s="172"/>
      <c r="AW32" s="174"/>
      <c r="AX32" s="153">
        <f t="shared" si="5"/>
        <v>0</v>
      </c>
      <c r="AY32" s="153">
        <f t="shared" si="6"/>
        <v>0</v>
      </c>
      <c r="AZ32" s="153">
        <f t="shared" si="2"/>
        <v>0</v>
      </c>
      <c r="BA32" s="153">
        <f t="shared" si="3"/>
        <v>12</v>
      </c>
      <c r="BB32" s="160"/>
      <c r="BC32" s="30"/>
      <c r="BD32" s="30"/>
      <c r="BE32" s="30"/>
      <c r="BF32" s="30"/>
    </row>
    <row r="33" spans="1:58" ht="22.5" customHeight="1">
      <c r="A33" s="233" t="e">
        <f t="shared" si="7"/>
        <v>#REF!</v>
      </c>
      <c r="B33" s="234"/>
      <c r="C33" s="133" t="s">
        <v>95</v>
      </c>
      <c r="D33" s="148">
        <v>30</v>
      </c>
      <c r="E33" s="148">
        <v>3</v>
      </c>
      <c r="F33" s="148">
        <v>1</v>
      </c>
      <c r="G33" s="149" t="e">
        <f>Juli2026!AO34</f>
        <v>#REF!</v>
      </c>
      <c r="H33" s="150" cm="1">
        <f t="array" ref="H33">IFERROR(INDEX(PQ_Aug!$B$2:$AF$1079,MATCH($C33,PQ_Aug!$A$2:$A$1079,0),MATCH(H$3&amp;"",PQ_Aug!$B$1:$AF$1&amp;"",0)),0)</f>
        <v>0</v>
      </c>
      <c r="I33" s="151"/>
      <c r="J33" s="150" cm="1">
        <f t="array" ref="J33">IFERROR(INDEX(PQ_Aug!$B$2:$AF$1079,MATCH($C33,PQ_Aug!$A$2:$A$1079,0),MATCH(J$3&amp;"",PQ_Aug!$B$1:$AF$1&amp;"",0)),0)</f>
        <v>0</v>
      </c>
      <c r="K33" s="150" cm="1">
        <f t="array" ref="K33">IFERROR(INDEX(PQ_Aug!$B$2:$AF$1079,MATCH($C33,PQ_Aug!$A$2:$A$1079,0),MATCH(K$3&amp;"",PQ_Aug!$B$1:$AF$1&amp;"",0)),0)</f>
        <v>0</v>
      </c>
      <c r="L33" s="150" cm="1">
        <f t="array" ref="L33">IFERROR(INDEX(PQ_Aug!$B$2:$AF$1079,MATCH($C33,PQ_Aug!$A$2:$A$1079,0),MATCH(L$3&amp;"",PQ_Aug!$B$1:$AF$1&amp;"",0)),0)</f>
        <v>0</v>
      </c>
      <c r="M33" s="150" cm="1">
        <f t="array" ref="M33">IFERROR(INDEX(PQ_Aug!$B$2:$AF$1079,MATCH($C33,PQ_Aug!$A$2:$A$1079,0),MATCH(M$3&amp;"",PQ_Aug!$B$1:$AF$1&amp;"",0)),0)</f>
        <v>0</v>
      </c>
      <c r="N33" s="150" cm="1">
        <f t="array" ref="N33">IFERROR(INDEX(PQ_Aug!$B$2:$AF$1079,MATCH($C33,PQ_Aug!$A$2:$A$1079,0),MATCH(N$3&amp;"",PQ_Aug!$B$1:$AF$1&amp;"",0)),0)</f>
        <v>0</v>
      </c>
      <c r="O33" s="150" cm="1">
        <f t="array" ref="O33">IFERROR(INDEX(PQ_Aug!$B$2:$AF$1079,MATCH($C33,PQ_Aug!$A$2:$A$1079,0),MATCH(O$3&amp;"",PQ_Aug!$B$1:$AF$1&amp;"",0)),0)</f>
        <v>0</v>
      </c>
      <c r="P33" s="151"/>
      <c r="Q33" s="150" cm="1">
        <f t="array" ref="Q33">IFERROR(INDEX(PQ_Aug!$B$2:$AF$1079,MATCH($C33,PQ_Aug!$A$2:$A$1079,0),MATCH(Q$3&amp;"",PQ_Aug!$B$1:$AF$1&amp;"",0)),0)</f>
        <v>0</v>
      </c>
      <c r="R33" s="150" cm="1">
        <f t="array" ref="R33">IFERROR(INDEX(PQ_Aug!$B$2:$AF$1079,MATCH($C33,PQ_Aug!$A$2:$A$1079,0),MATCH(R$3&amp;"",PQ_Aug!$B$1:$AF$1&amp;"",0)),0)</f>
        <v>0</v>
      </c>
      <c r="S33" s="150" cm="1">
        <f t="array" ref="S33">IFERROR(INDEX(PQ_Aug!$B$2:$AF$1079,MATCH($C33,PQ_Aug!$A$2:$A$1079,0),MATCH(S$3&amp;"",PQ_Aug!$B$1:$AF$1&amp;"",0)),0)</f>
        <v>0</v>
      </c>
      <c r="T33" s="150" cm="1">
        <f t="array" ref="T33">IFERROR(INDEX(PQ_Aug!$B$2:$AF$1079,MATCH($C33,PQ_Aug!$A$2:$A$1079,0),MATCH(T$3&amp;"",PQ_Aug!$B$1:$AF$1&amp;"",0)),0)</f>
        <v>0</v>
      </c>
      <c r="U33" s="150" cm="1">
        <f t="array" ref="U33">IFERROR(INDEX(PQ_Aug!$B$2:$AF$1079,MATCH($C33,PQ_Aug!$A$2:$A$1079,0),MATCH(U$3&amp;"",PQ_Aug!$B$1:$AF$1&amp;"",0)),0)</f>
        <v>0</v>
      </c>
      <c r="V33" s="150" cm="1">
        <f t="array" ref="V33">IFERROR(INDEX(PQ_Aug!$B$2:$AF$1079,MATCH($C33,PQ_Aug!$A$2:$A$1079,0),MATCH(V$3&amp;"",PQ_Aug!$B$1:$AF$1&amp;"",0)),0)</f>
        <v>0</v>
      </c>
      <c r="W33" s="151"/>
      <c r="X33" s="151"/>
      <c r="Y33" s="150" cm="1">
        <f t="array" ref="Y33">IFERROR(INDEX(PQ_Aug!$B$2:$AF$1079,MATCH($C33,PQ_Aug!$A$2:$A$1079,0),MATCH(Y$3&amp;"",PQ_Aug!$B$1:$AF$1&amp;"",0)),0)</f>
        <v>0</v>
      </c>
      <c r="Z33" s="150" cm="1">
        <f t="array" ref="Z33">IFERROR(INDEX(PQ_Aug!$B$2:$AF$1079,MATCH($C33,PQ_Aug!$A$2:$A$1079,0),MATCH(Z$3&amp;"",PQ_Aug!$B$1:$AF$1&amp;"",0)),0)</f>
        <v>0</v>
      </c>
      <c r="AA33" s="150" cm="1">
        <f t="array" ref="AA33">IFERROR(INDEX(PQ_Aug!$B$2:$AF$1079,MATCH($C33,PQ_Aug!$A$2:$A$1079,0),MATCH(AA$3&amp;"",PQ_Aug!$B$1:$AF$1&amp;"",0)),0)</f>
        <v>0</v>
      </c>
      <c r="AB33" s="150" cm="1">
        <f t="array" ref="AB33">IFERROR(INDEX(PQ_Aug!$B$2:$AF$1079,MATCH($C33,PQ_Aug!$A$2:$A$1079,0),MATCH(AB$3&amp;"",PQ_Aug!$B$1:$AF$1&amp;"",0)),0)</f>
        <v>0</v>
      </c>
      <c r="AC33" s="150" cm="1">
        <f t="array" ref="AC33">IFERROR(INDEX(PQ_Aug!$B$2:$AF$1079,MATCH($C33,PQ_Aug!$A$2:$A$1079,0),MATCH(AC$3&amp;"",PQ_Aug!$B$1:$AF$1&amp;"",0)),0)</f>
        <v>0</v>
      </c>
      <c r="AD33" s="151"/>
      <c r="AE33" s="150" cm="1">
        <f t="array" ref="AE33">IFERROR(INDEX(PQ_Aug!$B$2:$AF$1079,MATCH($C33,PQ_Aug!$A$2:$A$1079,0),MATCH(AE$3&amp;"",PQ_Aug!$B$1:$AF$1&amp;"",0)),0)</f>
        <v>0</v>
      </c>
      <c r="AF33" s="151"/>
      <c r="AG33" s="150"/>
      <c r="AH33" s="150"/>
      <c r="AI33" s="150"/>
      <c r="AJ33" s="150"/>
      <c r="AK33" s="151"/>
      <c r="AL33" s="150"/>
      <c r="AM33" s="152"/>
      <c r="AN33" s="150">
        <f t="shared" si="4"/>
        <v>0</v>
      </c>
      <c r="AO33" s="153" t="e">
        <f t="shared" si="1"/>
        <v>#REF!</v>
      </c>
      <c r="AP33" s="167">
        <v>10</v>
      </c>
      <c r="AQ33" s="171" t="s">
        <v>21</v>
      </c>
      <c r="AR33" s="175"/>
      <c r="AS33" s="176"/>
      <c r="AT33" s="172"/>
      <c r="AU33" s="173"/>
      <c r="AV33" s="172"/>
      <c r="AW33" s="174"/>
      <c r="AX33" s="153">
        <f t="shared" si="5"/>
        <v>0</v>
      </c>
      <c r="AY33" s="153">
        <f t="shared" si="6"/>
        <v>0</v>
      </c>
      <c r="AZ33" s="153">
        <f t="shared" si="2"/>
        <v>0</v>
      </c>
      <c r="BA33" s="153" t="e">
        <f t="shared" si="3"/>
        <v>#REF!</v>
      </c>
      <c r="BB33" s="160"/>
      <c r="BC33" s="30"/>
      <c r="BD33" s="30"/>
      <c r="BE33" s="30"/>
      <c r="BF33" s="30"/>
    </row>
    <row r="34" spans="1:58" ht="22.5" customHeight="1">
      <c r="A34" s="233">
        <f t="shared" si="7"/>
        <v>12</v>
      </c>
      <c r="B34" s="234"/>
      <c r="C34" s="133" t="s">
        <v>129</v>
      </c>
      <c r="D34" s="148">
        <v>60</v>
      </c>
      <c r="E34" s="148">
        <v>0</v>
      </c>
      <c r="F34" s="148">
        <v>29</v>
      </c>
      <c r="G34" s="149">
        <f>Juli2026!AO35</f>
        <v>66</v>
      </c>
      <c r="H34" s="150" cm="1">
        <f t="array" ref="H34">IFERROR(INDEX(PQ_Aug!$B$2:$AF$1079,MATCH($C34,PQ_Aug!$A$2:$A$1079,0),MATCH(H$3&amp;"",PQ_Aug!$B$1:$AF$1&amp;"",0)),0)</f>
        <v>1</v>
      </c>
      <c r="I34" s="151"/>
      <c r="J34" s="150" cm="1">
        <f t="array" ref="J34">IFERROR(INDEX(PQ_Aug!$B$2:$AF$1079,MATCH($C34,PQ_Aug!$A$2:$A$1079,0),MATCH(J$3&amp;"",PQ_Aug!$B$1:$AF$1&amp;"",0)),0)</f>
        <v>3</v>
      </c>
      <c r="K34" s="150" cm="1">
        <f t="array" ref="K34">IFERROR(INDEX(PQ_Aug!$B$2:$AF$1079,MATCH($C34,PQ_Aug!$A$2:$A$1079,0),MATCH(K$3&amp;"",PQ_Aug!$B$1:$AF$1&amp;"",0)),0)</f>
        <v>0</v>
      </c>
      <c r="L34" s="150" cm="1">
        <f t="array" ref="L34">IFERROR(INDEX(PQ_Aug!$B$2:$AF$1079,MATCH($C34,PQ_Aug!$A$2:$A$1079,0),MATCH(L$3&amp;"",PQ_Aug!$B$1:$AF$1&amp;"",0)),0)</f>
        <v>3</v>
      </c>
      <c r="M34" s="150" cm="1">
        <f t="array" ref="M34">IFERROR(INDEX(PQ_Aug!$B$2:$AF$1079,MATCH($C34,PQ_Aug!$A$2:$A$1079,0),MATCH(M$3&amp;"",PQ_Aug!$B$1:$AF$1&amp;"",0)),0)</f>
        <v>2</v>
      </c>
      <c r="N34" s="150" cm="1">
        <f t="array" ref="N34">IFERROR(INDEX(PQ_Aug!$B$2:$AF$1079,MATCH($C34,PQ_Aug!$A$2:$A$1079,0),MATCH(N$3&amp;"",PQ_Aug!$B$1:$AF$1&amp;"",0)),0)</f>
        <v>1</v>
      </c>
      <c r="O34" s="150" cm="1">
        <f t="array" ref="O34">IFERROR(INDEX(PQ_Aug!$B$2:$AF$1079,MATCH($C34,PQ_Aug!$A$2:$A$1079,0),MATCH(O$3&amp;"",PQ_Aug!$B$1:$AF$1&amp;"",0)),0)</f>
        <v>1</v>
      </c>
      <c r="P34" s="151"/>
      <c r="Q34" s="150" cm="1">
        <f t="array" ref="Q34">IFERROR(INDEX(PQ_Aug!$B$2:$AF$1079,MATCH($C34,PQ_Aug!$A$2:$A$1079,0),MATCH(Q$3&amp;"",PQ_Aug!$B$1:$AF$1&amp;"",0)),0)</f>
        <v>3</v>
      </c>
      <c r="R34" s="150" cm="1">
        <f t="array" ref="R34">IFERROR(INDEX(PQ_Aug!$B$2:$AF$1079,MATCH($C34,PQ_Aug!$A$2:$A$1079,0),MATCH(R$3&amp;"",PQ_Aug!$B$1:$AF$1&amp;"",0)),0)</f>
        <v>1</v>
      </c>
      <c r="S34" s="150" cm="1">
        <f t="array" ref="S34">IFERROR(INDEX(PQ_Aug!$B$2:$AF$1079,MATCH($C34,PQ_Aug!$A$2:$A$1079,0),MATCH(S$3&amp;"",PQ_Aug!$B$1:$AF$1&amp;"",0)),0)</f>
        <v>4</v>
      </c>
      <c r="T34" s="150" cm="1">
        <f t="array" ref="T34">IFERROR(INDEX(PQ_Aug!$B$2:$AF$1079,MATCH($C34,PQ_Aug!$A$2:$A$1079,0),MATCH(T$3&amp;"",PQ_Aug!$B$1:$AF$1&amp;"",0)),0)</f>
        <v>1</v>
      </c>
      <c r="U34" s="150" cm="1">
        <f t="array" ref="U34">IFERROR(INDEX(PQ_Aug!$B$2:$AF$1079,MATCH($C34,PQ_Aug!$A$2:$A$1079,0),MATCH(U$3&amp;"",PQ_Aug!$B$1:$AF$1&amp;"",0)),0)</f>
        <v>2</v>
      </c>
      <c r="V34" s="150" cm="1">
        <f t="array" ref="V34">IFERROR(INDEX(PQ_Aug!$B$2:$AF$1079,MATCH($C34,PQ_Aug!$A$2:$A$1079,0),MATCH(V$3&amp;"",PQ_Aug!$B$1:$AF$1&amp;"",0)),0)</f>
        <v>1</v>
      </c>
      <c r="W34" s="151"/>
      <c r="X34" s="151"/>
      <c r="Y34" s="150" cm="1">
        <f t="array" ref="Y34">IFERROR(INDEX(PQ_Aug!$B$2:$AF$1079,MATCH($C34,PQ_Aug!$A$2:$A$1079,0),MATCH(Y$3&amp;"",PQ_Aug!$B$1:$AF$1&amp;"",0)),0)</f>
        <v>5</v>
      </c>
      <c r="Z34" s="150" cm="1">
        <f t="array" ref="Z34">IFERROR(INDEX(PQ_Aug!$B$2:$AF$1079,MATCH($C34,PQ_Aug!$A$2:$A$1079,0),MATCH(Z$3&amp;"",PQ_Aug!$B$1:$AF$1&amp;"",0)),0)</f>
        <v>3</v>
      </c>
      <c r="AA34" s="150" cm="1">
        <f t="array" ref="AA34">IFERROR(INDEX(PQ_Aug!$B$2:$AF$1079,MATCH($C34,PQ_Aug!$A$2:$A$1079,0),MATCH(AA$3&amp;"",PQ_Aug!$B$1:$AF$1&amp;"",0)),0)</f>
        <v>3</v>
      </c>
      <c r="AB34" s="150" cm="1">
        <f t="array" ref="AB34">IFERROR(INDEX(PQ_Aug!$B$2:$AF$1079,MATCH($C34,PQ_Aug!$A$2:$A$1079,0),MATCH(AB$3&amp;"",PQ_Aug!$B$1:$AF$1&amp;"",0)),0)</f>
        <v>1</v>
      </c>
      <c r="AC34" s="150" cm="1">
        <f t="array" ref="AC34">IFERROR(INDEX(PQ_Aug!$B$2:$AF$1079,MATCH($C34,PQ_Aug!$A$2:$A$1079,0),MATCH(AC$3&amp;"",PQ_Aug!$B$1:$AF$1&amp;"",0)),0)</f>
        <v>1</v>
      </c>
      <c r="AD34" s="151"/>
      <c r="AE34" s="150" cm="1">
        <f t="array" ref="AE34">IFERROR(INDEX(PQ_Aug!$B$2:$AF$1079,MATCH($C34,PQ_Aug!$A$2:$A$1079,0),MATCH(AE$3&amp;"",PQ_Aug!$B$1:$AF$1&amp;"",0)),0)</f>
        <v>6</v>
      </c>
      <c r="AF34" s="151"/>
      <c r="AG34" s="150"/>
      <c r="AH34" s="150"/>
      <c r="AI34" s="150"/>
      <c r="AJ34" s="150"/>
      <c r="AK34" s="151"/>
      <c r="AL34" s="150"/>
      <c r="AM34" s="152">
        <v>12</v>
      </c>
      <c r="AN34" s="150">
        <f t="shared" si="4"/>
        <v>54</v>
      </c>
      <c r="AO34" s="153">
        <f t="shared" si="1"/>
        <v>12</v>
      </c>
      <c r="AP34" s="167">
        <v>40</v>
      </c>
      <c r="AQ34" s="171" t="s">
        <v>21</v>
      </c>
      <c r="AR34" s="161">
        <v>46253</v>
      </c>
      <c r="AS34" s="153">
        <v>1</v>
      </c>
      <c r="AT34" s="172"/>
      <c r="AU34" s="173"/>
      <c r="AV34" s="177"/>
      <c r="AW34" s="178"/>
      <c r="AX34" s="153">
        <f t="shared" si="5"/>
        <v>0</v>
      </c>
      <c r="AY34" s="153">
        <f t="shared" si="6"/>
        <v>0</v>
      </c>
      <c r="AZ34" s="153">
        <f t="shared" si="2"/>
        <v>0</v>
      </c>
      <c r="BA34" s="153">
        <f t="shared" si="3"/>
        <v>12</v>
      </c>
      <c r="BB34" s="160"/>
      <c r="BC34" s="30"/>
      <c r="BD34" s="30"/>
      <c r="BE34" s="30"/>
      <c r="BF34" s="30"/>
    </row>
    <row r="35" spans="1:58" ht="22.5" customHeight="1">
      <c r="A35" s="242" t="e">
        <f t="shared" si="7"/>
        <v>#REF!</v>
      </c>
      <c r="B35" s="243"/>
      <c r="C35" s="133" t="s">
        <v>130</v>
      </c>
      <c r="D35" s="148">
        <v>60</v>
      </c>
      <c r="E35" s="148">
        <v>9</v>
      </c>
      <c r="F35" s="148">
        <v>12</v>
      </c>
      <c r="G35" s="149" t="e">
        <f>Juli2026!AO36</f>
        <v>#REF!</v>
      </c>
      <c r="H35" s="150" cm="1">
        <f t="array" ref="H35">IFERROR(INDEX(PQ_Aug!$B$2:$AF$1079,MATCH($C35,PQ_Aug!$A$2:$A$1079,0),MATCH(H$3&amp;"",PQ_Aug!$B$1:$AF$1&amp;"",0)),0)</f>
        <v>1</v>
      </c>
      <c r="I35" s="151"/>
      <c r="J35" s="150" cm="1">
        <f t="array" ref="J35">IFERROR(INDEX(PQ_Aug!$B$2:$AF$1079,MATCH($C35,PQ_Aug!$A$2:$A$1079,0),MATCH(J$3&amp;"",PQ_Aug!$B$1:$AF$1&amp;"",0)),0)</f>
        <v>2</v>
      </c>
      <c r="K35" s="150" cm="1">
        <f t="array" ref="K35">IFERROR(INDEX(PQ_Aug!$B$2:$AF$1079,MATCH($C35,PQ_Aug!$A$2:$A$1079,0),MATCH(K$3&amp;"",PQ_Aug!$B$1:$AF$1&amp;"",0)),0)</f>
        <v>2</v>
      </c>
      <c r="L35" s="150" cm="1">
        <f t="array" ref="L35">IFERROR(INDEX(PQ_Aug!$B$2:$AF$1079,MATCH($C35,PQ_Aug!$A$2:$A$1079,0),MATCH(L$3&amp;"",PQ_Aug!$B$1:$AF$1&amp;"",0)),0)</f>
        <v>1</v>
      </c>
      <c r="M35" s="150" cm="1">
        <f t="array" ref="M35">IFERROR(INDEX(PQ_Aug!$B$2:$AF$1079,MATCH($C35,PQ_Aug!$A$2:$A$1079,0),MATCH(M$3&amp;"",PQ_Aug!$B$1:$AF$1&amp;"",0)),0)</f>
        <v>0</v>
      </c>
      <c r="N35" s="150" cm="1">
        <f t="array" ref="N35">IFERROR(INDEX(PQ_Aug!$B$2:$AF$1079,MATCH($C35,PQ_Aug!$A$2:$A$1079,0),MATCH(N$3&amp;"",PQ_Aug!$B$1:$AF$1&amp;"",0)),0)</f>
        <v>0</v>
      </c>
      <c r="O35" s="150" cm="1">
        <f t="array" ref="O35">IFERROR(INDEX(PQ_Aug!$B$2:$AF$1079,MATCH($C35,PQ_Aug!$A$2:$A$1079,0),MATCH(O$3&amp;"",PQ_Aug!$B$1:$AF$1&amp;"",0)),0)</f>
        <v>0</v>
      </c>
      <c r="P35" s="151"/>
      <c r="Q35" s="150" cm="1">
        <f t="array" ref="Q35">IFERROR(INDEX(PQ_Aug!$B$2:$AF$1079,MATCH($C35,PQ_Aug!$A$2:$A$1079,0),MATCH(Q$3&amp;"",PQ_Aug!$B$1:$AF$1&amp;"",0)),0)</f>
        <v>0</v>
      </c>
      <c r="R35" s="150" cm="1">
        <f t="array" ref="R35">IFERROR(INDEX(PQ_Aug!$B$2:$AF$1079,MATCH($C35,PQ_Aug!$A$2:$A$1079,0),MATCH(R$3&amp;"",PQ_Aug!$B$1:$AF$1&amp;"",0)),0)</f>
        <v>0</v>
      </c>
      <c r="S35" s="150" cm="1">
        <f t="array" ref="S35">IFERROR(INDEX(PQ_Aug!$B$2:$AF$1079,MATCH($C35,PQ_Aug!$A$2:$A$1079,0),MATCH(S$3&amp;"",PQ_Aug!$B$1:$AF$1&amp;"",0)),0)</f>
        <v>2</v>
      </c>
      <c r="T35" s="150" cm="1">
        <f t="array" ref="T35">IFERROR(INDEX(PQ_Aug!$B$2:$AF$1079,MATCH($C35,PQ_Aug!$A$2:$A$1079,0),MATCH(T$3&amp;"",PQ_Aug!$B$1:$AF$1&amp;"",0)),0)</f>
        <v>0</v>
      </c>
      <c r="U35" s="150" cm="1">
        <f t="array" ref="U35">IFERROR(INDEX(PQ_Aug!$B$2:$AF$1079,MATCH($C35,PQ_Aug!$A$2:$A$1079,0),MATCH(U$3&amp;"",PQ_Aug!$B$1:$AF$1&amp;"",0)),0)</f>
        <v>0</v>
      </c>
      <c r="V35" s="150" cm="1">
        <f t="array" ref="V35">IFERROR(INDEX(PQ_Aug!$B$2:$AF$1079,MATCH($C35,PQ_Aug!$A$2:$A$1079,0),MATCH(V$3&amp;"",PQ_Aug!$B$1:$AF$1&amp;"",0)),0)</f>
        <v>1</v>
      </c>
      <c r="W35" s="151"/>
      <c r="X35" s="151"/>
      <c r="Y35" s="150" cm="1">
        <f t="array" ref="Y35">IFERROR(INDEX(PQ_Aug!$B$2:$AF$1079,MATCH($C35,PQ_Aug!$A$2:$A$1079,0),MATCH(Y$3&amp;"",PQ_Aug!$B$1:$AF$1&amp;"",0)),0)</f>
        <v>1</v>
      </c>
      <c r="Z35" s="150" cm="1">
        <f t="array" ref="Z35">IFERROR(INDEX(PQ_Aug!$B$2:$AF$1079,MATCH($C35,PQ_Aug!$A$2:$A$1079,0),MATCH(Z$3&amp;"",PQ_Aug!$B$1:$AF$1&amp;"",0)),0)</f>
        <v>0</v>
      </c>
      <c r="AA35" s="150" cm="1">
        <f t="array" ref="AA35">IFERROR(INDEX(PQ_Aug!$B$2:$AF$1079,MATCH($C35,PQ_Aug!$A$2:$A$1079,0),MATCH(AA$3&amp;"",PQ_Aug!$B$1:$AF$1&amp;"",0)),0)</f>
        <v>1</v>
      </c>
      <c r="AB35" s="150" cm="1">
        <f t="array" ref="AB35">IFERROR(INDEX(PQ_Aug!$B$2:$AF$1079,MATCH($C35,PQ_Aug!$A$2:$A$1079,0),MATCH(AB$3&amp;"",PQ_Aug!$B$1:$AF$1&amp;"",0)),0)</f>
        <v>2</v>
      </c>
      <c r="AC35" s="150" cm="1">
        <f t="array" ref="AC35">IFERROR(INDEX(PQ_Aug!$B$2:$AF$1079,MATCH($C35,PQ_Aug!$A$2:$A$1079,0),MATCH(AC$3&amp;"",PQ_Aug!$B$1:$AF$1&amp;"",0)),0)</f>
        <v>0</v>
      </c>
      <c r="AD35" s="151"/>
      <c r="AE35" s="150" cm="1">
        <f t="array" ref="AE35">IFERROR(INDEX(PQ_Aug!$B$2:$AF$1079,MATCH($C35,PQ_Aug!$A$2:$A$1079,0),MATCH(AE$3&amp;"",PQ_Aug!$B$1:$AF$1&amp;"",0)),0)</f>
        <v>0</v>
      </c>
      <c r="AF35" s="151"/>
      <c r="AG35" s="150"/>
      <c r="AH35" s="150"/>
      <c r="AI35" s="150"/>
      <c r="AJ35" s="150"/>
      <c r="AK35" s="151"/>
      <c r="AL35" s="150"/>
      <c r="AM35" s="152">
        <v>4</v>
      </c>
      <c r="AN35" s="150">
        <f t="shared" si="4"/>
        <v>17</v>
      </c>
      <c r="AO35" s="153" t="e">
        <f t="shared" si="1"/>
        <v>#REF!</v>
      </c>
      <c r="AP35" s="167">
        <v>20</v>
      </c>
      <c r="AQ35" s="171" t="s">
        <v>21</v>
      </c>
      <c r="AR35" s="172"/>
      <c r="AS35" s="173"/>
      <c r="AT35" s="172"/>
      <c r="AU35" s="173"/>
      <c r="AV35" s="172"/>
      <c r="AW35" s="174"/>
      <c r="AX35" s="153">
        <f t="shared" si="5"/>
        <v>0</v>
      </c>
      <c r="AY35" s="153">
        <f t="shared" si="6"/>
        <v>0</v>
      </c>
      <c r="AZ35" s="153">
        <f t="shared" si="2"/>
        <v>0</v>
      </c>
      <c r="BA35" s="153" t="e">
        <f t="shared" si="3"/>
        <v>#REF!</v>
      </c>
      <c r="BB35" s="160"/>
      <c r="BC35" s="30"/>
      <c r="BD35" s="30"/>
      <c r="BE35" s="30"/>
      <c r="BF35" s="30"/>
    </row>
    <row r="36" spans="1:58" ht="22.5" customHeight="1">
      <c r="A36" s="233" t="e">
        <f t="shared" si="7"/>
        <v>#REF!</v>
      </c>
      <c r="B36" s="234"/>
      <c r="C36" s="133" t="s">
        <v>82</v>
      </c>
      <c r="D36" s="148">
        <v>30</v>
      </c>
      <c r="E36" s="148">
        <v>9</v>
      </c>
      <c r="F36" s="148">
        <v>12</v>
      </c>
      <c r="G36" s="149" t="e">
        <f>Juli2026!AO37</f>
        <v>#REF!</v>
      </c>
      <c r="H36" s="150" cm="1">
        <f t="array" ref="H36">IFERROR(INDEX(PQ_Aug!$B$2:$AF$1079,MATCH($C36,PQ_Aug!$A$2:$A$1079,0),MATCH(H$3&amp;"",PQ_Aug!$B$1:$AF$1&amp;"",0)),0)</f>
        <v>2</v>
      </c>
      <c r="I36" s="151"/>
      <c r="J36" s="150" cm="1">
        <f t="array" ref="J36">IFERROR(INDEX(PQ_Aug!$B$2:$AF$1079,MATCH($C36,PQ_Aug!$A$2:$A$1079,0),MATCH(J$3&amp;"",PQ_Aug!$B$1:$AF$1&amp;"",0)),0)</f>
        <v>0</v>
      </c>
      <c r="K36" s="150" cm="1">
        <f t="array" ref="K36">IFERROR(INDEX(PQ_Aug!$B$2:$AF$1079,MATCH($C36,PQ_Aug!$A$2:$A$1079,0),MATCH(K$3&amp;"",PQ_Aug!$B$1:$AF$1&amp;"",0)),0)</f>
        <v>0</v>
      </c>
      <c r="L36" s="150" cm="1">
        <f t="array" ref="L36">IFERROR(INDEX(PQ_Aug!$B$2:$AF$1079,MATCH($C36,PQ_Aug!$A$2:$A$1079,0),MATCH(L$3&amp;"",PQ_Aug!$B$1:$AF$1&amp;"",0)),0)</f>
        <v>0</v>
      </c>
      <c r="M36" s="150" cm="1">
        <f t="array" ref="M36">IFERROR(INDEX(PQ_Aug!$B$2:$AF$1079,MATCH($C36,PQ_Aug!$A$2:$A$1079,0),MATCH(M$3&amp;"",PQ_Aug!$B$1:$AF$1&amp;"",0)),0)</f>
        <v>0</v>
      </c>
      <c r="N36" s="150" cm="1">
        <f t="array" ref="N36">IFERROR(INDEX(PQ_Aug!$B$2:$AF$1079,MATCH($C36,PQ_Aug!$A$2:$A$1079,0),MATCH(N$3&amp;"",PQ_Aug!$B$1:$AF$1&amp;"",0)),0)</f>
        <v>2</v>
      </c>
      <c r="O36" s="150" cm="1">
        <f t="array" ref="O36">IFERROR(INDEX(PQ_Aug!$B$2:$AF$1079,MATCH($C36,PQ_Aug!$A$2:$A$1079,0),MATCH(O$3&amp;"",PQ_Aug!$B$1:$AF$1&amp;"",0)),0)</f>
        <v>1</v>
      </c>
      <c r="P36" s="151"/>
      <c r="Q36" s="150" cm="1">
        <f t="array" ref="Q36">IFERROR(INDEX(PQ_Aug!$B$2:$AF$1079,MATCH($C36,PQ_Aug!$A$2:$A$1079,0),MATCH(Q$3&amp;"",PQ_Aug!$B$1:$AF$1&amp;"",0)),0)</f>
        <v>0</v>
      </c>
      <c r="R36" s="150" cm="1">
        <f t="array" ref="R36">IFERROR(INDEX(PQ_Aug!$B$2:$AF$1079,MATCH($C36,PQ_Aug!$A$2:$A$1079,0),MATCH(R$3&amp;"",PQ_Aug!$B$1:$AF$1&amp;"",0)),0)</f>
        <v>1</v>
      </c>
      <c r="S36" s="150" cm="1">
        <f t="array" ref="S36">IFERROR(INDEX(PQ_Aug!$B$2:$AF$1079,MATCH($C36,PQ_Aug!$A$2:$A$1079,0),MATCH(S$3&amp;"",PQ_Aug!$B$1:$AF$1&amp;"",0)),0)</f>
        <v>0</v>
      </c>
      <c r="T36" s="150" cm="1">
        <f t="array" ref="T36">IFERROR(INDEX(PQ_Aug!$B$2:$AF$1079,MATCH($C36,PQ_Aug!$A$2:$A$1079,0),MATCH(T$3&amp;"",PQ_Aug!$B$1:$AF$1&amp;"",0)),0)</f>
        <v>0</v>
      </c>
      <c r="U36" s="150" cm="1">
        <f t="array" ref="U36">IFERROR(INDEX(PQ_Aug!$B$2:$AF$1079,MATCH($C36,PQ_Aug!$A$2:$A$1079,0),MATCH(U$3&amp;"",PQ_Aug!$B$1:$AF$1&amp;"",0)),0)</f>
        <v>0</v>
      </c>
      <c r="V36" s="150" cm="1">
        <f t="array" ref="V36">IFERROR(INDEX(PQ_Aug!$B$2:$AF$1079,MATCH($C36,PQ_Aug!$A$2:$A$1079,0),MATCH(V$3&amp;"",PQ_Aug!$B$1:$AF$1&amp;"",0)),0)</f>
        <v>0</v>
      </c>
      <c r="W36" s="151"/>
      <c r="X36" s="151"/>
      <c r="Y36" s="150" cm="1">
        <f t="array" ref="Y36">IFERROR(INDEX(PQ_Aug!$B$2:$AF$1079,MATCH($C36,PQ_Aug!$A$2:$A$1079,0),MATCH(Y$3&amp;"",PQ_Aug!$B$1:$AF$1&amp;"",0)),0)</f>
        <v>0</v>
      </c>
      <c r="Z36" s="150" cm="1">
        <f t="array" ref="Z36">IFERROR(INDEX(PQ_Aug!$B$2:$AF$1079,MATCH($C36,PQ_Aug!$A$2:$A$1079,0),MATCH(Z$3&amp;"",PQ_Aug!$B$1:$AF$1&amp;"",0)),0)</f>
        <v>0</v>
      </c>
      <c r="AA36" s="150" cm="1">
        <f t="array" ref="AA36">IFERROR(INDEX(PQ_Aug!$B$2:$AF$1079,MATCH($C36,PQ_Aug!$A$2:$A$1079,0),MATCH(AA$3&amp;"",PQ_Aug!$B$1:$AF$1&amp;"",0)),0)</f>
        <v>1</v>
      </c>
      <c r="AB36" s="150" cm="1">
        <f t="array" ref="AB36">IFERROR(INDEX(PQ_Aug!$B$2:$AF$1079,MATCH($C36,PQ_Aug!$A$2:$A$1079,0),MATCH(AB$3&amp;"",PQ_Aug!$B$1:$AF$1&amp;"",0)),0)</f>
        <v>1</v>
      </c>
      <c r="AC36" s="150" cm="1">
        <f t="array" ref="AC36">IFERROR(INDEX(PQ_Aug!$B$2:$AF$1079,MATCH($C36,PQ_Aug!$A$2:$A$1079,0),MATCH(AC$3&amp;"",PQ_Aug!$B$1:$AF$1&amp;"",0)),0)</f>
        <v>0</v>
      </c>
      <c r="AD36" s="151"/>
      <c r="AE36" s="150" cm="1">
        <f t="array" ref="AE36">IFERROR(INDEX(PQ_Aug!$B$2:$AF$1079,MATCH($C36,PQ_Aug!$A$2:$A$1079,0),MATCH(AE$3&amp;"",PQ_Aug!$B$1:$AF$1&amp;"",0)),0)</f>
        <v>2</v>
      </c>
      <c r="AF36" s="151"/>
      <c r="AG36" s="150"/>
      <c r="AH36" s="150"/>
      <c r="AI36" s="150"/>
      <c r="AJ36" s="150"/>
      <c r="AK36" s="151"/>
      <c r="AL36" s="150"/>
      <c r="AM36" s="152"/>
      <c r="AN36" s="150">
        <f t="shared" si="4"/>
        <v>10</v>
      </c>
      <c r="AO36" s="153" t="e">
        <f t="shared" si="1"/>
        <v>#REF!</v>
      </c>
      <c r="AP36" s="167">
        <v>15</v>
      </c>
      <c r="AQ36" s="171" t="s">
        <v>21</v>
      </c>
      <c r="AR36" s="155">
        <v>46238</v>
      </c>
      <c r="AS36" s="156">
        <v>1</v>
      </c>
      <c r="AT36" s="172"/>
      <c r="AU36" s="173"/>
      <c r="AV36" s="159">
        <v>46245</v>
      </c>
      <c r="AW36" s="174"/>
      <c r="AX36" s="153">
        <f t="shared" si="5"/>
        <v>30</v>
      </c>
      <c r="AY36" s="153">
        <f t="shared" si="6"/>
        <v>0</v>
      </c>
      <c r="AZ36" s="153">
        <f t="shared" si="2"/>
        <v>30</v>
      </c>
      <c r="BA36" s="153" t="e">
        <f t="shared" si="3"/>
        <v>#REF!</v>
      </c>
      <c r="BB36" s="160"/>
      <c r="BC36" s="30"/>
      <c r="BD36" s="30"/>
      <c r="BE36" s="30"/>
      <c r="BF36" s="30"/>
    </row>
    <row r="37" spans="1:58" ht="22.5" customHeight="1">
      <c r="A37" s="233" t="e">
        <f t="shared" si="7"/>
        <v>#REF!</v>
      </c>
      <c r="B37" s="234"/>
      <c r="C37" s="133" t="s">
        <v>131</v>
      </c>
      <c r="D37" s="148">
        <v>30</v>
      </c>
      <c r="E37" s="148" t="s">
        <v>29</v>
      </c>
      <c r="F37" s="148" t="s">
        <v>29</v>
      </c>
      <c r="G37" s="149" t="e">
        <f>Juli2026!AO38</f>
        <v>#REF!</v>
      </c>
      <c r="H37" s="150" cm="1">
        <f t="array" ref="H37">IFERROR(INDEX(PQ_Aug!$B$2:$AF$1079,MATCH($C37,PQ_Aug!$A$2:$A$1079,0),MATCH(H$3&amp;"",PQ_Aug!$B$1:$AF$1&amp;"",0)),0)</f>
        <v>0</v>
      </c>
      <c r="I37" s="151"/>
      <c r="J37" s="150" cm="1">
        <f t="array" ref="J37">IFERROR(INDEX(PQ_Aug!$B$2:$AF$1079,MATCH($C37,PQ_Aug!$A$2:$A$1079,0),MATCH(J$3&amp;"",PQ_Aug!$B$1:$AF$1&amp;"",0)),0)</f>
        <v>0</v>
      </c>
      <c r="K37" s="150" cm="1">
        <f t="array" ref="K37">IFERROR(INDEX(PQ_Aug!$B$2:$AF$1079,MATCH($C37,PQ_Aug!$A$2:$A$1079,0),MATCH(K$3&amp;"",PQ_Aug!$B$1:$AF$1&amp;"",0)),0)</f>
        <v>1</v>
      </c>
      <c r="L37" s="150" cm="1">
        <f t="array" ref="L37">IFERROR(INDEX(PQ_Aug!$B$2:$AF$1079,MATCH($C37,PQ_Aug!$A$2:$A$1079,0),MATCH(L$3&amp;"",PQ_Aug!$B$1:$AF$1&amp;"",0)),0)</f>
        <v>0</v>
      </c>
      <c r="M37" s="150" cm="1">
        <f t="array" ref="M37">IFERROR(INDEX(PQ_Aug!$B$2:$AF$1079,MATCH($C37,PQ_Aug!$A$2:$A$1079,0),MATCH(M$3&amp;"",PQ_Aug!$B$1:$AF$1&amp;"",0)),0)</f>
        <v>0</v>
      </c>
      <c r="N37" s="150" cm="1">
        <f t="array" ref="N37">IFERROR(INDEX(PQ_Aug!$B$2:$AF$1079,MATCH($C37,PQ_Aug!$A$2:$A$1079,0),MATCH(N$3&amp;"",PQ_Aug!$B$1:$AF$1&amp;"",0)),0)</f>
        <v>0</v>
      </c>
      <c r="O37" s="150" cm="1">
        <f t="array" ref="O37">IFERROR(INDEX(PQ_Aug!$B$2:$AF$1079,MATCH($C37,PQ_Aug!$A$2:$A$1079,0),MATCH(O$3&amp;"",PQ_Aug!$B$1:$AF$1&amp;"",0)),0)</f>
        <v>0</v>
      </c>
      <c r="P37" s="151"/>
      <c r="Q37" s="150" cm="1">
        <f t="array" ref="Q37">IFERROR(INDEX(PQ_Aug!$B$2:$AF$1079,MATCH($C37,PQ_Aug!$A$2:$A$1079,0),MATCH(Q$3&amp;"",PQ_Aug!$B$1:$AF$1&amp;"",0)),0)</f>
        <v>0</v>
      </c>
      <c r="R37" s="150" cm="1">
        <f t="array" ref="R37">IFERROR(INDEX(PQ_Aug!$B$2:$AF$1079,MATCH($C37,PQ_Aug!$A$2:$A$1079,0),MATCH(R$3&amp;"",PQ_Aug!$B$1:$AF$1&amp;"",0)),0)</f>
        <v>0</v>
      </c>
      <c r="S37" s="150" cm="1">
        <f t="array" ref="S37">IFERROR(INDEX(PQ_Aug!$B$2:$AF$1079,MATCH($C37,PQ_Aug!$A$2:$A$1079,0),MATCH(S$3&amp;"",PQ_Aug!$B$1:$AF$1&amp;"",0)),0)</f>
        <v>0</v>
      </c>
      <c r="T37" s="150" cm="1">
        <f t="array" ref="T37">IFERROR(INDEX(PQ_Aug!$B$2:$AF$1079,MATCH($C37,PQ_Aug!$A$2:$A$1079,0),MATCH(T$3&amp;"",PQ_Aug!$B$1:$AF$1&amp;"",0)),0)</f>
        <v>0</v>
      </c>
      <c r="U37" s="150" cm="1">
        <f t="array" ref="U37">IFERROR(INDEX(PQ_Aug!$B$2:$AF$1079,MATCH($C37,PQ_Aug!$A$2:$A$1079,0),MATCH(U$3&amp;"",PQ_Aug!$B$1:$AF$1&amp;"",0)),0)</f>
        <v>0</v>
      </c>
      <c r="V37" s="150" cm="1">
        <f t="array" ref="V37">IFERROR(INDEX(PQ_Aug!$B$2:$AF$1079,MATCH($C37,PQ_Aug!$A$2:$A$1079,0),MATCH(V$3&amp;"",PQ_Aug!$B$1:$AF$1&amp;"",0)),0)</f>
        <v>0</v>
      </c>
      <c r="W37" s="151"/>
      <c r="X37" s="151"/>
      <c r="Y37" s="150" cm="1">
        <f t="array" ref="Y37">IFERROR(INDEX(PQ_Aug!$B$2:$AF$1079,MATCH($C37,PQ_Aug!$A$2:$A$1079,0),MATCH(Y$3&amp;"",PQ_Aug!$B$1:$AF$1&amp;"",0)),0)</f>
        <v>0</v>
      </c>
      <c r="Z37" s="150" cm="1">
        <f t="array" ref="Z37">IFERROR(INDEX(PQ_Aug!$B$2:$AF$1079,MATCH($C37,PQ_Aug!$A$2:$A$1079,0),MATCH(Z$3&amp;"",PQ_Aug!$B$1:$AF$1&amp;"",0)),0)</f>
        <v>0</v>
      </c>
      <c r="AA37" s="150" cm="1">
        <f t="array" ref="AA37">IFERROR(INDEX(PQ_Aug!$B$2:$AF$1079,MATCH($C37,PQ_Aug!$A$2:$A$1079,0),MATCH(AA$3&amp;"",PQ_Aug!$B$1:$AF$1&amp;"",0)),0)</f>
        <v>0</v>
      </c>
      <c r="AB37" s="150" cm="1">
        <f t="array" ref="AB37">IFERROR(INDEX(PQ_Aug!$B$2:$AF$1079,MATCH($C37,PQ_Aug!$A$2:$A$1079,0),MATCH(AB$3&amp;"",PQ_Aug!$B$1:$AF$1&amp;"",0)),0)</f>
        <v>0</v>
      </c>
      <c r="AC37" s="150" cm="1">
        <f t="array" ref="AC37">IFERROR(INDEX(PQ_Aug!$B$2:$AF$1079,MATCH($C37,PQ_Aug!$A$2:$A$1079,0),MATCH(AC$3&amp;"",PQ_Aug!$B$1:$AF$1&amp;"",0)),0)</f>
        <v>0</v>
      </c>
      <c r="AD37" s="151"/>
      <c r="AE37" s="150" cm="1">
        <f t="array" ref="AE37">IFERROR(INDEX(PQ_Aug!$B$2:$AF$1079,MATCH($C37,PQ_Aug!$A$2:$A$1079,0),MATCH(AE$3&amp;"",PQ_Aug!$B$1:$AF$1&amp;"",0)),0)</f>
        <v>0</v>
      </c>
      <c r="AF37" s="151"/>
      <c r="AG37" s="150"/>
      <c r="AH37" s="150"/>
      <c r="AI37" s="150"/>
      <c r="AJ37" s="150"/>
      <c r="AK37" s="151"/>
      <c r="AL37" s="150"/>
      <c r="AM37" s="152">
        <v>4</v>
      </c>
      <c r="AN37" s="150">
        <f t="shared" si="4"/>
        <v>5</v>
      </c>
      <c r="AO37" s="153" t="e">
        <f t="shared" si="1"/>
        <v>#REF!</v>
      </c>
      <c r="AP37" s="167">
        <v>15</v>
      </c>
      <c r="AQ37" s="171" t="s">
        <v>21</v>
      </c>
      <c r="AR37" s="172"/>
      <c r="AS37" s="173"/>
      <c r="AT37" s="172"/>
      <c r="AU37" s="173"/>
      <c r="AV37" s="172"/>
      <c r="AW37" s="174"/>
      <c r="AX37" s="153">
        <f t="shared" si="5"/>
        <v>0</v>
      </c>
      <c r="AY37" s="153">
        <f t="shared" si="6"/>
        <v>0</v>
      </c>
      <c r="AZ37" s="153">
        <f t="shared" si="2"/>
        <v>0</v>
      </c>
      <c r="BA37" s="153" t="e">
        <f t="shared" si="3"/>
        <v>#REF!</v>
      </c>
      <c r="BB37" s="160"/>
      <c r="BC37" s="30"/>
      <c r="BD37" s="30"/>
      <c r="BE37" s="30"/>
      <c r="BF37" s="30"/>
    </row>
    <row r="38" spans="1:58" ht="22.5" customHeight="1">
      <c r="A38" s="242">
        <f t="shared" si="7"/>
        <v>20</v>
      </c>
      <c r="B38" s="243"/>
      <c r="C38" s="133" t="s">
        <v>85</v>
      </c>
      <c r="D38" s="148">
        <v>30</v>
      </c>
      <c r="E38" s="148" t="s">
        <v>29</v>
      </c>
      <c r="F38" s="148" t="s">
        <v>29</v>
      </c>
      <c r="G38" s="149">
        <f>Juli2026!AO39</f>
        <v>28</v>
      </c>
      <c r="H38" s="150" cm="1">
        <f t="array" ref="H38">IFERROR(INDEX(PQ_Aug!$B$2:$AF$1079,MATCH($C38,PQ_Aug!$A$2:$A$1079,0),MATCH(H$3&amp;"",PQ_Aug!$B$1:$AF$1&amp;"",0)),0)</f>
        <v>1</v>
      </c>
      <c r="I38" s="151"/>
      <c r="J38" s="150" cm="1">
        <f t="array" ref="J38">IFERROR(INDEX(PQ_Aug!$B$2:$AF$1079,MATCH($C38,PQ_Aug!$A$2:$A$1079,0),MATCH(J$3&amp;"",PQ_Aug!$B$1:$AF$1&amp;"",0)),0)</f>
        <v>0</v>
      </c>
      <c r="K38" s="150" cm="1">
        <f t="array" ref="K38">IFERROR(INDEX(PQ_Aug!$B$2:$AF$1079,MATCH($C38,PQ_Aug!$A$2:$A$1079,0),MATCH(K$3&amp;"",PQ_Aug!$B$1:$AF$1&amp;"",0)),0)</f>
        <v>0</v>
      </c>
      <c r="L38" s="150" cm="1">
        <f t="array" ref="L38">IFERROR(INDEX(PQ_Aug!$B$2:$AF$1079,MATCH($C38,PQ_Aug!$A$2:$A$1079,0),MATCH(L$3&amp;"",PQ_Aug!$B$1:$AF$1&amp;"",0)),0)</f>
        <v>0</v>
      </c>
      <c r="M38" s="150" cm="1">
        <f t="array" ref="M38">IFERROR(INDEX(PQ_Aug!$B$2:$AF$1079,MATCH($C38,PQ_Aug!$A$2:$A$1079,0),MATCH(M$3&amp;"",PQ_Aug!$B$1:$AF$1&amp;"",0)),0)</f>
        <v>1</v>
      </c>
      <c r="N38" s="150" cm="1">
        <f t="array" ref="N38">IFERROR(INDEX(PQ_Aug!$B$2:$AF$1079,MATCH($C38,PQ_Aug!$A$2:$A$1079,0),MATCH(N$3&amp;"",PQ_Aug!$B$1:$AF$1&amp;"",0)),0)</f>
        <v>0</v>
      </c>
      <c r="O38" s="150" cm="1">
        <f t="array" ref="O38">IFERROR(INDEX(PQ_Aug!$B$2:$AF$1079,MATCH($C38,PQ_Aug!$A$2:$A$1079,0),MATCH(O$3&amp;"",PQ_Aug!$B$1:$AF$1&amp;"",0)),0)</f>
        <v>0</v>
      </c>
      <c r="P38" s="151"/>
      <c r="Q38" s="150" cm="1">
        <f t="array" ref="Q38">IFERROR(INDEX(PQ_Aug!$B$2:$AF$1079,MATCH($C38,PQ_Aug!$A$2:$A$1079,0),MATCH(Q$3&amp;"",PQ_Aug!$B$1:$AF$1&amp;"",0)),0)</f>
        <v>0</v>
      </c>
      <c r="R38" s="150" cm="1">
        <f t="array" ref="R38">IFERROR(INDEX(PQ_Aug!$B$2:$AF$1079,MATCH($C38,PQ_Aug!$A$2:$A$1079,0),MATCH(R$3&amp;"",PQ_Aug!$B$1:$AF$1&amp;"",0)),0)</f>
        <v>0</v>
      </c>
      <c r="S38" s="150" cm="1">
        <f t="array" ref="S38">IFERROR(INDEX(PQ_Aug!$B$2:$AF$1079,MATCH($C38,PQ_Aug!$A$2:$A$1079,0),MATCH(S$3&amp;"",PQ_Aug!$B$1:$AF$1&amp;"",0)),0)</f>
        <v>0</v>
      </c>
      <c r="T38" s="150" cm="1">
        <f t="array" ref="T38">IFERROR(INDEX(PQ_Aug!$B$2:$AF$1079,MATCH($C38,PQ_Aug!$A$2:$A$1079,0),MATCH(T$3&amp;"",PQ_Aug!$B$1:$AF$1&amp;"",0)),0)</f>
        <v>0</v>
      </c>
      <c r="U38" s="150" cm="1">
        <f t="array" ref="U38">IFERROR(INDEX(PQ_Aug!$B$2:$AF$1079,MATCH($C38,PQ_Aug!$A$2:$A$1079,0),MATCH(U$3&amp;"",PQ_Aug!$B$1:$AF$1&amp;"",0)),0)</f>
        <v>2</v>
      </c>
      <c r="V38" s="150" cm="1">
        <f t="array" ref="V38">IFERROR(INDEX(PQ_Aug!$B$2:$AF$1079,MATCH($C38,PQ_Aug!$A$2:$A$1079,0),MATCH(V$3&amp;"",PQ_Aug!$B$1:$AF$1&amp;"",0)),0)</f>
        <v>0</v>
      </c>
      <c r="W38" s="151"/>
      <c r="X38" s="151"/>
      <c r="Y38" s="150" cm="1">
        <f t="array" ref="Y38">IFERROR(INDEX(PQ_Aug!$B$2:$AF$1079,MATCH($C38,PQ_Aug!$A$2:$A$1079,0),MATCH(Y$3&amp;"",PQ_Aug!$B$1:$AF$1&amp;"",0)),0)</f>
        <v>0</v>
      </c>
      <c r="Z38" s="150" cm="1">
        <f t="array" ref="Z38">IFERROR(INDEX(PQ_Aug!$B$2:$AF$1079,MATCH($C38,PQ_Aug!$A$2:$A$1079,0),MATCH(Z$3&amp;"",PQ_Aug!$B$1:$AF$1&amp;"",0)),0)</f>
        <v>1</v>
      </c>
      <c r="AA38" s="150" cm="1">
        <f t="array" ref="AA38">IFERROR(INDEX(PQ_Aug!$B$2:$AF$1079,MATCH($C38,PQ_Aug!$A$2:$A$1079,0),MATCH(AA$3&amp;"",PQ_Aug!$B$1:$AF$1&amp;"",0)),0)</f>
        <v>0</v>
      </c>
      <c r="AB38" s="150" cm="1">
        <f t="array" ref="AB38">IFERROR(INDEX(PQ_Aug!$B$2:$AF$1079,MATCH($C38,PQ_Aug!$A$2:$A$1079,0),MATCH(AB$3&amp;"",PQ_Aug!$B$1:$AF$1&amp;"",0)),0)</f>
        <v>3</v>
      </c>
      <c r="AC38" s="150" cm="1">
        <f t="array" ref="AC38">IFERROR(INDEX(PQ_Aug!$B$2:$AF$1079,MATCH($C38,PQ_Aug!$A$2:$A$1079,0),MATCH(AC$3&amp;"",PQ_Aug!$B$1:$AF$1&amp;"",0)),0)</f>
        <v>0</v>
      </c>
      <c r="AD38" s="151"/>
      <c r="AE38" s="150" cm="1">
        <f t="array" ref="AE38">IFERROR(INDEX(PQ_Aug!$B$2:$AF$1079,MATCH($C38,PQ_Aug!$A$2:$A$1079,0),MATCH(AE$3&amp;"",PQ_Aug!$B$1:$AF$1&amp;"",0)),0)</f>
        <v>0</v>
      </c>
      <c r="AF38" s="151"/>
      <c r="AG38" s="150"/>
      <c r="AH38" s="150"/>
      <c r="AI38" s="150"/>
      <c r="AJ38" s="150"/>
      <c r="AK38" s="151"/>
      <c r="AL38" s="150"/>
      <c r="AM38" s="152"/>
      <c r="AN38" s="150">
        <f t="shared" si="4"/>
        <v>8</v>
      </c>
      <c r="AO38" s="153">
        <f t="shared" si="1"/>
        <v>20</v>
      </c>
      <c r="AP38" s="167">
        <v>15</v>
      </c>
      <c r="AQ38" s="167" t="s">
        <v>21</v>
      </c>
      <c r="AR38" s="155"/>
      <c r="AS38" s="156"/>
      <c r="AT38" s="155"/>
      <c r="AU38" s="156"/>
      <c r="AV38" s="155"/>
      <c r="AW38" s="161"/>
      <c r="AX38" s="153">
        <f t="shared" si="5"/>
        <v>0</v>
      </c>
      <c r="AY38" s="153">
        <f t="shared" si="6"/>
        <v>0</v>
      </c>
      <c r="AZ38" s="153">
        <f t="shared" si="2"/>
        <v>0</v>
      </c>
      <c r="BA38" s="153">
        <f t="shared" si="3"/>
        <v>20</v>
      </c>
      <c r="BB38" s="160"/>
      <c r="BC38" s="30"/>
      <c r="BD38" s="30"/>
      <c r="BE38" s="30"/>
      <c r="BF38" s="30"/>
    </row>
    <row r="39" spans="1:58" ht="22.5" customHeight="1">
      <c r="A39" s="233">
        <f t="shared" si="7"/>
        <v>26</v>
      </c>
      <c r="B39" s="234"/>
      <c r="C39" s="133" t="s">
        <v>482</v>
      </c>
      <c r="D39" s="148">
        <v>16</v>
      </c>
      <c r="E39" s="148"/>
      <c r="F39" s="148"/>
      <c r="G39" s="149">
        <f>Juli2026!AO40</f>
        <v>22</v>
      </c>
      <c r="H39" s="150" cm="1">
        <f t="array" ref="H39">IFERROR(INDEX(PQ_Aug!$B$2:$AF$1079,MATCH($C39,PQ_Aug!$A$2:$A$1079,0),MATCH(H$3&amp;"",PQ_Aug!$B$1:$AF$1&amp;"",0)),0)</f>
        <v>3</v>
      </c>
      <c r="I39" s="151"/>
      <c r="J39" s="150" cm="1">
        <f t="array" ref="J39">IFERROR(INDEX(PQ_Aug!$B$2:$AF$1079,MATCH($C39,PQ_Aug!$A$2:$A$1079,0),MATCH(J$3&amp;"",PQ_Aug!$B$1:$AF$1&amp;"",0)),0)</f>
        <v>1</v>
      </c>
      <c r="K39" s="150" cm="1">
        <f t="array" ref="K39">IFERROR(INDEX(PQ_Aug!$B$2:$AF$1079,MATCH($C39,PQ_Aug!$A$2:$A$1079,0),MATCH(K$3&amp;"",PQ_Aug!$B$1:$AF$1&amp;"",0)),0)</f>
        <v>0</v>
      </c>
      <c r="L39" s="150" cm="1">
        <f t="array" ref="L39">IFERROR(INDEX(PQ_Aug!$B$2:$AF$1079,MATCH($C39,PQ_Aug!$A$2:$A$1079,0),MATCH(L$3&amp;"",PQ_Aug!$B$1:$AF$1&amp;"",0)),0)</f>
        <v>2</v>
      </c>
      <c r="M39" s="150" cm="1">
        <f t="array" ref="M39">IFERROR(INDEX(PQ_Aug!$B$2:$AF$1079,MATCH($C39,PQ_Aug!$A$2:$A$1079,0),MATCH(M$3&amp;"",PQ_Aug!$B$1:$AF$1&amp;"",0)),0)</f>
        <v>0</v>
      </c>
      <c r="N39" s="150" cm="1">
        <f t="array" ref="N39">IFERROR(INDEX(PQ_Aug!$B$2:$AF$1079,MATCH($C39,PQ_Aug!$A$2:$A$1079,0),MATCH(N$3&amp;"",PQ_Aug!$B$1:$AF$1&amp;"",0)),0)</f>
        <v>0</v>
      </c>
      <c r="O39" s="150" cm="1">
        <f t="array" ref="O39">IFERROR(INDEX(PQ_Aug!$B$2:$AF$1079,MATCH($C39,PQ_Aug!$A$2:$A$1079,0),MATCH(O$3&amp;"",PQ_Aug!$B$1:$AF$1&amp;"",0)),0)</f>
        <v>0</v>
      </c>
      <c r="P39" s="151"/>
      <c r="Q39" s="150" cm="1">
        <f t="array" ref="Q39">IFERROR(INDEX(PQ_Aug!$B$2:$AF$1079,MATCH($C39,PQ_Aug!$A$2:$A$1079,0),MATCH(Q$3&amp;"",PQ_Aug!$B$1:$AF$1&amp;"",0)),0)</f>
        <v>0</v>
      </c>
      <c r="R39" s="150" cm="1">
        <f t="array" ref="R39">IFERROR(INDEX(PQ_Aug!$B$2:$AF$1079,MATCH($C39,PQ_Aug!$A$2:$A$1079,0),MATCH(R$3&amp;"",PQ_Aug!$B$1:$AF$1&amp;"",0)),0)</f>
        <v>0</v>
      </c>
      <c r="S39" s="150" cm="1">
        <f t="array" ref="S39">IFERROR(INDEX(PQ_Aug!$B$2:$AF$1079,MATCH($C39,PQ_Aug!$A$2:$A$1079,0),MATCH(S$3&amp;"",PQ_Aug!$B$1:$AF$1&amp;"",0)),0)</f>
        <v>0</v>
      </c>
      <c r="T39" s="150" cm="1">
        <f t="array" ref="T39">IFERROR(INDEX(PQ_Aug!$B$2:$AF$1079,MATCH($C39,PQ_Aug!$A$2:$A$1079,0),MATCH(T$3&amp;"",PQ_Aug!$B$1:$AF$1&amp;"",0)),0)</f>
        <v>0</v>
      </c>
      <c r="U39" s="150" cm="1">
        <f t="array" ref="U39">IFERROR(INDEX(PQ_Aug!$B$2:$AF$1079,MATCH($C39,PQ_Aug!$A$2:$A$1079,0),MATCH(U$3&amp;"",PQ_Aug!$B$1:$AF$1&amp;"",0)),0)</f>
        <v>1</v>
      </c>
      <c r="V39" s="150" cm="1">
        <f t="array" ref="V39">IFERROR(INDEX(PQ_Aug!$B$2:$AF$1079,MATCH($C39,PQ_Aug!$A$2:$A$1079,0),MATCH(V$3&amp;"",PQ_Aug!$B$1:$AF$1&amp;"",0)),0)</f>
        <v>1</v>
      </c>
      <c r="W39" s="151"/>
      <c r="X39" s="151"/>
      <c r="Y39" s="150" cm="1">
        <f t="array" ref="Y39">IFERROR(INDEX(PQ_Aug!$B$2:$AF$1079,MATCH($C39,PQ_Aug!$A$2:$A$1079,0),MATCH(Y$3&amp;"",PQ_Aug!$B$1:$AF$1&amp;"",0)),0)</f>
        <v>0</v>
      </c>
      <c r="Z39" s="150" cm="1">
        <f t="array" ref="Z39">IFERROR(INDEX(PQ_Aug!$B$2:$AF$1079,MATCH($C39,PQ_Aug!$A$2:$A$1079,0),MATCH(Z$3&amp;"",PQ_Aug!$B$1:$AF$1&amp;"",0)),0)</f>
        <v>0</v>
      </c>
      <c r="AA39" s="150" cm="1">
        <f t="array" ref="AA39">IFERROR(INDEX(PQ_Aug!$B$2:$AF$1079,MATCH($C39,PQ_Aug!$A$2:$A$1079,0),MATCH(AA$3&amp;"",PQ_Aug!$B$1:$AF$1&amp;"",0)),0)</f>
        <v>2</v>
      </c>
      <c r="AB39" s="150" cm="1">
        <f t="array" ref="AB39">IFERROR(INDEX(PQ_Aug!$B$2:$AF$1079,MATCH($C39,PQ_Aug!$A$2:$A$1079,0),MATCH(AB$3&amp;"",PQ_Aug!$B$1:$AF$1&amp;"",0)),0)</f>
        <v>1</v>
      </c>
      <c r="AC39" s="150" cm="1">
        <f t="array" ref="AC39">IFERROR(INDEX(PQ_Aug!$B$2:$AF$1079,MATCH($C39,PQ_Aug!$A$2:$A$1079,0),MATCH(AC$3&amp;"",PQ_Aug!$B$1:$AF$1&amp;"",0)),0)</f>
        <v>0</v>
      </c>
      <c r="AD39" s="151"/>
      <c r="AE39" s="150" cm="1">
        <f t="array" ref="AE39">IFERROR(INDEX(PQ_Aug!$B$2:$AF$1079,MATCH($C39,PQ_Aug!$A$2:$A$1079,0),MATCH(AE$3&amp;"",PQ_Aug!$B$1:$AF$1&amp;"",0)),0)</f>
        <v>1</v>
      </c>
      <c r="AF39" s="151"/>
      <c r="AG39" s="150"/>
      <c r="AH39" s="150"/>
      <c r="AI39" s="150"/>
      <c r="AJ39" s="150"/>
      <c r="AK39" s="151"/>
      <c r="AL39" s="150"/>
      <c r="AM39" s="152"/>
      <c r="AN39" s="150">
        <f t="shared" si="4"/>
        <v>12</v>
      </c>
      <c r="AO39" s="153">
        <f t="shared" si="1"/>
        <v>26</v>
      </c>
      <c r="AP39" s="167">
        <v>16</v>
      </c>
      <c r="AQ39" s="167" t="s">
        <v>21</v>
      </c>
      <c r="AR39" s="155">
        <v>46238</v>
      </c>
      <c r="AS39" s="156">
        <v>1</v>
      </c>
      <c r="AT39" s="161"/>
      <c r="AU39" s="153"/>
      <c r="AV39" s="159">
        <v>46252</v>
      </c>
      <c r="AW39" s="161"/>
      <c r="AX39" s="153">
        <f t="shared" si="5"/>
        <v>16</v>
      </c>
      <c r="AY39" s="153">
        <f t="shared" si="6"/>
        <v>0</v>
      </c>
      <c r="AZ39" s="153">
        <f t="shared" si="2"/>
        <v>16</v>
      </c>
      <c r="BA39" s="153">
        <f t="shared" si="3"/>
        <v>26</v>
      </c>
      <c r="BB39" s="160"/>
      <c r="BC39" s="30"/>
      <c r="BD39" s="30"/>
      <c r="BE39" s="30"/>
      <c r="BF39" s="30"/>
    </row>
    <row r="40" spans="1:58" ht="22.5" customHeight="1">
      <c r="A40" s="233" t="e">
        <f t="shared" si="7"/>
        <v>#REF!</v>
      </c>
      <c r="B40" s="234"/>
      <c r="C40" s="133" t="s">
        <v>483</v>
      </c>
      <c r="D40" s="148">
        <v>16</v>
      </c>
      <c r="E40" s="148"/>
      <c r="F40" s="148"/>
      <c r="G40" s="149" t="e">
        <f>Juli2026!AO41</f>
        <v>#REF!</v>
      </c>
      <c r="H40" s="150" cm="1">
        <f t="array" ref="H40">IFERROR(INDEX(PQ_Aug!$B$2:$AF$1079,MATCH($C40,PQ_Aug!$A$2:$A$1079,0),MATCH(H$3&amp;"",PQ_Aug!$B$1:$AF$1&amp;"",0)),0)</f>
        <v>0</v>
      </c>
      <c r="I40" s="151"/>
      <c r="J40" s="150" cm="1">
        <f t="array" ref="J40">IFERROR(INDEX(PQ_Aug!$B$2:$AF$1079,MATCH($C40,PQ_Aug!$A$2:$A$1079,0),MATCH(J$3&amp;"",PQ_Aug!$B$1:$AF$1&amp;"",0)),0)</f>
        <v>0</v>
      </c>
      <c r="K40" s="150" cm="1">
        <f t="array" ref="K40">IFERROR(INDEX(PQ_Aug!$B$2:$AF$1079,MATCH($C40,PQ_Aug!$A$2:$A$1079,0),MATCH(K$3&amp;"",PQ_Aug!$B$1:$AF$1&amp;"",0)),0)</f>
        <v>0</v>
      </c>
      <c r="L40" s="150" cm="1">
        <f t="array" ref="L40">IFERROR(INDEX(PQ_Aug!$B$2:$AF$1079,MATCH($C40,PQ_Aug!$A$2:$A$1079,0),MATCH(L$3&amp;"",PQ_Aug!$B$1:$AF$1&amp;"",0)),0)</f>
        <v>0</v>
      </c>
      <c r="M40" s="150" cm="1">
        <f t="array" ref="M40">IFERROR(INDEX(PQ_Aug!$B$2:$AF$1079,MATCH($C40,PQ_Aug!$A$2:$A$1079,0),MATCH(M$3&amp;"",PQ_Aug!$B$1:$AF$1&amp;"",0)),0)</f>
        <v>0</v>
      </c>
      <c r="N40" s="150" cm="1">
        <f t="array" ref="N40">IFERROR(INDEX(PQ_Aug!$B$2:$AF$1079,MATCH($C40,PQ_Aug!$A$2:$A$1079,0),MATCH(N$3&amp;"",PQ_Aug!$B$1:$AF$1&amp;"",0)),0)</f>
        <v>0</v>
      </c>
      <c r="O40" s="150" cm="1">
        <f t="array" ref="O40">IFERROR(INDEX(PQ_Aug!$B$2:$AF$1079,MATCH($C40,PQ_Aug!$A$2:$A$1079,0),MATCH(O$3&amp;"",PQ_Aug!$B$1:$AF$1&amp;"",0)),0)</f>
        <v>2</v>
      </c>
      <c r="P40" s="151"/>
      <c r="Q40" s="150" cm="1">
        <f t="array" ref="Q40">IFERROR(INDEX(PQ_Aug!$B$2:$AF$1079,MATCH($C40,PQ_Aug!$A$2:$A$1079,0),MATCH(Q$3&amp;"",PQ_Aug!$B$1:$AF$1&amp;"",0)),0)</f>
        <v>0</v>
      </c>
      <c r="R40" s="150" cm="1">
        <f t="array" ref="R40">IFERROR(INDEX(PQ_Aug!$B$2:$AF$1079,MATCH($C40,PQ_Aug!$A$2:$A$1079,0),MATCH(R$3&amp;"",PQ_Aug!$B$1:$AF$1&amp;"",0)),0)</f>
        <v>0</v>
      </c>
      <c r="S40" s="150" cm="1">
        <f t="array" ref="S40">IFERROR(INDEX(PQ_Aug!$B$2:$AF$1079,MATCH($C40,PQ_Aug!$A$2:$A$1079,0),MATCH(S$3&amp;"",PQ_Aug!$B$1:$AF$1&amp;"",0)),0)</f>
        <v>0</v>
      </c>
      <c r="T40" s="150" cm="1">
        <f t="array" ref="T40">IFERROR(INDEX(PQ_Aug!$B$2:$AF$1079,MATCH($C40,PQ_Aug!$A$2:$A$1079,0),MATCH(T$3&amp;"",PQ_Aug!$B$1:$AF$1&amp;"",0)),0)</f>
        <v>0</v>
      </c>
      <c r="U40" s="150" cm="1">
        <f t="array" ref="U40">IFERROR(INDEX(PQ_Aug!$B$2:$AF$1079,MATCH($C40,PQ_Aug!$A$2:$A$1079,0),MATCH(U$3&amp;"",PQ_Aug!$B$1:$AF$1&amp;"",0)),0)</f>
        <v>0</v>
      </c>
      <c r="V40" s="150" cm="1">
        <f t="array" ref="V40">IFERROR(INDEX(PQ_Aug!$B$2:$AF$1079,MATCH($C40,PQ_Aug!$A$2:$A$1079,0),MATCH(V$3&amp;"",PQ_Aug!$B$1:$AF$1&amp;"",0)),0)</f>
        <v>0</v>
      </c>
      <c r="W40" s="151"/>
      <c r="X40" s="151"/>
      <c r="Y40" s="150" cm="1">
        <f t="array" ref="Y40">IFERROR(INDEX(PQ_Aug!$B$2:$AF$1079,MATCH($C40,PQ_Aug!$A$2:$A$1079,0),MATCH(Y$3&amp;"",PQ_Aug!$B$1:$AF$1&amp;"",0)),0)</f>
        <v>0</v>
      </c>
      <c r="Z40" s="150" cm="1">
        <f t="array" ref="Z40">IFERROR(INDEX(PQ_Aug!$B$2:$AF$1079,MATCH($C40,PQ_Aug!$A$2:$A$1079,0),MATCH(Z$3&amp;"",PQ_Aug!$B$1:$AF$1&amp;"",0)),0)</f>
        <v>0</v>
      </c>
      <c r="AA40" s="150" cm="1">
        <f t="array" ref="AA40">IFERROR(INDEX(PQ_Aug!$B$2:$AF$1079,MATCH($C40,PQ_Aug!$A$2:$A$1079,0),MATCH(AA$3&amp;"",PQ_Aug!$B$1:$AF$1&amp;"",0)),0)</f>
        <v>0</v>
      </c>
      <c r="AB40" s="150" cm="1">
        <f t="array" ref="AB40">IFERROR(INDEX(PQ_Aug!$B$2:$AF$1079,MATCH($C40,PQ_Aug!$A$2:$A$1079,0),MATCH(AB$3&amp;"",PQ_Aug!$B$1:$AF$1&amp;"",0)),0)</f>
        <v>0</v>
      </c>
      <c r="AC40" s="150" cm="1">
        <f t="array" ref="AC40">IFERROR(INDEX(PQ_Aug!$B$2:$AF$1079,MATCH($C40,PQ_Aug!$A$2:$A$1079,0),MATCH(AC$3&amp;"",PQ_Aug!$B$1:$AF$1&amp;"",0)),0)</f>
        <v>0</v>
      </c>
      <c r="AD40" s="151"/>
      <c r="AE40" s="150" cm="1">
        <f t="array" ref="AE40">IFERROR(INDEX(PQ_Aug!$B$2:$AF$1079,MATCH($C40,PQ_Aug!$A$2:$A$1079,0),MATCH(AE$3&amp;"",PQ_Aug!$B$1:$AF$1&amp;"",0)),0)</f>
        <v>0</v>
      </c>
      <c r="AF40" s="151"/>
      <c r="AG40" s="150"/>
      <c r="AH40" s="150"/>
      <c r="AI40" s="150"/>
      <c r="AJ40" s="150"/>
      <c r="AK40" s="151"/>
      <c r="AL40" s="150"/>
      <c r="AM40" s="152"/>
      <c r="AN40" s="150">
        <f t="shared" si="4"/>
        <v>2</v>
      </c>
      <c r="AO40" s="153" t="e">
        <f t="shared" si="1"/>
        <v>#REF!</v>
      </c>
      <c r="AP40" s="167">
        <v>10</v>
      </c>
      <c r="AQ40" s="167" t="s">
        <v>21</v>
      </c>
      <c r="AR40" s="161">
        <v>46253</v>
      </c>
      <c r="AS40" s="153">
        <v>1</v>
      </c>
      <c r="AT40" s="161"/>
      <c r="AU40" s="153"/>
      <c r="AV40" s="161"/>
      <c r="AW40" s="161"/>
      <c r="AX40" s="153">
        <f t="shared" si="5"/>
        <v>0</v>
      </c>
      <c r="AY40" s="153">
        <f t="shared" si="6"/>
        <v>0</v>
      </c>
      <c r="AZ40" s="153">
        <f t="shared" si="2"/>
        <v>0</v>
      </c>
      <c r="BA40" s="153" t="e">
        <f t="shared" si="3"/>
        <v>#REF!</v>
      </c>
      <c r="BB40" s="160"/>
      <c r="BC40" s="30"/>
      <c r="BD40" s="30"/>
      <c r="BE40" s="30"/>
      <c r="BF40" s="30"/>
    </row>
    <row r="41" spans="1:58" ht="22.5" customHeight="1">
      <c r="A41" s="242" t="e">
        <f t="shared" si="7"/>
        <v>#REF!</v>
      </c>
      <c r="B41" s="243"/>
      <c r="C41" s="133" t="s">
        <v>484</v>
      </c>
      <c r="D41" s="148">
        <v>16</v>
      </c>
      <c r="E41" s="148"/>
      <c r="F41" s="148"/>
      <c r="G41" s="149" t="e">
        <f>Juli2026!AO42</f>
        <v>#REF!</v>
      </c>
      <c r="H41" s="150" cm="1">
        <f t="array" ref="H41">IFERROR(INDEX(PQ_Aug!$B$2:$AF$1079,MATCH($C41,PQ_Aug!$A$2:$A$1079,0),MATCH(H$3&amp;"",PQ_Aug!$B$1:$AF$1&amp;"",0)),0)</f>
        <v>0</v>
      </c>
      <c r="I41" s="151"/>
      <c r="J41" s="150" cm="1">
        <f t="array" ref="J41">IFERROR(INDEX(PQ_Aug!$B$2:$AF$1079,MATCH($C41,PQ_Aug!$A$2:$A$1079,0),MATCH(J$3&amp;"",PQ_Aug!$B$1:$AF$1&amp;"",0)),0)</f>
        <v>0</v>
      </c>
      <c r="K41" s="150" cm="1">
        <f t="array" ref="K41">IFERROR(INDEX(PQ_Aug!$B$2:$AF$1079,MATCH($C41,PQ_Aug!$A$2:$A$1079,0),MATCH(K$3&amp;"",PQ_Aug!$B$1:$AF$1&amp;"",0)),0)</f>
        <v>0</v>
      </c>
      <c r="L41" s="150" cm="1">
        <f t="array" ref="L41">IFERROR(INDEX(PQ_Aug!$B$2:$AF$1079,MATCH($C41,PQ_Aug!$A$2:$A$1079,0),MATCH(L$3&amp;"",PQ_Aug!$B$1:$AF$1&amp;"",0)),0)</f>
        <v>0</v>
      </c>
      <c r="M41" s="150" cm="1">
        <f t="array" ref="M41">IFERROR(INDEX(PQ_Aug!$B$2:$AF$1079,MATCH($C41,PQ_Aug!$A$2:$A$1079,0),MATCH(M$3&amp;"",PQ_Aug!$B$1:$AF$1&amp;"",0)),0)</f>
        <v>0</v>
      </c>
      <c r="N41" s="150" cm="1">
        <f t="array" ref="N41">IFERROR(INDEX(PQ_Aug!$B$2:$AF$1079,MATCH($C41,PQ_Aug!$A$2:$A$1079,0),MATCH(N$3&amp;"",PQ_Aug!$B$1:$AF$1&amp;"",0)),0)</f>
        <v>0</v>
      </c>
      <c r="O41" s="150" cm="1">
        <f t="array" ref="O41">IFERROR(INDEX(PQ_Aug!$B$2:$AF$1079,MATCH($C41,PQ_Aug!$A$2:$A$1079,0),MATCH(O$3&amp;"",PQ_Aug!$B$1:$AF$1&amp;"",0)),0)</f>
        <v>0</v>
      </c>
      <c r="P41" s="151"/>
      <c r="Q41" s="150" cm="1">
        <f t="array" ref="Q41">IFERROR(INDEX(PQ_Aug!$B$2:$AF$1079,MATCH($C41,PQ_Aug!$A$2:$A$1079,0),MATCH(Q$3&amp;"",PQ_Aug!$B$1:$AF$1&amp;"",0)),0)</f>
        <v>0</v>
      </c>
      <c r="R41" s="150" cm="1">
        <f t="array" ref="R41">IFERROR(INDEX(PQ_Aug!$B$2:$AF$1079,MATCH($C41,PQ_Aug!$A$2:$A$1079,0),MATCH(R$3&amp;"",PQ_Aug!$B$1:$AF$1&amp;"",0)),0)</f>
        <v>0</v>
      </c>
      <c r="S41" s="150" cm="1">
        <f t="array" ref="S41">IFERROR(INDEX(PQ_Aug!$B$2:$AF$1079,MATCH($C41,PQ_Aug!$A$2:$A$1079,0),MATCH(S$3&amp;"",PQ_Aug!$B$1:$AF$1&amp;"",0)),0)</f>
        <v>0</v>
      </c>
      <c r="T41" s="150" cm="1">
        <f t="array" ref="T41">IFERROR(INDEX(PQ_Aug!$B$2:$AF$1079,MATCH($C41,PQ_Aug!$A$2:$A$1079,0),MATCH(T$3&amp;"",PQ_Aug!$B$1:$AF$1&amp;"",0)),0)</f>
        <v>0</v>
      </c>
      <c r="U41" s="150" cm="1">
        <f t="array" ref="U41">IFERROR(INDEX(PQ_Aug!$B$2:$AF$1079,MATCH($C41,PQ_Aug!$A$2:$A$1079,0),MATCH(U$3&amp;"",PQ_Aug!$B$1:$AF$1&amp;"",0)),0)</f>
        <v>0</v>
      </c>
      <c r="V41" s="150" cm="1">
        <f t="array" ref="V41">IFERROR(INDEX(PQ_Aug!$B$2:$AF$1079,MATCH($C41,PQ_Aug!$A$2:$A$1079,0),MATCH(V$3&amp;"",PQ_Aug!$B$1:$AF$1&amp;"",0)),0)</f>
        <v>0</v>
      </c>
      <c r="W41" s="151"/>
      <c r="X41" s="151"/>
      <c r="Y41" s="150" cm="1">
        <f t="array" ref="Y41">IFERROR(INDEX(PQ_Aug!$B$2:$AF$1079,MATCH($C41,PQ_Aug!$A$2:$A$1079,0),MATCH(Y$3&amp;"",PQ_Aug!$B$1:$AF$1&amp;"",0)),0)</f>
        <v>1</v>
      </c>
      <c r="Z41" s="150" cm="1">
        <f t="array" ref="Z41">IFERROR(INDEX(PQ_Aug!$B$2:$AF$1079,MATCH($C41,PQ_Aug!$A$2:$A$1079,0),MATCH(Z$3&amp;"",PQ_Aug!$B$1:$AF$1&amp;"",0)),0)</f>
        <v>0</v>
      </c>
      <c r="AA41" s="150" cm="1">
        <f t="array" ref="AA41">IFERROR(INDEX(PQ_Aug!$B$2:$AF$1079,MATCH($C41,PQ_Aug!$A$2:$A$1079,0),MATCH(AA$3&amp;"",PQ_Aug!$B$1:$AF$1&amp;"",0)),0)</f>
        <v>0</v>
      </c>
      <c r="AB41" s="150" cm="1">
        <f t="array" ref="AB41">IFERROR(INDEX(PQ_Aug!$B$2:$AF$1079,MATCH($C41,PQ_Aug!$A$2:$A$1079,0),MATCH(AB$3&amp;"",PQ_Aug!$B$1:$AF$1&amp;"",0)),0)</f>
        <v>0</v>
      </c>
      <c r="AC41" s="150" cm="1">
        <f t="array" ref="AC41">IFERROR(INDEX(PQ_Aug!$B$2:$AF$1079,MATCH($C41,PQ_Aug!$A$2:$A$1079,0),MATCH(AC$3&amp;"",PQ_Aug!$B$1:$AF$1&amp;"",0)),0)</f>
        <v>0</v>
      </c>
      <c r="AD41" s="151"/>
      <c r="AE41" s="150" cm="1">
        <f t="array" ref="AE41">IFERROR(INDEX(PQ_Aug!$B$2:$AF$1079,MATCH($C41,PQ_Aug!$A$2:$A$1079,0),MATCH(AE$3&amp;"",PQ_Aug!$B$1:$AF$1&amp;"",0)),0)</f>
        <v>1</v>
      </c>
      <c r="AF41" s="151"/>
      <c r="AG41" s="150"/>
      <c r="AH41" s="150"/>
      <c r="AI41" s="150"/>
      <c r="AJ41" s="150"/>
      <c r="AK41" s="151"/>
      <c r="AL41" s="150"/>
      <c r="AM41" s="152"/>
      <c r="AN41" s="150">
        <f t="shared" si="4"/>
        <v>2</v>
      </c>
      <c r="AO41" s="153" t="e">
        <f t="shared" si="1"/>
        <v>#REF!</v>
      </c>
      <c r="AP41" s="167">
        <v>10</v>
      </c>
      <c r="AQ41" s="167" t="s">
        <v>21</v>
      </c>
      <c r="AR41" s="161"/>
      <c r="AS41" s="153"/>
      <c r="AT41" s="161"/>
      <c r="AU41" s="153"/>
      <c r="AV41" s="161"/>
      <c r="AW41" s="161"/>
      <c r="AX41" s="153">
        <f t="shared" si="5"/>
        <v>0</v>
      </c>
      <c r="AY41" s="153">
        <f t="shared" si="6"/>
        <v>0</v>
      </c>
      <c r="AZ41" s="153">
        <f t="shared" si="2"/>
        <v>0</v>
      </c>
      <c r="BA41" s="153" t="e">
        <f t="shared" si="3"/>
        <v>#REF!</v>
      </c>
      <c r="BB41" s="160"/>
      <c r="BC41" s="30"/>
      <c r="BD41" s="30"/>
      <c r="BE41" s="30"/>
      <c r="BF41" s="30"/>
    </row>
    <row r="42" spans="1:58" ht="22.5" customHeight="1">
      <c r="A42" s="233">
        <f t="shared" si="7"/>
        <v>13</v>
      </c>
      <c r="B42" s="234"/>
      <c r="C42" s="133" t="s">
        <v>485</v>
      </c>
      <c r="D42" s="148">
        <v>16</v>
      </c>
      <c r="E42" s="148"/>
      <c r="F42" s="148"/>
      <c r="G42" s="149">
        <v>16</v>
      </c>
      <c r="H42" s="150" cm="1">
        <f t="array" ref="H42">IFERROR(INDEX(PQ_Aug!$B$2:$AF$1079,MATCH($C42,PQ_Aug!$A$2:$A$1079,0),MATCH(H$3&amp;"",PQ_Aug!$B$1:$AF$1&amp;"",0)),0)</f>
        <v>1</v>
      </c>
      <c r="I42" s="151"/>
      <c r="J42" s="150" cm="1">
        <f t="array" ref="J42">IFERROR(INDEX(PQ_Aug!$B$2:$AF$1079,MATCH($C42,PQ_Aug!$A$2:$A$1079,0),MATCH(J$3&amp;"",PQ_Aug!$B$1:$AF$1&amp;"",0)),0)</f>
        <v>0</v>
      </c>
      <c r="K42" s="150" cm="1">
        <f t="array" ref="K42">IFERROR(INDEX(PQ_Aug!$B$2:$AF$1079,MATCH($C42,PQ_Aug!$A$2:$A$1079,0),MATCH(K$3&amp;"",PQ_Aug!$B$1:$AF$1&amp;"",0)),0)</f>
        <v>0</v>
      </c>
      <c r="L42" s="150" cm="1">
        <f t="array" ref="L42">IFERROR(INDEX(PQ_Aug!$B$2:$AF$1079,MATCH($C42,PQ_Aug!$A$2:$A$1079,0),MATCH(L$3&amp;"",PQ_Aug!$B$1:$AF$1&amp;"",0)),0)</f>
        <v>0</v>
      </c>
      <c r="M42" s="150" cm="1">
        <f t="array" ref="M42">IFERROR(INDEX(PQ_Aug!$B$2:$AF$1079,MATCH($C42,PQ_Aug!$A$2:$A$1079,0),MATCH(M$3&amp;"",PQ_Aug!$B$1:$AF$1&amp;"",0)),0)</f>
        <v>0</v>
      </c>
      <c r="N42" s="150" cm="1">
        <f t="array" ref="N42">IFERROR(INDEX(PQ_Aug!$B$2:$AF$1079,MATCH($C42,PQ_Aug!$A$2:$A$1079,0),MATCH(N$3&amp;"",PQ_Aug!$B$1:$AF$1&amp;"",0)),0)</f>
        <v>0</v>
      </c>
      <c r="O42" s="150" cm="1">
        <f t="array" ref="O42">IFERROR(INDEX(PQ_Aug!$B$2:$AF$1079,MATCH($C42,PQ_Aug!$A$2:$A$1079,0),MATCH(O$3&amp;"",PQ_Aug!$B$1:$AF$1&amp;"",0)),0)</f>
        <v>1</v>
      </c>
      <c r="P42" s="151"/>
      <c r="Q42" s="150" cm="1">
        <f t="array" ref="Q42">IFERROR(INDEX(PQ_Aug!$B$2:$AF$1079,MATCH($C42,PQ_Aug!$A$2:$A$1079,0),MATCH(Q$3&amp;"",PQ_Aug!$B$1:$AF$1&amp;"",0)),0)</f>
        <v>0</v>
      </c>
      <c r="R42" s="150" cm="1">
        <f t="array" ref="R42">IFERROR(INDEX(PQ_Aug!$B$2:$AF$1079,MATCH($C42,PQ_Aug!$A$2:$A$1079,0),MATCH(R$3&amp;"",PQ_Aug!$B$1:$AF$1&amp;"",0)),0)</f>
        <v>0</v>
      </c>
      <c r="S42" s="150" cm="1">
        <f t="array" ref="S42">IFERROR(INDEX(PQ_Aug!$B$2:$AF$1079,MATCH($C42,PQ_Aug!$A$2:$A$1079,0),MATCH(S$3&amp;"",PQ_Aug!$B$1:$AF$1&amp;"",0)),0)</f>
        <v>0</v>
      </c>
      <c r="T42" s="150" cm="1">
        <f t="array" ref="T42">IFERROR(INDEX(PQ_Aug!$B$2:$AF$1079,MATCH($C42,PQ_Aug!$A$2:$A$1079,0),MATCH(T$3&amp;"",PQ_Aug!$B$1:$AF$1&amp;"",0)),0)</f>
        <v>0</v>
      </c>
      <c r="U42" s="150" cm="1">
        <f t="array" ref="U42">IFERROR(INDEX(PQ_Aug!$B$2:$AF$1079,MATCH($C42,PQ_Aug!$A$2:$A$1079,0),MATCH(U$3&amp;"",PQ_Aug!$B$1:$AF$1&amp;"",0)),0)</f>
        <v>0</v>
      </c>
      <c r="V42" s="150" cm="1">
        <f t="array" ref="V42">IFERROR(INDEX(PQ_Aug!$B$2:$AF$1079,MATCH($C42,PQ_Aug!$A$2:$A$1079,0),MATCH(V$3&amp;"",PQ_Aug!$B$1:$AF$1&amp;"",0)),0)</f>
        <v>0</v>
      </c>
      <c r="W42" s="151"/>
      <c r="X42" s="151"/>
      <c r="Y42" s="150" cm="1">
        <f t="array" ref="Y42">IFERROR(INDEX(PQ_Aug!$B$2:$AF$1079,MATCH($C42,PQ_Aug!$A$2:$A$1079,0),MATCH(Y$3&amp;"",PQ_Aug!$B$1:$AF$1&amp;"",0)),0)</f>
        <v>0</v>
      </c>
      <c r="Z42" s="150" cm="1">
        <f t="array" ref="Z42">IFERROR(INDEX(PQ_Aug!$B$2:$AF$1079,MATCH($C42,PQ_Aug!$A$2:$A$1079,0),MATCH(Z$3&amp;"",PQ_Aug!$B$1:$AF$1&amp;"",0)),0)</f>
        <v>0</v>
      </c>
      <c r="AA42" s="150" cm="1">
        <f t="array" ref="AA42">IFERROR(INDEX(PQ_Aug!$B$2:$AF$1079,MATCH($C42,PQ_Aug!$A$2:$A$1079,0),MATCH(AA$3&amp;"",PQ_Aug!$B$1:$AF$1&amp;"",0)),0)</f>
        <v>1</v>
      </c>
      <c r="AB42" s="150" cm="1">
        <f t="array" ref="AB42">IFERROR(INDEX(PQ_Aug!$B$2:$AF$1079,MATCH($C42,PQ_Aug!$A$2:$A$1079,0),MATCH(AB$3&amp;"",PQ_Aug!$B$1:$AF$1&amp;"",0)),0)</f>
        <v>0</v>
      </c>
      <c r="AC42" s="150" cm="1">
        <f t="array" ref="AC42">IFERROR(INDEX(PQ_Aug!$B$2:$AF$1079,MATCH($C42,PQ_Aug!$A$2:$A$1079,0),MATCH(AC$3&amp;"",PQ_Aug!$B$1:$AF$1&amp;"",0)),0)</f>
        <v>0</v>
      </c>
      <c r="AD42" s="151"/>
      <c r="AE42" s="150" cm="1">
        <f t="array" ref="AE42">IFERROR(INDEX(PQ_Aug!$B$2:$AF$1079,MATCH($C42,PQ_Aug!$A$2:$A$1079,0),MATCH(AE$3&amp;"",PQ_Aug!$B$1:$AF$1&amp;"",0)),0)</f>
        <v>0</v>
      </c>
      <c r="AF42" s="151"/>
      <c r="AG42" s="150"/>
      <c r="AH42" s="150"/>
      <c r="AI42" s="150"/>
      <c r="AJ42" s="150"/>
      <c r="AK42" s="151"/>
      <c r="AL42" s="150"/>
      <c r="AM42" s="152"/>
      <c r="AN42" s="150">
        <f t="shared" ref="AN42" si="8">SUM(H42:AL42)+AM42</f>
        <v>3</v>
      </c>
      <c r="AO42" s="153">
        <f t="shared" ref="AO42" si="9">(G42-AN42)+AZ42</f>
        <v>13</v>
      </c>
      <c r="AP42" s="167">
        <v>10</v>
      </c>
      <c r="AQ42" s="167" t="s">
        <v>21</v>
      </c>
      <c r="AR42" s="155"/>
      <c r="AS42" s="156"/>
      <c r="AT42" s="161"/>
      <c r="AU42" s="153"/>
      <c r="AV42" s="161"/>
      <c r="AW42" s="161"/>
      <c r="AX42" s="153">
        <f t="shared" si="5"/>
        <v>0</v>
      </c>
      <c r="AY42" s="153">
        <f t="shared" si="6"/>
        <v>0</v>
      </c>
      <c r="AZ42" s="153">
        <f t="shared" si="2"/>
        <v>0</v>
      </c>
      <c r="BA42" s="153">
        <f t="shared" si="3"/>
        <v>13</v>
      </c>
      <c r="BB42" s="160"/>
      <c r="BC42" s="30"/>
      <c r="BD42" s="30"/>
      <c r="BE42" s="30"/>
      <c r="BF42" s="30"/>
    </row>
    <row r="43" spans="1:58" ht="22.5" customHeight="1">
      <c r="A43" s="233">
        <f t="shared" si="7"/>
        <v>24</v>
      </c>
      <c r="B43" s="234"/>
      <c r="C43" s="133" t="s">
        <v>486</v>
      </c>
      <c r="D43" s="148">
        <v>16</v>
      </c>
      <c r="E43" s="148"/>
      <c r="F43" s="148"/>
      <c r="G43" s="149">
        <f>Juli2026!AO43</f>
        <v>12</v>
      </c>
      <c r="H43" s="150" cm="1">
        <f t="array" ref="H43">IFERROR(INDEX(PQ_Aug!$B$2:$AF$1079,MATCH($C43,PQ_Aug!$A$2:$A$1079,0),MATCH(H$3&amp;"",PQ_Aug!$B$1:$AF$1&amp;"",0)),0)</f>
        <v>0</v>
      </c>
      <c r="I43" s="151"/>
      <c r="J43" s="150" cm="1">
        <f t="array" ref="J43">IFERROR(INDEX(PQ_Aug!$B$2:$AF$1079,MATCH($C43,PQ_Aug!$A$2:$A$1079,0),MATCH(J$3&amp;"",PQ_Aug!$B$1:$AF$1&amp;"",0)),0)</f>
        <v>0</v>
      </c>
      <c r="K43" s="150" cm="1">
        <f t="array" ref="K43">IFERROR(INDEX(PQ_Aug!$B$2:$AF$1079,MATCH($C43,PQ_Aug!$A$2:$A$1079,0),MATCH(K$3&amp;"",PQ_Aug!$B$1:$AF$1&amp;"",0)),0)</f>
        <v>0</v>
      </c>
      <c r="L43" s="150" cm="1">
        <f t="array" ref="L43">IFERROR(INDEX(PQ_Aug!$B$2:$AF$1079,MATCH($C43,PQ_Aug!$A$2:$A$1079,0),MATCH(L$3&amp;"",PQ_Aug!$B$1:$AF$1&amp;"",0)),0)</f>
        <v>0</v>
      </c>
      <c r="M43" s="150" cm="1">
        <f t="array" ref="M43">IFERROR(INDEX(PQ_Aug!$B$2:$AF$1079,MATCH($C43,PQ_Aug!$A$2:$A$1079,0),MATCH(M$3&amp;"",PQ_Aug!$B$1:$AF$1&amp;"",0)),0)</f>
        <v>0</v>
      </c>
      <c r="N43" s="150" cm="1">
        <f t="array" ref="N43">IFERROR(INDEX(PQ_Aug!$B$2:$AF$1079,MATCH($C43,PQ_Aug!$A$2:$A$1079,0),MATCH(N$3&amp;"",PQ_Aug!$B$1:$AF$1&amp;"",0)),0)</f>
        <v>0</v>
      </c>
      <c r="O43" s="150" cm="1">
        <f t="array" ref="O43">IFERROR(INDEX(PQ_Aug!$B$2:$AF$1079,MATCH($C43,PQ_Aug!$A$2:$A$1079,0),MATCH(O$3&amp;"",PQ_Aug!$B$1:$AF$1&amp;"",0)),0)</f>
        <v>1</v>
      </c>
      <c r="P43" s="151"/>
      <c r="Q43" s="150" cm="1">
        <f t="array" ref="Q43">IFERROR(INDEX(PQ_Aug!$B$2:$AF$1079,MATCH($C43,PQ_Aug!$A$2:$A$1079,0),MATCH(Q$3&amp;"",PQ_Aug!$B$1:$AF$1&amp;"",0)),0)</f>
        <v>0</v>
      </c>
      <c r="R43" s="150" cm="1">
        <f t="array" ref="R43">IFERROR(INDEX(PQ_Aug!$B$2:$AF$1079,MATCH($C43,PQ_Aug!$A$2:$A$1079,0),MATCH(R$3&amp;"",PQ_Aug!$B$1:$AF$1&amp;"",0)),0)</f>
        <v>0</v>
      </c>
      <c r="S43" s="150" cm="1">
        <f t="array" ref="S43">IFERROR(INDEX(PQ_Aug!$B$2:$AF$1079,MATCH($C43,PQ_Aug!$A$2:$A$1079,0),MATCH(S$3&amp;"",PQ_Aug!$B$1:$AF$1&amp;"",0)),0)</f>
        <v>0</v>
      </c>
      <c r="T43" s="150" cm="1">
        <f t="array" ref="T43">IFERROR(INDEX(PQ_Aug!$B$2:$AF$1079,MATCH($C43,PQ_Aug!$A$2:$A$1079,0),MATCH(T$3&amp;"",PQ_Aug!$B$1:$AF$1&amp;"",0)),0)</f>
        <v>1</v>
      </c>
      <c r="U43" s="150" cm="1">
        <f t="array" ref="U43">IFERROR(INDEX(PQ_Aug!$B$2:$AF$1079,MATCH($C43,PQ_Aug!$A$2:$A$1079,0),MATCH(U$3&amp;"",PQ_Aug!$B$1:$AF$1&amp;"",0)),0)</f>
        <v>1</v>
      </c>
      <c r="V43" s="150" cm="1">
        <f t="array" ref="V43">IFERROR(INDEX(PQ_Aug!$B$2:$AF$1079,MATCH($C43,PQ_Aug!$A$2:$A$1079,0),MATCH(V$3&amp;"",PQ_Aug!$B$1:$AF$1&amp;"",0)),0)</f>
        <v>0</v>
      </c>
      <c r="W43" s="151"/>
      <c r="X43" s="151"/>
      <c r="Y43" s="150" cm="1">
        <f t="array" ref="Y43">IFERROR(INDEX(PQ_Aug!$B$2:$AF$1079,MATCH($C43,PQ_Aug!$A$2:$A$1079,0),MATCH(Y$3&amp;"",PQ_Aug!$B$1:$AF$1&amp;"",0)),0)</f>
        <v>0</v>
      </c>
      <c r="Z43" s="150" cm="1">
        <f t="array" ref="Z43">IFERROR(INDEX(PQ_Aug!$B$2:$AF$1079,MATCH($C43,PQ_Aug!$A$2:$A$1079,0),MATCH(Z$3&amp;"",PQ_Aug!$B$1:$AF$1&amp;"",0)),0)</f>
        <v>0</v>
      </c>
      <c r="AA43" s="150" cm="1">
        <f t="array" ref="AA43">IFERROR(INDEX(PQ_Aug!$B$2:$AF$1079,MATCH($C43,PQ_Aug!$A$2:$A$1079,0),MATCH(AA$3&amp;"",PQ_Aug!$B$1:$AF$1&amp;"",0)),0)</f>
        <v>0</v>
      </c>
      <c r="AB43" s="150" cm="1">
        <f t="array" ref="AB43">IFERROR(INDEX(PQ_Aug!$B$2:$AF$1079,MATCH($C43,PQ_Aug!$A$2:$A$1079,0),MATCH(AB$3&amp;"",PQ_Aug!$B$1:$AF$1&amp;"",0)),0)</f>
        <v>0</v>
      </c>
      <c r="AC43" s="150" cm="1">
        <f t="array" ref="AC43">IFERROR(INDEX(PQ_Aug!$B$2:$AF$1079,MATCH($C43,PQ_Aug!$A$2:$A$1079,0),MATCH(AC$3&amp;"",PQ_Aug!$B$1:$AF$1&amp;"",0)),0)</f>
        <v>1</v>
      </c>
      <c r="AD43" s="151"/>
      <c r="AE43" s="150" cm="1">
        <f t="array" ref="AE43">IFERROR(INDEX(PQ_Aug!$B$2:$AF$1079,MATCH($C43,PQ_Aug!$A$2:$A$1079,0),MATCH(AE$3&amp;"",PQ_Aug!$B$1:$AF$1&amp;"",0)),0)</f>
        <v>0</v>
      </c>
      <c r="AF43" s="151"/>
      <c r="AG43" s="150"/>
      <c r="AH43" s="150"/>
      <c r="AI43" s="150"/>
      <c r="AJ43" s="150"/>
      <c r="AK43" s="151"/>
      <c r="AL43" s="150"/>
      <c r="AM43" s="152"/>
      <c r="AN43" s="150">
        <f t="shared" si="4"/>
        <v>4</v>
      </c>
      <c r="AO43" s="153">
        <f t="shared" si="1"/>
        <v>24</v>
      </c>
      <c r="AP43" s="167">
        <v>16</v>
      </c>
      <c r="AQ43" s="167" t="s">
        <v>21</v>
      </c>
      <c r="AR43" s="155">
        <v>46238</v>
      </c>
      <c r="AS43" s="156">
        <v>1</v>
      </c>
      <c r="AT43" s="161"/>
      <c r="AU43" s="153"/>
      <c r="AV43" s="161">
        <v>46252</v>
      </c>
      <c r="AW43" s="161"/>
      <c r="AX43" s="153">
        <f t="shared" si="5"/>
        <v>16</v>
      </c>
      <c r="AY43" s="153">
        <f t="shared" si="6"/>
        <v>0</v>
      </c>
      <c r="AZ43" s="153">
        <f t="shared" si="2"/>
        <v>16</v>
      </c>
      <c r="BA43" s="153">
        <f t="shared" si="3"/>
        <v>24</v>
      </c>
      <c r="BB43" s="160"/>
      <c r="BC43" s="30"/>
      <c r="BD43" s="30"/>
      <c r="BE43" s="30"/>
      <c r="BF43" s="30"/>
    </row>
    <row r="44" spans="1:58" ht="22.5" customHeight="1">
      <c r="A44" s="242" t="e">
        <f t="shared" si="7"/>
        <v>#REF!</v>
      </c>
      <c r="B44" s="243"/>
      <c r="C44" s="134" t="s">
        <v>487</v>
      </c>
      <c r="D44" s="148">
        <v>50</v>
      </c>
      <c r="E44" s="148"/>
      <c r="F44" s="148"/>
      <c r="G44" s="149" t="e">
        <f>Juli2026!AO44</f>
        <v>#REF!</v>
      </c>
      <c r="H44" s="150" cm="1">
        <f t="array" ref="H44">IFERROR(INDEX(PQ_Aug!$B$2:$AF$1079,MATCH($C44,PQ_Aug!$A$2:$A$1079,0),MATCH(H$3&amp;"",PQ_Aug!$B$1:$AF$1&amp;"",0)),0)</f>
        <v>0</v>
      </c>
      <c r="I44" s="151"/>
      <c r="J44" s="150" cm="1">
        <f t="array" ref="J44">IFERROR(INDEX(PQ_Aug!$B$2:$AF$1079,MATCH($C44,PQ_Aug!$A$2:$A$1079,0),MATCH(J$3&amp;"",PQ_Aug!$B$1:$AF$1&amp;"",0)),0)</f>
        <v>0</v>
      </c>
      <c r="K44" s="150" cm="1">
        <f t="array" ref="K44">IFERROR(INDEX(PQ_Aug!$B$2:$AF$1079,MATCH($C44,PQ_Aug!$A$2:$A$1079,0),MATCH(K$3&amp;"",PQ_Aug!$B$1:$AF$1&amp;"",0)),0)</f>
        <v>0</v>
      </c>
      <c r="L44" s="150" cm="1">
        <f t="array" ref="L44">IFERROR(INDEX(PQ_Aug!$B$2:$AF$1079,MATCH($C44,PQ_Aug!$A$2:$A$1079,0),MATCH(L$3&amp;"",PQ_Aug!$B$1:$AF$1&amp;"",0)),0)</f>
        <v>0</v>
      </c>
      <c r="M44" s="150" cm="1">
        <f t="array" ref="M44">IFERROR(INDEX(PQ_Aug!$B$2:$AF$1079,MATCH($C44,PQ_Aug!$A$2:$A$1079,0),MATCH(M$3&amp;"",PQ_Aug!$B$1:$AF$1&amp;"",0)),0)</f>
        <v>0</v>
      </c>
      <c r="N44" s="150" cm="1">
        <f t="array" ref="N44">IFERROR(INDEX(PQ_Aug!$B$2:$AF$1079,MATCH($C44,PQ_Aug!$A$2:$A$1079,0),MATCH(N$3&amp;"",PQ_Aug!$B$1:$AF$1&amp;"",0)),0)</f>
        <v>0</v>
      </c>
      <c r="O44" s="150" cm="1">
        <f t="array" ref="O44">IFERROR(INDEX(PQ_Aug!$B$2:$AF$1079,MATCH($C44,PQ_Aug!$A$2:$A$1079,0),MATCH(O$3&amp;"",PQ_Aug!$B$1:$AF$1&amp;"",0)),0)</f>
        <v>2</v>
      </c>
      <c r="P44" s="151"/>
      <c r="Q44" s="150" cm="1">
        <f t="array" ref="Q44">IFERROR(INDEX(PQ_Aug!$B$2:$AF$1079,MATCH($C44,PQ_Aug!$A$2:$A$1079,0),MATCH(Q$3&amp;"",PQ_Aug!$B$1:$AF$1&amp;"",0)),0)</f>
        <v>1</v>
      </c>
      <c r="R44" s="150" cm="1">
        <f t="array" ref="R44">IFERROR(INDEX(PQ_Aug!$B$2:$AF$1079,MATCH($C44,PQ_Aug!$A$2:$A$1079,0),MATCH(R$3&amp;"",PQ_Aug!$B$1:$AF$1&amp;"",0)),0)</f>
        <v>0</v>
      </c>
      <c r="S44" s="150" cm="1">
        <f t="array" ref="S44">IFERROR(INDEX(PQ_Aug!$B$2:$AF$1079,MATCH($C44,PQ_Aug!$A$2:$A$1079,0),MATCH(S$3&amp;"",PQ_Aug!$B$1:$AF$1&amp;"",0)),0)</f>
        <v>0</v>
      </c>
      <c r="T44" s="150" cm="1">
        <f t="array" ref="T44">IFERROR(INDEX(PQ_Aug!$B$2:$AF$1079,MATCH($C44,PQ_Aug!$A$2:$A$1079,0),MATCH(T$3&amp;"",PQ_Aug!$B$1:$AF$1&amp;"",0)),0)</f>
        <v>0</v>
      </c>
      <c r="U44" s="150" cm="1">
        <f t="array" ref="U44">IFERROR(INDEX(PQ_Aug!$B$2:$AF$1079,MATCH($C44,PQ_Aug!$A$2:$A$1079,0),MATCH(U$3&amp;"",PQ_Aug!$B$1:$AF$1&amp;"",0)),0)</f>
        <v>0</v>
      </c>
      <c r="V44" s="150" cm="1">
        <f t="array" ref="V44">IFERROR(INDEX(PQ_Aug!$B$2:$AF$1079,MATCH($C44,PQ_Aug!$A$2:$A$1079,0),MATCH(V$3&amp;"",PQ_Aug!$B$1:$AF$1&amp;"",0)),0)</f>
        <v>3</v>
      </c>
      <c r="W44" s="151"/>
      <c r="X44" s="151"/>
      <c r="Y44" s="150" cm="1">
        <f t="array" ref="Y44">IFERROR(INDEX(PQ_Aug!$B$2:$AF$1079,MATCH($C44,PQ_Aug!$A$2:$A$1079,0),MATCH(Y$3&amp;"",PQ_Aug!$B$1:$AF$1&amp;"",0)),0)</f>
        <v>0</v>
      </c>
      <c r="Z44" s="150" cm="1">
        <f t="array" ref="Z44">IFERROR(INDEX(PQ_Aug!$B$2:$AF$1079,MATCH($C44,PQ_Aug!$A$2:$A$1079,0),MATCH(Z$3&amp;"",PQ_Aug!$B$1:$AF$1&amp;"",0)),0)</f>
        <v>2</v>
      </c>
      <c r="AA44" s="150" cm="1">
        <f t="array" ref="AA44">IFERROR(INDEX(PQ_Aug!$B$2:$AF$1079,MATCH($C44,PQ_Aug!$A$2:$A$1079,0),MATCH(AA$3&amp;"",PQ_Aug!$B$1:$AF$1&amp;"",0)),0)</f>
        <v>0</v>
      </c>
      <c r="AB44" s="150" cm="1">
        <f t="array" ref="AB44">IFERROR(INDEX(PQ_Aug!$B$2:$AF$1079,MATCH($C44,PQ_Aug!$A$2:$A$1079,0),MATCH(AB$3&amp;"",PQ_Aug!$B$1:$AF$1&amp;"",0)),0)</f>
        <v>1</v>
      </c>
      <c r="AC44" s="150" cm="1">
        <f t="array" ref="AC44">IFERROR(INDEX(PQ_Aug!$B$2:$AF$1079,MATCH($C44,PQ_Aug!$A$2:$A$1079,0),MATCH(AC$3&amp;"",PQ_Aug!$B$1:$AF$1&amp;"",0)),0)</f>
        <v>0</v>
      </c>
      <c r="AD44" s="151"/>
      <c r="AE44" s="150" cm="1">
        <f t="array" ref="AE44">IFERROR(INDEX(PQ_Aug!$B$2:$AF$1079,MATCH($C44,PQ_Aug!$A$2:$A$1079,0),MATCH(AE$3&amp;"",PQ_Aug!$B$1:$AF$1&amp;"",0)),0)</f>
        <v>0</v>
      </c>
      <c r="AF44" s="151"/>
      <c r="AG44" s="150"/>
      <c r="AH44" s="150"/>
      <c r="AI44" s="150"/>
      <c r="AJ44" s="150"/>
      <c r="AK44" s="151"/>
      <c r="AL44" s="150"/>
      <c r="AM44" s="152">
        <v>8</v>
      </c>
      <c r="AN44" s="150">
        <f t="shared" si="4"/>
        <v>17</v>
      </c>
      <c r="AO44" s="153" t="e">
        <f t="shared" si="1"/>
        <v>#REF!</v>
      </c>
      <c r="AP44" s="167">
        <v>20</v>
      </c>
      <c r="AQ44" s="167" t="s">
        <v>79</v>
      </c>
      <c r="AR44" s="168"/>
      <c r="AS44" s="169"/>
      <c r="AT44" s="168"/>
      <c r="AU44" s="169"/>
      <c r="AV44" s="168"/>
      <c r="AW44" s="161"/>
      <c r="AX44" s="153">
        <f t="shared" si="5"/>
        <v>0</v>
      </c>
      <c r="AY44" s="153">
        <f t="shared" si="6"/>
        <v>0</v>
      </c>
      <c r="AZ44" s="153">
        <f t="shared" si="2"/>
        <v>0</v>
      </c>
      <c r="BA44" s="153" t="e">
        <f t="shared" si="3"/>
        <v>#REF!</v>
      </c>
      <c r="BB44" s="160"/>
      <c r="BC44" s="30"/>
      <c r="BD44" s="30"/>
      <c r="BE44" s="30"/>
      <c r="BF44" s="30"/>
    </row>
    <row r="45" spans="1:58" ht="22.5" customHeight="1">
      <c r="A45" s="233" t="e">
        <f t="shared" si="7"/>
        <v>#REF!</v>
      </c>
      <c r="B45" s="234"/>
      <c r="C45" s="134" t="s">
        <v>488</v>
      </c>
      <c r="D45" s="148">
        <v>50</v>
      </c>
      <c r="E45" s="148"/>
      <c r="F45" s="148"/>
      <c r="G45" s="149" t="e">
        <f>Juli2026!AO45</f>
        <v>#REF!</v>
      </c>
      <c r="H45" s="150" cm="1">
        <f t="array" ref="H45">IFERROR(INDEX(PQ_Aug!$B$2:$AF$1079,MATCH($C45,PQ_Aug!$A$2:$A$1079,0),MATCH(H$3&amp;"",PQ_Aug!$B$1:$AF$1&amp;"",0)),0)</f>
        <v>0</v>
      </c>
      <c r="I45" s="151"/>
      <c r="J45" s="150" cm="1">
        <f t="array" ref="J45">IFERROR(INDEX(PQ_Aug!$B$2:$AF$1079,MATCH($C45,PQ_Aug!$A$2:$A$1079,0),MATCH(J$3&amp;"",PQ_Aug!$B$1:$AF$1&amp;"",0)),0)</f>
        <v>0</v>
      </c>
      <c r="K45" s="150" cm="1">
        <f t="array" ref="K45">IFERROR(INDEX(PQ_Aug!$B$2:$AF$1079,MATCH($C45,PQ_Aug!$A$2:$A$1079,0),MATCH(K$3&amp;"",PQ_Aug!$B$1:$AF$1&amp;"",0)),0)</f>
        <v>0</v>
      </c>
      <c r="L45" s="150" cm="1">
        <f t="array" ref="L45">IFERROR(INDEX(PQ_Aug!$B$2:$AF$1079,MATCH($C45,PQ_Aug!$A$2:$A$1079,0),MATCH(L$3&amp;"",PQ_Aug!$B$1:$AF$1&amp;"",0)),0)</f>
        <v>0</v>
      </c>
      <c r="M45" s="150" cm="1">
        <f t="array" ref="M45">IFERROR(INDEX(PQ_Aug!$B$2:$AF$1079,MATCH($C45,PQ_Aug!$A$2:$A$1079,0),MATCH(M$3&amp;"",PQ_Aug!$B$1:$AF$1&amp;"",0)),0)</f>
        <v>0</v>
      </c>
      <c r="N45" s="150" cm="1">
        <f t="array" ref="N45">IFERROR(INDEX(PQ_Aug!$B$2:$AF$1079,MATCH($C45,PQ_Aug!$A$2:$A$1079,0),MATCH(N$3&amp;"",PQ_Aug!$B$1:$AF$1&amp;"",0)),0)</f>
        <v>0</v>
      </c>
      <c r="O45" s="150" cm="1">
        <f t="array" ref="O45">IFERROR(INDEX(PQ_Aug!$B$2:$AF$1079,MATCH($C45,PQ_Aug!$A$2:$A$1079,0),MATCH(O$3&amp;"",PQ_Aug!$B$1:$AF$1&amp;"",0)),0)</f>
        <v>0</v>
      </c>
      <c r="P45" s="151"/>
      <c r="Q45" s="150" cm="1">
        <f t="array" ref="Q45">IFERROR(INDEX(PQ_Aug!$B$2:$AF$1079,MATCH($C45,PQ_Aug!$A$2:$A$1079,0),MATCH(Q$3&amp;"",PQ_Aug!$B$1:$AF$1&amp;"",0)),0)</f>
        <v>0</v>
      </c>
      <c r="R45" s="150" cm="1">
        <f t="array" ref="R45">IFERROR(INDEX(PQ_Aug!$B$2:$AF$1079,MATCH($C45,PQ_Aug!$A$2:$A$1079,0),MATCH(R$3&amp;"",PQ_Aug!$B$1:$AF$1&amp;"",0)),0)</f>
        <v>1</v>
      </c>
      <c r="S45" s="150" cm="1">
        <f t="array" ref="S45">IFERROR(INDEX(PQ_Aug!$B$2:$AF$1079,MATCH($C45,PQ_Aug!$A$2:$A$1079,0),MATCH(S$3&amp;"",PQ_Aug!$B$1:$AF$1&amp;"",0)),0)</f>
        <v>1</v>
      </c>
      <c r="T45" s="150" cm="1">
        <f t="array" ref="T45">IFERROR(INDEX(PQ_Aug!$B$2:$AF$1079,MATCH($C45,PQ_Aug!$A$2:$A$1079,0),MATCH(T$3&amp;"",PQ_Aug!$B$1:$AF$1&amp;"",0)),0)</f>
        <v>0</v>
      </c>
      <c r="U45" s="150" cm="1">
        <f t="array" ref="U45">IFERROR(INDEX(PQ_Aug!$B$2:$AF$1079,MATCH($C45,PQ_Aug!$A$2:$A$1079,0),MATCH(U$3&amp;"",PQ_Aug!$B$1:$AF$1&amp;"",0)),0)</f>
        <v>0</v>
      </c>
      <c r="V45" s="150" cm="1">
        <f t="array" ref="V45">IFERROR(INDEX(PQ_Aug!$B$2:$AF$1079,MATCH($C45,PQ_Aug!$A$2:$A$1079,0),MATCH(V$3&amp;"",PQ_Aug!$B$1:$AF$1&amp;"",0)),0)</f>
        <v>0</v>
      </c>
      <c r="W45" s="151"/>
      <c r="X45" s="151"/>
      <c r="Y45" s="150" cm="1">
        <f t="array" ref="Y45">IFERROR(INDEX(PQ_Aug!$B$2:$AF$1079,MATCH($C45,PQ_Aug!$A$2:$A$1079,0),MATCH(Y$3&amp;"",PQ_Aug!$B$1:$AF$1&amp;"",0)),0)</f>
        <v>0</v>
      </c>
      <c r="Z45" s="150" cm="1">
        <f t="array" ref="Z45">IFERROR(INDEX(PQ_Aug!$B$2:$AF$1079,MATCH($C45,PQ_Aug!$A$2:$A$1079,0),MATCH(Z$3&amp;"",PQ_Aug!$B$1:$AF$1&amp;"",0)),0)</f>
        <v>0</v>
      </c>
      <c r="AA45" s="150" cm="1">
        <f t="array" ref="AA45">IFERROR(INDEX(PQ_Aug!$B$2:$AF$1079,MATCH($C45,PQ_Aug!$A$2:$A$1079,0),MATCH(AA$3&amp;"",PQ_Aug!$B$1:$AF$1&amp;"",0)),0)</f>
        <v>0</v>
      </c>
      <c r="AB45" s="150" cm="1">
        <f t="array" ref="AB45">IFERROR(INDEX(PQ_Aug!$B$2:$AF$1079,MATCH($C45,PQ_Aug!$A$2:$A$1079,0),MATCH(AB$3&amp;"",PQ_Aug!$B$1:$AF$1&amp;"",0)),0)</f>
        <v>1</v>
      </c>
      <c r="AC45" s="150" cm="1">
        <f t="array" ref="AC45">IFERROR(INDEX(PQ_Aug!$B$2:$AF$1079,MATCH($C45,PQ_Aug!$A$2:$A$1079,0),MATCH(AC$3&amp;"",PQ_Aug!$B$1:$AF$1&amp;"",0)),0)</f>
        <v>0</v>
      </c>
      <c r="AD45" s="151"/>
      <c r="AE45" s="150" cm="1">
        <f t="array" ref="AE45">IFERROR(INDEX(PQ_Aug!$B$2:$AF$1079,MATCH($C45,PQ_Aug!$A$2:$A$1079,0),MATCH(AE$3&amp;"",PQ_Aug!$B$1:$AF$1&amp;"",0)),0)</f>
        <v>0</v>
      </c>
      <c r="AF45" s="151"/>
      <c r="AG45" s="150"/>
      <c r="AH45" s="150"/>
      <c r="AI45" s="150"/>
      <c r="AJ45" s="150"/>
      <c r="AK45" s="151"/>
      <c r="AL45" s="150"/>
      <c r="AM45" s="152">
        <v>10</v>
      </c>
      <c r="AN45" s="150">
        <f t="shared" si="4"/>
        <v>13</v>
      </c>
      <c r="AO45" s="153" t="e">
        <f t="shared" si="1"/>
        <v>#REF!</v>
      </c>
      <c r="AP45" s="167">
        <v>20</v>
      </c>
      <c r="AQ45" s="171" t="s">
        <v>79</v>
      </c>
      <c r="AR45" s="172"/>
      <c r="AS45" s="173"/>
      <c r="AT45" s="172"/>
      <c r="AU45" s="173"/>
      <c r="AV45" s="172"/>
      <c r="AW45" s="174"/>
      <c r="AX45" s="153">
        <f t="shared" si="5"/>
        <v>0</v>
      </c>
      <c r="AY45" s="153">
        <f t="shared" si="6"/>
        <v>0</v>
      </c>
      <c r="AZ45" s="153">
        <f t="shared" si="2"/>
        <v>0</v>
      </c>
      <c r="BA45" s="153" t="e">
        <f t="shared" si="3"/>
        <v>#REF!</v>
      </c>
      <c r="BB45" s="160"/>
      <c r="BC45" s="30"/>
      <c r="BD45" s="30"/>
      <c r="BE45" s="30"/>
      <c r="BF45" s="30"/>
    </row>
    <row r="46" spans="1:58" ht="22.5" customHeight="1">
      <c r="A46" s="233">
        <f t="shared" si="7"/>
        <v>75</v>
      </c>
      <c r="B46" s="234"/>
      <c r="C46" s="134" t="s">
        <v>489</v>
      </c>
      <c r="D46" s="148">
        <v>50</v>
      </c>
      <c r="E46" s="148"/>
      <c r="F46" s="148"/>
      <c r="G46" s="149">
        <f>Juli2026!AO46</f>
        <v>31</v>
      </c>
      <c r="H46" s="150" cm="1">
        <f t="array" ref="H46">IFERROR(INDEX(PQ_Aug!$B$2:$AF$1079,MATCH($C46,PQ_Aug!$A$2:$A$1079,0),MATCH(H$3&amp;"",PQ_Aug!$B$1:$AF$1&amp;"",0)),0)</f>
        <v>0</v>
      </c>
      <c r="I46" s="151"/>
      <c r="J46" s="150" cm="1">
        <f t="array" ref="J46">IFERROR(INDEX(PQ_Aug!$B$2:$AF$1079,MATCH($C46,PQ_Aug!$A$2:$A$1079,0),MATCH(J$3&amp;"",PQ_Aug!$B$1:$AF$1&amp;"",0)),0)</f>
        <v>0</v>
      </c>
      <c r="K46" s="150" cm="1">
        <f t="array" ref="K46">IFERROR(INDEX(PQ_Aug!$B$2:$AF$1079,MATCH($C46,PQ_Aug!$A$2:$A$1079,0),MATCH(K$3&amp;"",PQ_Aug!$B$1:$AF$1&amp;"",0)),0)</f>
        <v>0</v>
      </c>
      <c r="L46" s="150" cm="1">
        <f t="array" ref="L46">IFERROR(INDEX(PQ_Aug!$B$2:$AF$1079,MATCH($C46,PQ_Aug!$A$2:$A$1079,0),MATCH(L$3&amp;"",PQ_Aug!$B$1:$AF$1&amp;"",0)),0)</f>
        <v>0</v>
      </c>
      <c r="M46" s="150" cm="1">
        <f t="array" ref="M46">IFERROR(INDEX(PQ_Aug!$B$2:$AF$1079,MATCH($C46,PQ_Aug!$A$2:$A$1079,0),MATCH(M$3&amp;"",PQ_Aug!$B$1:$AF$1&amp;"",0)),0)</f>
        <v>1</v>
      </c>
      <c r="N46" s="150" cm="1">
        <f t="array" ref="N46">IFERROR(INDEX(PQ_Aug!$B$2:$AF$1079,MATCH($C46,PQ_Aug!$A$2:$A$1079,0),MATCH(N$3&amp;"",PQ_Aug!$B$1:$AF$1&amp;"",0)),0)</f>
        <v>0</v>
      </c>
      <c r="O46" s="150" cm="1">
        <f t="array" ref="O46">IFERROR(INDEX(PQ_Aug!$B$2:$AF$1079,MATCH($C46,PQ_Aug!$A$2:$A$1079,0),MATCH(O$3&amp;"",PQ_Aug!$B$1:$AF$1&amp;"",0)),0)</f>
        <v>1</v>
      </c>
      <c r="P46" s="151"/>
      <c r="Q46" s="150" cm="1">
        <f t="array" ref="Q46">IFERROR(INDEX(PQ_Aug!$B$2:$AF$1079,MATCH($C46,PQ_Aug!$A$2:$A$1079,0),MATCH(Q$3&amp;"",PQ_Aug!$B$1:$AF$1&amp;"",0)),0)</f>
        <v>0</v>
      </c>
      <c r="R46" s="150" cm="1">
        <f t="array" ref="R46">IFERROR(INDEX(PQ_Aug!$B$2:$AF$1079,MATCH($C46,PQ_Aug!$A$2:$A$1079,0),MATCH(R$3&amp;"",PQ_Aug!$B$1:$AF$1&amp;"",0)),0)</f>
        <v>0</v>
      </c>
      <c r="S46" s="150" cm="1">
        <f t="array" ref="S46">IFERROR(INDEX(PQ_Aug!$B$2:$AF$1079,MATCH($C46,PQ_Aug!$A$2:$A$1079,0),MATCH(S$3&amp;"",PQ_Aug!$B$1:$AF$1&amp;"",0)),0)</f>
        <v>1</v>
      </c>
      <c r="T46" s="150" cm="1">
        <f t="array" ref="T46">IFERROR(INDEX(PQ_Aug!$B$2:$AF$1079,MATCH($C46,PQ_Aug!$A$2:$A$1079,0),MATCH(T$3&amp;"",PQ_Aug!$B$1:$AF$1&amp;"",0)),0)</f>
        <v>0</v>
      </c>
      <c r="U46" s="150" cm="1">
        <f t="array" ref="U46">IFERROR(INDEX(PQ_Aug!$B$2:$AF$1079,MATCH($C46,PQ_Aug!$A$2:$A$1079,0),MATCH(U$3&amp;"",PQ_Aug!$B$1:$AF$1&amp;"",0)),0)</f>
        <v>1</v>
      </c>
      <c r="V46" s="150" cm="1">
        <f t="array" ref="V46">IFERROR(INDEX(PQ_Aug!$B$2:$AF$1079,MATCH($C46,PQ_Aug!$A$2:$A$1079,0),MATCH(V$3&amp;"",PQ_Aug!$B$1:$AF$1&amp;"",0)),0)</f>
        <v>0</v>
      </c>
      <c r="W46" s="151"/>
      <c r="X46" s="151"/>
      <c r="Y46" s="150" cm="1">
        <f t="array" ref="Y46">IFERROR(INDEX(PQ_Aug!$B$2:$AF$1079,MATCH($C46,PQ_Aug!$A$2:$A$1079,0),MATCH(Y$3&amp;"",PQ_Aug!$B$1:$AF$1&amp;"",0)),0)</f>
        <v>0</v>
      </c>
      <c r="Z46" s="150" cm="1">
        <f t="array" ref="Z46">IFERROR(INDEX(PQ_Aug!$B$2:$AF$1079,MATCH($C46,PQ_Aug!$A$2:$A$1079,0),MATCH(Z$3&amp;"",PQ_Aug!$B$1:$AF$1&amp;"",0)),0)</f>
        <v>0</v>
      </c>
      <c r="AA46" s="150" cm="1">
        <f t="array" ref="AA46">IFERROR(INDEX(PQ_Aug!$B$2:$AF$1079,MATCH($C46,PQ_Aug!$A$2:$A$1079,0),MATCH(AA$3&amp;"",PQ_Aug!$B$1:$AF$1&amp;"",0)),0)</f>
        <v>0</v>
      </c>
      <c r="AB46" s="150" cm="1">
        <f t="array" ref="AB46">IFERROR(INDEX(PQ_Aug!$B$2:$AF$1079,MATCH($C46,PQ_Aug!$A$2:$A$1079,0),MATCH(AB$3&amp;"",PQ_Aug!$B$1:$AF$1&amp;"",0)),0)</f>
        <v>0</v>
      </c>
      <c r="AC46" s="150" cm="1">
        <f t="array" ref="AC46">IFERROR(INDEX(PQ_Aug!$B$2:$AF$1079,MATCH($C46,PQ_Aug!$A$2:$A$1079,0),MATCH(AC$3&amp;"",PQ_Aug!$B$1:$AF$1&amp;"",0)),0)</f>
        <v>0</v>
      </c>
      <c r="AD46" s="151"/>
      <c r="AE46" s="150" cm="1">
        <f t="array" ref="AE46">IFERROR(INDEX(PQ_Aug!$B$2:$AF$1079,MATCH($C46,PQ_Aug!$A$2:$A$1079,0),MATCH(AE$3&amp;"",PQ_Aug!$B$1:$AF$1&amp;"",0)),0)</f>
        <v>0</v>
      </c>
      <c r="AF46" s="151"/>
      <c r="AG46" s="150"/>
      <c r="AH46" s="150"/>
      <c r="AI46" s="150"/>
      <c r="AJ46" s="150"/>
      <c r="AK46" s="151"/>
      <c r="AL46" s="150"/>
      <c r="AM46" s="152">
        <v>2</v>
      </c>
      <c r="AN46" s="150">
        <f t="shared" si="4"/>
        <v>6</v>
      </c>
      <c r="AO46" s="153">
        <f t="shared" si="1"/>
        <v>75</v>
      </c>
      <c r="AP46" s="167">
        <v>20</v>
      </c>
      <c r="AQ46" s="171" t="s">
        <v>79</v>
      </c>
      <c r="AR46" s="172">
        <v>46242</v>
      </c>
      <c r="AS46" s="173">
        <v>1</v>
      </c>
      <c r="AT46" s="172"/>
      <c r="AU46" s="173"/>
      <c r="AV46" s="161">
        <v>46253</v>
      </c>
      <c r="AW46" s="174"/>
      <c r="AX46" s="153">
        <f t="shared" si="5"/>
        <v>50</v>
      </c>
      <c r="AY46" s="153">
        <f t="shared" si="6"/>
        <v>0</v>
      </c>
      <c r="AZ46" s="153">
        <f t="shared" si="2"/>
        <v>50</v>
      </c>
      <c r="BA46" s="153">
        <f t="shared" si="3"/>
        <v>75</v>
      </c>
      <c r="BB46" s="160"/>
      <c r="BC46" s="30"/>
      <c r="BD46" s="30"/>
      <c r="BE46" s="30"/>
      <c r="BF46" s="30"/>
    </row>
    <row r="47" spans="1:58" ht="22.5" customHeight="1">
      <c r="A47" s="242" t="e">
        <f t="shared" si="7"/>
        <v>#REF!</v>
      </c>
      <c r="B47" s="243"/>
      <c r="C47" s="134" t="s">
        <v>490</v>
      </c>
      <c r="D47" s="148">
        <v>50</v>
      </c>
      <c r="E47" s="148"/>
      <c r="F47" s="148"/>
      <c r="G47" s="149" t="e">
        <f>Juli2026!AO47</f>
        <v>#REF!</v>
      </c>
      <c r="H47" s="150" cm="1">
        <f t="array" ref="H47">IFERROR(INDEX(PQ_Aug!$B$2:$AF$1079,MATCH($C47,PQ_Aug!$A$2:$A$1079,0),MATCH(H$3&amp;"",PQ_Aug!$B$1:$AF$1&amp;"",0)),0)</f>
        <v>0</v>
      </c>
      <c r="I47" s="151"/>
      <c r="J47" s="150" cm="1">
        <f t="array" ref="J47">IFERROR(INDEX(PQ_Aug!$B$2:$AF$1079,MATCH($C47,PQ_Aug!$A$2:$A$1079,0),MATCH(J$3&amp;"",PQ_Aug!$B$1:$AF$1&amp;"",0)),0)</f>
        <v>0</v>
      </c>
      <c r="K47" s="150" cm="1">
        <f t="array" ref="K47">IFERROR(INDEX(PQ_Aug!$B$2:$AF$1079,MATCH($C47,PQ_Aug!$A$2:$A$1079,0),MATCH(K$3&amp;"",PQ_Aug!$B$1:$AF$1&amp;"",0)),0)</f>
        <v>1</v>
      </c>
      <c r="L47" s="150" cm="1">
        <f t="array" ref="L47">IFERROR(INDEX(PQ_Aug!$B$2:$AF$1079,MATCH($C47,PQ_Aug!$A$2:$A$1079,0),MATCH(L$3&amp;"",PQ_Aug!$B$1:$AF$1&amp;"",0)),0)</f>
        <v>0</v>
      </c>
      <c r="M47" s="150" cm="1">
        <f t="array" ref="M47">IFERROR(INDEX(PQ_Aug!$B$2:$AF$1079,MATCH($C47,PQ_Aug!$A$2:$A$1079,0),MATCH(M$3&amp;"",PQ_Aug!$B$1:$AF$1&amp;"",0)),0)</f>
        <v>0</v>
      </c>
      <c r="N47" s="150" cm="1">
        <f t="array" ref="N47">IFERROR(INDEX(PQ_Aug!$B$2:$AF$1079,MATCH($C47,PQ_Aug!$A$2:$A$1079,0),MATCH(N$3&amp;"",PQ_Aug!$B$1:$AF$1&amp;"",0)),0)</f>
        <v>0</v>
      </c>
      <c r="O47" s="150" cm="1">
        <f t="array" ref="O47">IFERROR(INDEX(PQ_Aug!$B$2:$AF$1079,MATCH($C47,PQ_Aug!$A$2:$A$1079,0),MATCH(O$3&amp;"",PQ_Aug!$B$1:$AF$1&amp;"",0)),0)</f>
        <v>0</v>
      </c>
      <c r="P47" s="151"/>
      <c r="Q47" s="150" cm="1">
        <f t="array" ref="Q47">IFERROR(INDEX(PQ_Aug!$B$2:$AF$1079,MATCH($C47,PQ_Aug!$A$2:$A$1079,0),MATCH(Q$3&amp;"",PQ_Aug!$B$1:$AF$1&amp;"",0)),0)</f>
        <v>0</v>
      </c>
      <c r="R47" s="150" cm="1">
        <f t="array" ref="R47">IFERROR(INDEX(PQ_Aug!$B$2:$AF$1079,MATCH($C47,PQ_Aug!$A$2:$A$1079,0),MATCH(R$3&amp;"",PQ_Aug!$B$1:$AF$1&amp;"",0)),0)</f>
        <v>0</v>
      </c>
      <c r="S47" s="150" cm="1">
        <f t="array" ref="S47">IFERROR(INDEX(PQ_Aug!$B$2:$AF$1079,MATCH($C47,PQ_Aug!$A$2:$A$1079,0),MATCH(S$3&amp;"",PQ_Aug!$B$1:$AF$1&amp;"",0)),0)</f>
        <v>0</v>
      </c>
      <c r="T47" s="150" cm="1">
        <f t="array" ref="T47">IFERROR(INDEX(PQ_Aug!$B$2:$AF$1079,MATCH($C47,PQ_Aug!$A$2:$A$1079,0),MATCH(T$3&amp;"",PQ_Aug!$B$1:$AF$1&amp;"",0)),0)</f>
        <v>0</v>
      </c>
      <c r="U47" s="150" cm="1">
        <f t="array" ref="U47">IFERROR(INDEX(PQ_Aug!$B$2:$AF$1079,MATCH($C47,PQ_Aug!$A$2:$A$1079,0),MATCH(U$3&amp;"",PQ_Aug!$B$1:$AF$1&amp;"",0)),0)</f>
        <v>0</v>
      </c>
      <c r="V47" s="150" cm="1">
        <f t="array" ref="V47">IFERROR(INDEX(PQ_Aug!$B$2:$AF$1079,MATCH($C47,PQ_Aug!$A$2:$A$1079,0),MATCH(V$3&amp;"",PQ_Aug!$B$1:$AF$1&amp;"",0)),0)</f>
        <v>0</v>
      </c>
      <c r="W47" s="151"/>
      <c r="X47" s="151"/>
      <c r="Y47" s="150" cm="1">
        <f t="array" ref="Y47">IFERROR(INDEX(PQ_Aug!$B$2:$AF$1079,MATCH($C47,PQ_Aug!$A$2:$A$1079,0),MATCH(Y$3&amp;"",PQ_Aug!$B$1:$AF$1&amp;"",0)),0)</f>
        <v>0</v>
      </c>
      <c r="Z47" s="150" cm="1">
        <f t="array" ref="Z47">IFERROR(INDEX(PQ_Aug!$B$2:$AF$1079,MATCH($C47,PQ_Aug!$A$2:$A$1079,0),MATCH(Z$3&amp;"",PQ_Aug!$B$1:$AF$1&amp;"",0)),0)</f>
        <v>0</v>
      </c>
      <c r="AA47" s="150" cm="1">
        <f t="array" ref="AA47">IFERROR(INDEX(PQ_Aug!$B$2:$AF$1079,MATCH($C47,PQ_Aug!$A$2:$A$1079,0),MATCH(AA$3&amp;"",PQ_Aug!$B$1:$AF$1&amp;"",0)),0)</f>
        <v>0</v>
      </c>
      <c r="AB47" s="150" cm="1">
        <f t="array" ref="AB47">IFERROR(INDEX(PQ_Aug!$B$2:$AF$1079,MATCH($C47,PQ_Aug!$A$2:$A$1079,0),MATCH(AB$3&amp;"",PQ_Aug!$B$1:$AF$1&amp;"",0)),0)</f>
        <v>0</v>
      </c>
      <c r="AC47" s="150" cm="1">
        <f t="array" ref="AC47">IFERROR(INDEX(PQ_Aug!$B$2:$AF$1079,MATCH($C47,PQ_Aug!$A$2:$A$1079,0),MATCH(AC$3&amp;"",PQ_Aug!$B$1:$AF$1&amp;"",0)),0)</f>
        <v>0</v>
      </c>
      <c r="AD47" s="151"/>
      <c r="AE47" s="150" cm="1">
        <f t="array" ref="AE47">IFERROR(INDEX(PQ_Aug!$B$2:$AF$1079,MATCH($C47,PQ_Aug!$A$2:$A$1079,0),MATCH(AE$3&amp;"",PQ_Aug!$B$1:$AF$1&amp;"",0)),0)</f>
        <v>0</v>
      </c>
      <c r="AF47" s="151"/>
      <c r="AG47" s="150"/>
      <c r="AH47" s="150"/>
      <c r="AI47" s="150"/>
      <c r="AJ47" s="150"/>
      <c r="AK47" s="151"/>
      <c r="AL47" s="150"/>
      <c r="AM47" s="152">
        <v>2</v>
      </c>
      <c r="AN47" s="150">
        <f t="shared" si="4"/>
        <v>3</v>
      </c>
      <c r="AO47" s="153" t="e">
        <f t="shared" si="1"/>
        <v>#REF!</v>
      </c>
      <c r="AP47" s="167">
        <v>20</v>
      </c>
      <c r="AQ47" s="171" t="s">
        <v>79</v>
      </c>
      <c r="AR47" s="172">
        <v>46242</v>
      </c>
      <c r="AS47" s="173">
        <v>1</v>
      </c>
      <c r="AT47" s="172"/>
      <c r="AU47" s="173"/>
      <c r="AV47" s="161">
        <v>46253</v>
      </c>
      <c r="AW47" s="174"/>
      <c r="AX47" s="153">
        <f t="shared" si="5"/>
        <v>50</v>
      </c>
      <c r="AY47" s="153">
        <f t="shared" si="6"/>
        <v>0</v>
      </c>
      <c r="AZ47" s="153">
        <f t="shared" si="2"/>
        <v>50</v>
      </c>
      <c r="BA47" s="153" t="e">
        <f t="shared" si="3"/>
        <v>#REF!</v>
      </c>
      <c r="BB47" s="160"/>
      <c r="BC47" s="30"/>
      <c r="BD47" s="30"/>
      <c r="BE47" s="30"/>
      <c r="BF47" s="30"/>
    </row>
    <row r="48" spans="1:58" ht="22.5" customHeight="1">
      <c r="A48" s="233" t="e">
        <f t="shared" si="7"/>
        <v>#REF!</v>
      </c>
      <c r="B48" s="234"/>
      <c r="C48" s="134" t="s">
        <v>491</v>
      </c>
      <c r="D48" s="148">
        <v>50</v>
      </c>
      <c r="E48" s="148"/>
      <c r="F48" s="148"/>
      <c r="G48" s="149" t="e">
        <f>Juli2026!AO48</f>
        <v>#REF!</v>
      </c>
      <c r="H48" s="150" cm="1">
        <f t="array" ref="H48">IFERROR(INDEX(PQ_Aug!$B$2:$AF$1079,MATCH($C48,PQ_Aug!$A$2:$A$1079,0),MATCH(H$3&amp;"",PQ_Aug!$B$1:$AF$1&amp;"",0)),0)</f>
        <v>0</v>
      </c>
      <c r="I48" s="151"/>
      <c r="J48" s="150" cm="1">
        <f t="array" ref="J48">IFERROR(INDEX(PQ_Aug!$B$2:$AF$1079,MATCH($C48,PQ_Aug!$A$2:$A$1079,0),MATCH(J$3&amp;"",PQ_Aug!$B$1:$AF$1&amp;"",0)),0)</f>
        <v>0</v>
      </c>
      <c r="K48" s="150" cm="1">
        <f t="array" ref="K48">IFERROR(INDEX(PQ_Aug!$B$2:$AF$1079,MATCH($C48,PQ_Aug!$A$2:$A$1079,0),MATCH(K$3&amp;"",PQ_Aug!$B$1:$AF$1&amp;"",0)),0)</f>
        <v>0</v>
      </c>
      <c r="L48" s="150" cm="1">
        <f t="array" ref="L48">IFERROR(INDEX(PQ_Aug!$B$2:$AF$1079,MATCH($C48,PQ_Aug!$A$2:$A$1079,0),MATCH(L$3&amp;"",PQ_Aug!$B$1:$AF$1&amp;"",0)),0)</f>
        <v>0</v>
      </c>
      <c r="M48" s="150" cm="1">
        <f t="array" ref="M48">IFERROR(INDEX(PQ_Aug!$B$2:$AF$1079,MATCH($C48,PQ_Aug!$A$2:$A$1079,0),MATCH(M$3&amp;"",PQ_Aug!$B$1:$AF$1&amp;"",0)),0)</f>
        <v>1</v>
      </c>
      <c r="N48" s="150" cm="1">
        <f t="array" ref="N48">IFERROR(INDEX(PQ_Aug!$B$2:$AF$1079,MATCH($C48,PQ_Aug!$A$2:$A$1079,0),MATCH(N$3&amp;"",PQ_Aug!$B$1:$AF$1&amp;"",0)),0)</f>
        <v>0</v>
      </c>
      <c r="O48" s="150" cm="1">
        <f t="array" ref="O48">IFERROR(INDEX(PQ_Aug!$B$2:$AF$1079,MATCH($C48,PQ_Aug!$A$2:$A$1079,0),MATCH(O$3&amp;"",PQ_Aug!$B$1:$AF$1&amp;"",0)),0)</f>
        <v>1</v>
      </c>
      <c r="P48" s="151"/>
      <c r="Q48" s="150" cm="1">
        <f t="array" ref="Q48">IFERROR(INDEX(PQ_Aug!$B$2:$AF$1079,MATCH($C48,PQ_Aug!$A$2:$A$1079,0),MATCH(Q$3&amp;"",PQ_Aug!$B$1:$AF$1&amp;"",0)),0)</f>
        <v>0</v>
      </c>
      <c r="R48" s="150" cm="1">
        <f t="array" ref="R48">IFERROR(INDEX(PQ_Aug!$B$2:$AF$1079,MATCH($C48,PQ_Aug!$A$2:$A$1079,0),MATCH(R$3&amp;"",PQ_Aug!$B$1:$AF$1&amp;"",0)),0)</f>
        <v>0</v>
      </c>
      <c r="S48" s="150" cm="1">
        <f t="array" ref="S48">IFERROR(INDEX(PQ_Aug!$B$2:$AF$1079,MATCH($C48,PQ_Aug!$A$2:$A$1079,0),MATCH(S$3&amp;"",PQ_Aug!$B$1:$AF$1&amp;"",0)),0)</f>
        <v>1</v>
      </c>
      <c r="T48" s="150" cm="1">
        <f t="array" ref="T48">IFERROR(INDEX(PQ_Aug!$B$2:$AF$1079,MATCH($C48,PQ_Aug!$A$2:$A$1079,0),MATCH(T$3&amp;"",PQ_Aug!$B$1:$AF$1&amp;"",0)),0)</f>
        <v>0</v>
      </c>
      <c r="U48" s="150" cm="1">
        <f t="array" ref="U48">IFERROR(INDEX(PQ_Aug!$B$2:$AF$1079,MATCH($C48,PQ_Aug!$A$2:$A$1079,0),MATCH(U$3&amp;"",PQ_Aug!$B$1:$AF$1&amp;"",0)),0)</f>
        <v>1</v>
      </c>
      <c r="V48" s="150" cm="1">
        <f t="array" ref="V48">IFERROR(INDEX(PQ_Aug!$B$2:$AF$1079,MATCH($C48,PQ_Aug!$A$2:$A$1079,0),MATCH(V$3&amp;"",PQ_Aug!$B$1:$AF$1&amp;"",0)),0)</f>
        <v>0</v>
      </c>
      <c r="W48" s="151"/>
      <c r="X48" s="151"/>
      <c r="Y48" s="150" cm="1">
        <f t="array" ref="Y48">IFERROR(INDEX(PQ_Aug!$B$2:$AF$1079,MATCH($C48,PQ_Aug!$A$2:$A$1079,0),MATCH(Y$3&amp;"",PQ_Aug!$B$1:$AF$1&amp;"",0)),0)</f>
        <v>0</v>
      </c>
      <c r="Z48" s="150" cm="1">
        <f t="array" ref="Z48">IFERROR(INDEX(PQ_Aug!$B$2:$AF$1079,MATCH($C48,PQ_Aug!$A$2:$A$1079,0),MATCH(Z$3&amp;"",PQ_Aug!$B$1:$AF$1&amp;"",0)),0)</f>
        <v>0</v>
      </c>
      <c r="AA48" s="150" cm="1">
        <f t="array" ref="AA48">IFERROR(INDEX(PQ_Aug!$B$2:$AF$1079,MATCH($C48,PQ_Aug!$A$2:$A$1079,0),MATCH(AA$3&amp;"",PQ_Aug!$B$1:$AF$1&amp;"",0)),0)</f>
        <v>0</v>
      </c>
      <c r="AB48" s="150" cm="1">
        <f t="array" ref="AB48">IFERROR(INDEX(PQ_Aug!$B$2:$AF$1079,MATCH($C48,PQ_Aug!$A$2:$A$1079,0),MATCH(AB$3&amp;"",PQ_Aug!$B$1:$AF$1&amp;"",0)),0)</f>
        <v>0</v>
      </c>
      <c r="AC48" s="150" cm="1">
        <f t="array" ref="AC48">IFERROR(INDEX(PQ_Aug!$B$2:$AF$1079,MATCH($C48,PQ_Aug!$A$2:$A$1079,0),MATCH(AC$3&amp;"",PQ_Aug!$B$1:$AF$1&amp;"",0)),0)</f>
        <v>0</v>
      </c>
      <c r="AD48" s="151"/>
      <c r="AE48" s="150" cm="1">
        <f t="array" ref="AE48">IFERROR(INDEX(PQ_Aug!$B$2:$AF$1079,MATCH($C48,PQ_Aug!$A$2:$A$1079,0),MATCH(AE$3&amp;"",PQ_Aug!$B$1:$AF$1&amp;"",0)),0)</f>
        <v>0</v>
      </c>
      <c r="AF48" s="151"/>
      <c r="AG48" s="150"/>
      <c r="AH48" s="150"/>
      <c r="AI48" s="150"/>
      <c r="AJ48" s="150"/>
      <c r="AK48" s="151"/>
      <c r="AL48" s="150"/>
      <c r="AM48" s="152">
        <v>6</v>
      </c>
      <c r="AN48" s="150">
        <f t="shared" si="4"/>
        <v>10</v>
      </c>
      <c r="AO48" s="153" t="e">
        <f t="shared" si="1"/>
        <v>#REF!</v>
      </c>
      <c r="AP48" s="167">
        <v>20</v>
      </c>
      <c r="AQ48" s="171" t="s">
        <v>79</v>
      </c>
      <c r="AR48" s="172"/>
      <c r="AS48" s="173"/>
      <c r="AT48" s="172"/>
      <c r="AU48" s="173"/>
      <c r="AV48" s="172"/>
      <c r="AW48" s="174"/>
      <c r="AX48" s="153">
        <f t="shared" si="5"/>
        <v>0</v>
      </c>
      <c r="AY48" s="153">
        <f t="shared" si="6"/>
        <v>0</v>
      </c>
      <c r="AZ48" s="153">
        <f t="shared" si="2"/>
        <v>0</v>
      </c>
      <c r="BA48" s="153" t="e">
        <f t="shared" si="3"/>
        <v>#REF!</v>
      </c>
      <c r="BB48" s="160"/>
      <c r="BC48" s="30"/>
      <c r="BD48" s="30"/>
      <c r="BE48" s="30"/>
      <c r="BF48" s="30"/>
    </row>
    <row r="49" spans="1:58" ht="22.5" customHeight="1">
      <c r="A49" s="233">
        <f t="shared" si="7"/>
        <v>397</v>
      </c>
      <c r="B49" s="234"/>
      <c r="C49" s="135" t="s">
        <v>30</v>
      </c>
      <c r="D49" s="75">
        <v>640</v>
      </c>
      <c r="E49" s="148">
        <v>20</v>
      </c>
      <c r="F49" s="148">
        <v>47</v>
      </c>
      <c r="G49" s="149">
        <f>Juli2026!AO49</f>
        <v>479</v>
      </c>
      <c r="H49" s="150" cm="1">
        <f t="array" ref="H49">IFERROR(INDEX(PQ_Aug!$B$2:$AF$1079,MATCH($C49,PQ_Aug!$A$2:$A$1079,0),MATCH(H$3&amp;"",PQ_Aug!$B$1:$AF$1&amp;"",0)),0)</f>
        <v>2</v>
      </c>
      <c r="I49" s="151"/>
      <c r="J49" s="150" cm="1">
        <f t="array" ref="J49">IFERROR(INDEX(PQ_Aug!$B$2:$AF$1079,MATCH($C49,PQ_Aug!$A$2:$A$1079,0),MATCH(J$3&amp;"",PQ_Aug!$B$1:$AF$1&amp;"",0)),0)</f>
        <v>1</v>
      </c>
      <c r="K49" s="150" cm="1">
        <f t="array" ref="K49">IFERROR(INDEX(PQ_Aug!$B$2:$AF$1079,MATCH($C49,PQ_Aug!$A$2:$A$1079,0),MATCH(K$3&amp;"",PQ_Aug!$B$1:$AF$1&amp;"",0)),0)</f>
        <v>3</v>
      </c>
      <c r="L49" s="150" cm="1">
        <f t="array" ref="L49">IFERROR(INDEX(PQ_Aug!$B$2:$AF$1079,MATCH($C49,PQ_Aug!$A$2:$A$1079,0),MATCH(L$3&amp;"",PQ_Aug!$B$1:$AF$1&amp;"",0)),0)</f>
        <v>18</v>
      </c>
      <c r="M49" s="150" cm="1">
        <f t="array" ref="M49">IFERROR(INDEX(PQ_Aug!$B$2:$AF$1079,MATCH($C49,PQ_Aug!$A$2:$A$1079,0),MATCH(M$3&amp;"",PQ_Aug!$B$1:$AF$1&amp;"",0)),0)</f>
        <v>1</v>
      </c>
      <c r="N49" s="150" cm="1">
        <f t="array" ref="N49">IFERROR(INDEX(PQ_Aug!$B$2:$AF$1079,MATCH($C49,PQ_Aug!$A$2:$A$1079,0),MATCH(N$3&amp;"",PQ_Aug!$B$1:$AF$1&amp;"",0)),0)</f>
        <v>1</v>
      </c>
      <c r="O49" s="150" cm="1">
        <f t="array" ref="O49">IFERROR(INDEX(PQ_Aug!$B$2:$AF$1079,MATCH($C49,PQ_Aug!$A$2:$A$1079,0),MATCH(O$3&amp;"",PQ_Aug!$B$1:$AF$1&amp;"",0)),0)</f>
        <v>2</v>
      </c>
      <c r="P49" s="151"/>
      <c r="Q49" s="150" cm="1">
        <f t="array" ref="Q49">IFERROR(INDEX(PQ_Aug!$B$2:$AF$1079,MATCH($C49,PQ_Aug!$A$2:$A$1079,0),MATCH(Q$3&amp;"",PQ_Aug!$B$1:$AF$1&amp;"",0)),0)</f>
        <v>1</v>
      </c>
      <c r="R49" s="150" cm="1">
        <f t="array" ref="R49">IFERROR(INDEX(PQ_Aug!$B$2:$AF$1079,MATCH($C49,PQ_Aug!$A$2:$A$1079,0),MATCH(R$3&amp;"",PQ_Aug!$B$1:$AF$1&amp;"",0)),0)</f>
        <v>3</v>
      </c>
      <c r="S49" s="150" cm="1">
        <f t="array" ref="S49">IFERROR(INDEX(PQ_Aug!$B$2:$AF$1079,MATCH($C49,PQ_Aug!$A$2:$A$1079,0),MATCH(S$3&amp;"",PQ_Aug!$B$1:$AF$1&amp;"",0)),0)</f>
        <v>1</v>
      </c>
      <c r="T49" s="150" cm="1">
        <f t="array" ref="T49">IFERROR(INDEX(PQ_Aug!$B$2:$AF$1079,MATCH($C49,PQ_Aug!$A$2:$A$1079,0),MATCH(T$3&amp;"",PQ_Aug!$B$1:$AF$1&amp;"",0)),0)</f>
        <v>0</v>
      </c>
      <c r="U49" s="150" cm="1">
        <f t="array" ref="U49">IFERROR(INDEX(PQ_Aug!$B$2:$AF$1079,MATCH($C49,PQ_Aug!$A$2:$A$1079,0),MATCH(U$3&amp;"",PQ_Aug!$B$1:$AF$1&amp;"",0)),0)</f>
        <v>1</v>
      </c>
      <c r="V49" s="150" cm="1">
        <f t="array" ref="V49">IFERROR(INDEX(PQ_Aug!$B$2:$AF$1079,MATCH($C49,PQ_Aug!$A$2:$A$1079,0),MATCH(V$3&amp;"",PQ_Aug!$B$1:$AF$1&amp;"",0)),0)</f>
        <v>0</v>
      </c>
      <c r="W49" s="151"/>
      <c r="X49" s="151"/>
      <c r="Y49" s="150" cm="1">
        <f t="array" ref="Y49">IFERROR(INDEX(PQ_Aug!$B$2:$AF$1079,MATCH($C49,PQ_Aug!$A$2:$A$1079,0),MATCH(Y$3&amp;"",PQ_Aug!$B$1:$AF$1&amp;"",0)),0)</f>
        <v>5</v>
      </c>
      <c r="Z49" s="150" cm="1">
        <f t="array" ref="Z49">IFERROR(INDEX(PQ_Aug!$B$2:$AF$1079,MATCH($C49,PQ_Aug!$A$2:$A$1079,0),MATCH(Z$3&amp;"",PQ_Aug!$B$1:$AF$1&amp;"",0)),0)</f>
        <v>2</v>
      </c>
      <c r="AA49" s="150" cm="1">
        <f t="array" ref="AA49">IFERROR(INDEX(PQ_Aug!$B$2:$AF$1079,MATCH($C49,PQ_Aug!$A$2:$A$1079,0),MATCH(AA$3&amp;"",PQ_Aug!$B$1:$AF$1&amp;"",0)),0)</f>
        <v>2</v>
      </c>
      <c r="AB49" s="150" cm="1">
        <f t="array" ref="AB49">IFERROR(INDEX(PQ_Aug!$B$2:$AF$1079,MATCH($C49,PQ_Aug!$A$2:$A$1079,0),MATCH(AB$3&amp;"",PQ_Aug!$B$1:$AF$1&amp;"",0)),0)</f>
        <v>0</v>
      </c>
      <c r="AC49" s="150" cm="1">
        <f t="array" ref="AC49">IFERROR(INDEX(PQ_Aug!$B$2:$AF$1079,MATCH($C49,PQ_Aug!$A$2:$A$1079,0),MATCH(AC$3&amp;"",PQ_Aug!$B$1:$AF$1&amp;"",0)),0)</f>
        <v>1</v>
      </c>
      <c r="AD49" s="151"/>
      <c r="AE49" s="150" cm="1">
        <f t="array" ref="AE49">IFERROR(INDEX(PQ_Aug!$B$2:$AF$1079,MATCH($C49,PQ_Aug!$A$2:$A$1079,0),MATCH(AE$3&amp;"",PQ_Aug!$B$1:$AF$1&amp;"",0)),0)</f>
        <v>6</v>
      </c>
      <c r="AF49" s="151"/>
      <c r="AG49" s="150"/>
      <c r="AH49" s="150"/>
      <c r="AI49" s="150"/>
      <c r="AJ49" s="150"/>
      <c r="AK49" s="151"/>
      <c r="AL49" s="150"/>
      <c r="AM49" s="152">
        <v>32</v>
      </c>
      <c r="AN49" s="150">
        <f t="shared" si="4"/>
        <v>82</v>
      </c>
      <c r="AO49" s="153">
        <f t="shared" si="1"/>
        <v>397</v>
      </c>
      <c r="AP49" s="23">
        <v>320</v>
      </c>
      <c r="AQ49" s="210" t="s">
        <v>79</v>
      </c>
      <c r="AR49" s="172"/>
      <c r="AS49" s="173"/>
      <c r="AT49" s="172"/>
      <c r="AU49" s="173"/>
      <c r="AV49" s="172"/>
      <c r="AW49" s="174"/>
      <c r="AX49" s="153">
        <f t="shared" si="5"/>
        <v>0</v>
      </c>
      <c r="AY49" s="153">
        <f t="shared" si="6"/>
        <v>0</v>
      </c>
      <c r="AZ49" s="153">
        <f t="shared" si="2"/>
        <v>0</v>
      </c>
      <c r="BA49" s="153">
        <f t="shared" si="3"/>
        <v>397</v>
      </c>
      <c r="BB49" s="160"/>
      <c r="BC49" s="30"/>
      <c r="BD49" s="30"/>
      <c r="BE49" s="30"/>
      <c r="BF49" s="30"/>
    </row>
    <row r="50" spans="1:58" ht="22.5" customHeight="1">
      <c r="A50" s="242">
        <f t="shared" si="7"/>
        <v>11</v>
      </c>
      <c r="B50" s="243"/>
      <c r="C50" s="135" t="s">
        <v>32</v>
      </c>
      <c r="D50" s="75">
        <v>390</v>
      </c>
      <c r="E50" s="148">
        <v>139</v>
      </c>
      <c r="F50" s="180">
        <v>259</v>
      </c>
      <c r="G50" s="149">
        <f>Juli2026!AO50</f>
        <v>330</v>
      </c>
      <c r="H50" s="150" cm="1">
        <f t="array" ref="H50">IFERROR(INDEX(PQ_Aug!$B$2:$AF$1079,MATCH($C50,PQ_Aug!$A$2:$A$1079,0),MATCH(H$3&amp;"",PQ_Aug!$B$1:$AF$1&amp;"",0)),0)</f>
        <v>9</v>
      </c>
      <c r="I50" s="151"/>
      <c r="J50" s="150" cm="1">
        <f t="array" ref="J50">IFERROR(INDEX(PQ_Aug!$B$2:$AF$1079,MATCH($C50,PQ_Aug!$A$2:$A$1079,0),MATCH(J$3&amp;"",PQ_Aug!$B$1:$AF$1&amp;"",0)),0)</f>
        <v>14</v>
      </c>
      <c r="K50" s="150" cm="1">
        <f t="array" ref="K50">IFERROR(INDEX(PQ_Aug!$B$2:$AF$1079,MATCH($C50,PQ_Aug!$A$2:$A$1079,0),MATCH(K$3&amp;"",PQ_Aug!$B$1:$AF$1&amp;"",0)),0)</f>
        <v>87</v>
      </c>
      <c r="L50" s="150" cm="1">
        <f t="array" ref="L50">IFERROR(INDEX(PQ_Aug!$B$2:$AF$1079,MATCH($C50,PQ_Aug!$A$2:$A$1079,0),MATCH(L$3&amp;"",PQ_Aug!$B$1:$AF$1&amp;"",0)),0)</f>
        <v>17</v>
      </c>
      <c r="M50" s="150" cm="1">
        <f t="array" ref="M50">IFERROR(INDEX(PQ_Aug!$B$2:$AF$1079,MATCH($C50,PQ_Aug!$A$2:$A$1079,0),MATCH(M$3&amp;"",PQ_Aug!$B$1:$AF$1&amp;"",0)),0)</f>
        <v>16</v>
      </c>
      <c r="N50" s="150" cm="1">
        <f t="array" ref="N50">IFERROR(INDEX(PQ_Aug!$B$2:$AF$1079,MATCH($C50,PQ_Aug!$A$2:$A$1079,0),MATCH(N$3&amp;"",PQ_Aug!$B$1:$AF$1&amp;"",0)),0)</f>
        <v>5</v>
      </c>
      <c r="O50" s="150" cm="1">
        <f t="array" ref="O50">IFERROR(INDEX(PQ_Aug!$B$2:$AF$1079,MATCH($C50,PQ_Aug!$A$2:$A$1079,0),MATCH(O$3&amp;"",PQ_Aug!$B$1:$AF$1&amp;"",0)),0)</f>
        <v>2</v>
      </c>
      <c r="P50" s="151"/>
      <c r="Q50" s="150" cm="1">
        <f t="array" ref="Q50">IFERROR(INDEX(PQ_Aug!$B$2:$AF$1079,MATCH($C50,PQ_Aug!$A$2:$A$1079,0),MATCH(Q$3&amp;"",PQ_Aug!$B$1:$AF$1&amp;"",0)),0)</f>
        <v>8</v>
      </c>
      <c r="R50" s="150" cm="1">
        <f t="array" ref="R50">IFERROR(INDEX(PQ_Aug!$B$2:$AF$1079,MATCH($C50,PQ_Aug!$A$2:$A$1079,0),MATCH(R$3&amp;"",PQ_Aug!$B$1:$AF$1&amp;"",0)),0)</f>
        <v>24</v>
      </c>
      <c r="S50" s="150" cm="1">
        <f t="array" ref="S50">IFERROR(INDEX(PQ_Aug!$B$2:$AF$1079,MATCH($C50,PQ_Aug!$A$2:$A$1079,0),MATCH(S$3&amp;"",PQ_Aug!$B$1:$AF$1&amp;"",0)),0)</f>
        <v>15</v>
      </c>
      <c r="T50" s="150" cm="1">
        <f t="array" ref="T50">IFERROR(INDEX(PQ_Aug!$B$2:$AF$1079,MATCH($C50,PQ_Aug!$A$2:$A$1079,0),MATCH(T$3&amp;"",PQ_Aug!$B$1:$AF$1&amp;"",0)),0)</f>
        <v>1</v>
      </c>
      <c r="U50" s="150" cm="1">
        <f t="array" ref="U50">IFERROR(INDEX(PQ_Aug!$B$2:$AF$1079,MATCH($C50,PQ_Aug!$A$2:$A$1079,0),MATCH(U$3&amp;"",PQ_Aug!$B$1:$AF$1&amp;"",0)),0)</f>
        <v>7</v>
      </c>
      <c r="V50" s="150" cm="1">
        <f t="array" ref="V50">IFERROR(INDEX(PQ_Aug!$B$2:$AF$1079,MATCH($C50,PQ_Aug!$A$2:$A$1079,0),MATCH(V$3&amp;"",PQ_Aug!$B$1:$AF$1&amp;"",0)),0)</f>
        <v>0</v>
      </c>
      <c r="W50" s="151"/>
      <c r="X50" s="151"/>
      <c r="Y50" s="150" cm="1">
        <f t="array" ref="Y50">IFERROR(INDEX(PQ_Aug!$B$2:$AF$1079,MATCH($C50,PQ_Aug!$A$2:$A$1079,0),MATCH(Y$3&amp;"",PQ_Aug!$B$1:$AF$1&amp;"",0)),0)</f>
        <v>16</v>
      </c>
      <c r="Z50" s="150" cm="1">
        <f t="array" ref="Z50">IFERROR(INDEX(PQ_Aug!$B$2:$AF$1079,MATCH($C50,PQ_Aug!$A$2:$A$1079,0),MATCH(Z$3&amp;"",PQ_Aug!$B$1:$AF$1&amp;"",0)),0)</f>
        <v>13</v>
      </c>
      <c r="AA50" s="150" cm="1">
        <f t="array" ref="AA50">IFERROR(INDEX(PQ_Aug!$B$2:$AF$1079,MATCH($C50,PQ_Aug!$A$2:$A$1079,0),MATCH(AA$3&amp;"",PQ_Aug!$B$1:$AF$1&amp;"",0)),0)</f>
        <v>6</v>
      </c>
      <c r="AB50" s="150" cm="1">
        <f t="array" ref="AB50">IFERROR(INDEX(PQ_Aug!$B$2:$AF$1079,MATCH($C50,PQ_Aug!$A$2:$A$1079,0),MATCH(AB$3&amp;"",PQ_Aug!$B$1:$AF$1&amp;"",0)),0)</f>
        <v>18</v>
      </c>
      <c r="AC50" s="150" cm="1">
        <f t="array" ref="AC50">IFERROR(INDEX(PQ_Aug!$B$2:$AF$1079,MATCH($C50,PQ_Aug!$A$2:$A$1079,0),MATCH(AC$3&amp;"",PQ_Aug!$B$1:$AF$1&amp;"",0)),0)</f>
        <v>1</v>
      </c>
      <c r="AD50" s="151"/>
      <c r="AE50" s="150" cm="1">
        <f t="array" ref="AE50">IFERROR(INDEX(PQ_Aug!$B$2:$AF$1079,MATCH($C50,PQ_Aug!$A$2:$A$1079,0),MATCH(AE$3&amp;"",PQ_Aug!$B$1:$AF$1&amp;"",0)),0)</f>
        <v>24</v>
      </c>
      <c r="AF50" s="151"/>
      <c r="AG50" s="150"/>
      <c r="AH50" s="150"/>
      <c r="AI50" s="150"/>
      <c r="AJ50" s="150"/>
      <c r="AK50" s="151"/>
      <c r="AL50" s="150"/>
      <c r="AM50" s="152">
        <v>36</v>
      </c>
      <c r="AN50" s="150">
        <f t="shared" si="4"/>
        <v>319</v>
      </c>
      <c r="AO50" s="153">
        <f t="shared" si="1"/>
        <v>11</v>
      </c>
      <c r="AP50" s="24">
        <v>390</v>
      </c>
      <c r="AQ50" s="210" t="s">
        <v>79</v>
      </c>
      <c r="AR50" s="172">
        <v>46253</v>
      </c>
      <c r="AS50" s="173">
        <v>1</v>
      </c>
      <c r="AT50" s="172"/>
      <c r="AU50" s="173"/>
      <c r="AV50" s="212"/>
      <c r="AW50" s="174"/>
      <c r="AX50" s="153">
        <f t="shared" si="5"/>
        <v>0</v>
      </c>
      <c r="AY50" s="153">
        <f t="shared" si="6"/>
        <v>0</v>
      </c>
      <c r="AZ50" s="153">
        <f t="shared" si="2"/>
        <v>0</v>
      </c>
      <c r="BA50" s="153">
        <f t="shared" si="3"/>
        <v>11</v>
      </c>
      <c r="BB50" s="160"/>
      <c r="BC50" s="30"/>
      <c r="BD50" s="30"/>
      <c r="BE50" s="30"/>
      <c r="BF50" s="30"/>
    </row>
    <row r="51" spans="1:58" ht="22.5" customHeight="1">
      <c r="A51" s="233">
        <f t="shared" si="7"/>
        <v>1522</v>
      </c>
      <c r="B51" s="234"/>
      <c r="C51" s="135" t="s">
        <v>33</v>
      </c>
      <c r="D51" s="75">
        <v>1100</v>
      </c>
      <c r="E51" s="148">
        <v>232</v>
      </c>
      <c r="F51" s="148">
        <v>330</v>
      </c>
      <c r="G51" s="149">
        <f>Juli2026!AO51</f>
        <v>1813</v>
      </c>
      <c r="H51" s="150" cm="1">
        <f t="array" ref="H51">IFERROR(INDEX(PQ_Aug!$B$2:$AF$1079,MATCH($C51,PQ_Aug!$A$2:$A$1079,0),MATCH(H$3&amp;"",PQ_Aug!$B$1:$AF$1&amp;"",0)),0)</f>
        <v>13</v>
      </c>
      <c r="I51" s="151"/>
      <c r="J51" s="150" cm="1">
        <f t="array" ref="J51">IFERROR(INDEX(PQ_Aug!$B$2:$AF$1079,MATCH($C51,PQ_Aug!$A$2:$A$1079,0),MATCH(J$3&amp;"",PQ_Aug!$B$1:$AF$1&amp;"",0)),0)</f>
        <v>12</v>
      </c>
      <c r="K51" s="150" cm="1">
        <f t="array" ref="K51">IFERROR(INDEX(PQ_Aug!$B$2:$AF$1079,MATCH($C51,PQ_Aug!$A$2:$A$1079,0),MATCH(K$3&amp;"",PQ_Aug!$B$1:$AF$1&amp;"",0)),0)</f>
        <v>22</v>
      </c>
      <c r="L51" s="150" cm="1">
        <f t="array" ref="L51">IFERROR(INDEX(PQ_Aug!$B$2:$AF$1079,MATCH($C51,PQ_Aug!$A$2:$A$1079,0),MATCH(L$3&amp;"",PQ_Aug!$B$1:$AF$1&amp;"",0)),0)</f>
        <v>18</v>
      </c>
      <c r="M51" s="150" cm="1">
        <f t="array" ref="M51">IFERROR(INDEX(PQ_Aug!$B$2:$AF$1079,MATCH($C51,PQ_Aug!$A$2:$A$1079,0),MATCH(M$3&amp;"",PQ_Aug!$B$1:$AF$1&amp;"",0)),0)</f>
        <v>28</v>
      </c>
      <c r="N51" s="150" cm="1">
        <f t="array" ref="N51">IFERROR(INDEX(PQ_Aug!$B$2:$AF$1079,MATCH($C51,PQ_Aug!$A$2:$A$1079,0),MATCH(N$3&amp;"",PQ_Aug!$B$1:$AF$1&amp;"",0)),0)</f>
        <v>4</v>
      </c>
      <c r="O51" s="150" cm="1">
        <f t="array" ref="O51">IFERROR(INDEX(PQ_Aug!$B$2:$AF$1079,MATCH($C51,PQ_Aug!$A$2:$A$1079,0),MATCH(O$3&amp;"",PQ_Aug!$B$1:$AF$1&amp;"",0)),0)</f>
        <v>10</v>
      </c>
      <c r="P51" s="151"/>
      <c r="Q51" s="150" cm="1">
        <f t="array" ref="Q51">IFERROR(INDEX(PQ_Aug!$B$2:$AF$1079,MATCH($C51,PQ_Aug!$A$2:$A$1079,0),MATCH(Q$3&amp;"",PQ_Aug!$B$1:$AF$1&amp;"",0)),0)</f>
        <v>16</v>
      </c>
      <c r="R51" s="150" cm="1">
        <f t="array" ref="R51">IFERROR(INDEX(PQ_Aug!$B$2:$AF$1079,MATCH($C51,PQ_Aug!$A$2:$A$1079,0),MATCH(R$3&amp;"",PQ_Aug!$B$1:$AF$1&amp;"",0)),0)</f>
        <v>32</v>
      </c>
      <c r="S51" s="150" cm="1">
        <f t="array" ref="S51">IFERROR(INDEX(PQ_Aug!$B$2:$AF$1079,MATCH($C51,PQ_Aug!$A$2:$A$1079,0),MATCH(S$3&amp;"",PQ_Aug!$B$1:$AF$1&amp;"",0)),0)</f>
        <v>15</v>
      </c>
      <c r="T51" s="150" cm="1">
        <f t="array" ref="T51">IFERROR(INDEX(PQ_Aug!$B$2:$AF$1079,MATCH($C51,PQ_Aug!$A$2:$A$1079,0),MATCH(T$3&amp;"",PQ_Aug!$B$1:$AF$1&amp;"",0)),0)</f>
        <v>2</v>
      </c>
      <c r="U51" s="150" cm="1">
        <f t="array" ref="U51">IFERROR(INDEX(PQ_Aug!$B$2:$AF$1079,MATCH($C51,PQ_Aug!$A$2:$A$1079,0),MATCH(U$3&amp;"",PQ_Aug!$B$1:$AF$1&amp;"",0)),0)</f>
        <v>1</v>
      </c>
      <c r="V51" s="150" cm="1">
        <f t="array" ref="V51">IFERROR(INDEX(PQ_Aug!$B$2:$AF$1079,MATCH($C51,PQ_Aug!$A$2:$A$1079,0),MATCH(V$3&amp;"",PQ_Aug!$B$1:$AF$1&amp;"",0)),0)</f>
        <v>3</v>
      </c>
      <c r="W51" s="151"/>
      <c r="X51" s="151"/>
      <c r="Y51" s="150" cm="1">
        <f t="array" ref="Y51">IFERROR(INDEX(PQ_Aug!$B$2:$AF$1079,MATCH($C51,PQ_Aug!$A$2:$A$1079,0),MATCH(Y$3&amp;"",PQ_Aug!$B$1:$AF$1&amp;"",0)),0)</f>
        <v>15</v>
      </c>
      <c r="Z51" s="150" cm="1">
        <f t="array" ref="Z51">IFERROR(INDEX(PQ_Aug!$B$2:$AF$1079,MATCH($C51,PQ_Aug!$A$2:$A$1079,0),MATCH(Z$3&amp;"",PQ_Aug!$B$1:$AF$1&amp;"",0)),0)</f>
        <v>12</v>
      </c>
      <c r="AA51" s="150" cm="1">
        <f t="array" ref="AA51">IFERROR(INDEX(PQ_Aug!$B$2:$AF$1079,MATCH($C51,PQ_Aug!$A$2:$A$1079,0),MATCH(AA$3&amp;"",PQ_Aug!$B$1:$AF$1&amp;"",0)),0)</f>
        <v>5</v>
      </c>
      <c r="AB51" s="150" cm="1">
        <f t="array" ref="AB51">IFERROR(INDEX(PQ_Aug!$B$2:$AF$1079,MATCH($C51,PQ_Aug!$A$2:$A$1079,0),MATCH(AB$3&amp;"",PQ_Aug!$B$1:$AF$1&amp;"",0)),0)</f>
        <v>18</v>
      </c>
      <c r="AC51" s="150" cm="1">
        <f t="array" ref="AC51">IFERROR(INDEX(PQ_Aug!$B$2:$AF$1079,MATCH($C51,PQ_Aug!$A$2:$A$1079,0),MATCH(AC$3&amp;"",PQ_Aug!$B$1:$AF$1&amp;"",0)),0)</f>
        <v>1</v>
      </c>
      <c r="AD51" s="151"/>
      <c r="AE51" s="150" cm="1">
        <f t="array" ref="AE51">IFERROR(INDEX(PQ_Aug!$B$2:$AF$1079,MATCH($C51,PQ_Aug!$A$2:$A$1079,0),MATCH(AE$3&amp;"",PQ_Aug!$B$1:$AF$1&amp;"",0)),0)</f>
        <v>26</v>
      </c>
      <c r="AF51" s="151"/>
      <c r="AG51" s="150"/>
      <c r="AH51" s="150"/>
      <c r="AI51" s="150"/>
      <c r="AJ51" s="150"/>
      <c r="AK51" s="151"/>
      <c r="AL51" s="150"/>
      <c r="AM51" s="152">
        <v>38</v>
      </c>
      <c r="AN51" s="150">
        <f t="shared" si="4"/>
        <v>291</v>
      </c>
      <c r="AO51" s="153">
        <f t="shared" si="1"/>
        <v>1522</v>
      </c>
      <c r="AP51" s="23">
        <v>800</v>
      </c>
      <c r="AQ51" s="210" t="s">
        <v>79</v>
      </c>
      <c r="AR51" s="172"/>
      <c r="AS51" s="173"/>
      <c r="AT51" s="172"/>
      <c r="AU51" s="173"/>
      <c r="AV51" s="212"/>
      <c r="AW51" s="174"/>
      <c r="AX51" s="153">
        <f t="shared" si="5"/>
        <v>0</v>
      </c>
      <c r="AY51" s="153">
        <f t="shared" si="6"/>
        <v>0</v>
      </c>
      <c r="AZ51" s="153">
        <f t="shared" si="2"/>
        <v>0</v>
      </c>
      <c r="BA51" s="153">
        <f t="shared" si="3"/>
        <v>1522</v>
      </c>
      <c r="BB51" s="160"/>
      <c r="BC51" s="30"/>
      <c r="BD51" s="30"/>
      <c r="BE51" s="30"/>
      <c r="BF51" s="30"/>
    </row>
    <row r="52" spans="1:58" ht="22.5" customHeight="1">
      <c r="A52" s="233">
        <f t="shared" si="7"/>
        <v>1516</v>
      </c>
      <c r="B52" s="234"/>
      <c r="C52" s="135" t="s">
        <v>34</v>
      </c>
      <c r="D52" s="75">
        <v>1100</v>
      </c>
      <c r="E52" s="148">
        <v>231</v>
      </c>
      <c r="F52" s="148">
        <v>327</v>
      </c>
      <c r="G52" s="149">
        <f>Juli2026!AO52</f>
        <v>1807</v>
      </c>
      <c r="H52" s="150" cm="1">
        <f t="array" ref="H52">IFERROR(INDEX(PQ_Aug!$B$2:$AF$1079,MATCH($C52,PQ_Aug!$A$2:$A$1079,0),MATCH(H$3&amp;"",PQ_Aug!$B$1:$AF$1&amp;"",0)),0)</f>
        <v>13</v>
      </c>
      <c r="I52" s="151"/>
      <c r="J52" s="150" cm="1">
        <f t="array" ref="J52">IFERROR(INDEX(PQ_Aug!$B$2:$AF$1079,MATCH($C52,PQ_Aug!$A$2:$A$1079,0),MATCH(J$3&amp;"",PQ_Aug!$B$1:$AF$1&amp;"",0)),0)</f>
        <v>12</v>
      </c>
      <c r="K52" s="150" cm="1">
        <f t="array" ref="K52">IFERROR(INDEX(PQ_Aug!$B$2:$AF$1079,MATCH($C52,PQ_Aug!$A$2:$A$1079,0),MATCH(K$3&amp;"",PQ_Aug!$B$1:$AF$1&amp;"",0)),0)</f>
        <v>22</v>
      </c>
      <c r="L52" s="150" cm="1">
        <f t="array" ref="L52">IFERROR(INDEX(PQ_Aug!$B$2:$AF$1079,MATCH($C52,PQ_Aug!$A$2:$A$1079,0),MATCH(L$3&amp;"",PQ_Aug!$B$1:$AF$1&amp;"",0)),0)</f>
        <v>18</v>
      </c>
      <c r="M52" s="150" cm="1">
        <f t="array" ref="M52">IFERROR(INDEX(PQ_Aug!$B$2:$AF$1079,MATCH($C52,PQ_Aug!$A$2:$A$1079,0),MATCH(M$3&amp;"",PQ_Aug!$B$1:$AF$1&amp;"",0)),0)</f>
        <v>28</v>
      </c>
      <c r="N52" s="150" cm="1">
        <f t="array" ref="N52">IFERROR(INDEX(PQ_Aug!$B$2:$AF$1079,MATCH($C52,PQ_Aug!$A$2:$A$1079,0),MATCH(N$3&amp;"",PQ_Aug!$B$1:$AF$1&amp;"",0)),0)</f>
        <v>4</v>
      </c>
      <c r="O52" s="150" cm="1">
        <f t="array" ref="O52">IFERROR(INDEX(PQ_Aug!$B$2:$AF$1079,MATCH($C52,PQ_Aug!$A$2:$A$1079,0),MATCH(O$3&amp;"",PQ_Aug!$B$1:$AF$1&amp;"",0)),0)</f>
        <v>10</v>
      </c>
      <c r="P52" s="151"/>
      <c r="Q52" s="150" cm="1">
        <f t="array" ref="Q52">IFERROR(INDEX(PQ_Aug!$B$2:$AF$1079,MATCH($C52,PQ_Aug!$A$2:$A$1079,0),MATCH(Q$3&amp;"",PQ_Aug!$B$1:$AF$1&amp;"",0)),0)</f>
        <v>16</v>
      </c>
      <c r="R52" s="150" cm="1">
        <f t="array" ref="R52">IFERROR(INDEX(PQ_Aug!$B$2:$AF$1079,MATCH($C52,PQ_Aug!$A$2:$A$1079,0),MATCH(R$3&amp;"",PQ_Aug!$B$1:$AF$1&amp;"",0)),0)</f>
        <v>32</v>
      </c>
      <c r="S52" s="150" cm="1">
        <f t="array" ref="S52">IFERROR(INDEX(PQ_Aug!$B$2:$AF$1079,MATCH($C52,PQ_Aug!$A$2:$A$1079,0),MATCH(S$3&amp;"",PQ_Aug!$B$1:$AF$1&amp;"",0)),0)</f>
        <v>15</v>
      </c>
      <c r="T52" s="150" cm="1">
        <f t="array" ref="T52">IFERROR(INDEX(PQ_Aug!$B$2:$AF$1079,MATCH($C52,PQ_Aug!$A$2:$A$1079,0),MATCH(T$3&amp;"",PQ_Aug!$B$1:$AF$1&amp;"",0)),0)</f>
        <v>2</v>
      </c>
      <c r="U52" s="150" cm="1">
        <f t="array" ref="U52">IFERROR(INDEX(PQ_Aug!$B$2:$AF$1079,MATCH($C52,PQ_Aug!$A$2:$A$1079,0),MATCH(U$3&amp;"",PQ_Aug!$B$1:$AF$1&amp;"",0)),0)</f>
        <v>1</v>
      </c>
      <c r="V52" s="150" cm="1">
        <f t="array" ref="V52">IFERROR(INDEX(PQ_Aug!$B$2:$AF$1079,MATCH($C52,PQ_Aug!$A$2:$A$1079,0),MATCH(V$3&amp;"",PQ_Aug!$B$1:$AF$1&amp;"",0)),0)</f>
        <v>3</v>
      </c>
      <c r="W52" s="151"/>
      <c r="X52" s="151"/>
      <c r="Y52" s="150" cm="1">
        <f t="array" ref="Y52">IFERROR(INDEX(PQ_Aug!$B$2:$AF$1079,MATCH($C52,PQ_Aug!$A$2:$A$1079,0),MATCH(Y$3&amp;"",PQ_Aug!$B$1:$AF$1&amp;"",0)),0)</f>
        <v>15</v>
      </c>
      <c r="Z52" s="150" cm="1">
        <f t="array" ref="Z52">IFERROR(INDEX(PQ_Aug!$B$2:$AF$1079,MATCH($C52,PQ_Aug!$A$2:$A$1079,0),MATCH(Z$3&amp;"",PQ_Aug!$B$1:$AF$1&amp;"",0)),0)</f>
        <v>12</v>
      </c>
      <c r="AA52" s="150" cm="1">
        <f t="array" ref="AA52">IFERROR(INDEX(PQ_Aug!$B$2:$AF$1079,MATCH($C52,PQ_Aug!$A$2:$A$1079,0),MATCH(AA$3&amp;"",PQ_Aug!$B$1:$AF$1&amp;"",0)),0)</f>
        <v>5</v>
      </c>
      <c r="AB52" s="150" cm="1">
        <f t="array" ref="AB52">IFERROR(INDEX(PQ_Aug!$B$2:$AF$1079,MATCH($C52,PQ_Aug!$A$2:$A$1079,0),MATCH(AB$3&amp;"",PQ_Aug!$B$1:$AF$1&amp;"",0)),0)</f>
        <v>18</v>
      </c>
      <c r="AC52" s="150" cm="1">
        <f t="array" ref="AC52">IFERROR(INDEX(PQ_Aug!$B$2:$AF$1079,MATCH($C52,PQ_Aug!$A$2:$A$1079,0),MATCH(AC$3&amp;"",PQ_Aug!$B$1:$AF$1&amp;"",0)),0)</f>
        <v>1</v>
      </c>
      <c r="AD52" s="151"/>
      <c r="AE52" s="150" cm="1">
        <f t="array" ref="AE52">IFERROR(INDEX(PQ_Aug!$B$2:$AF$1079,MATCH($C52,PQ_Aug!$A$2:$A$1079,0),MATCH(AE$3&amp;"",PQ_Aug!$B$1:$AF$1&amp;"",0)),0)</f>
        <v>26</v>
      </c>
      <c r="AF52" s="151"/>
      <c r="AG52" s="150"/>
      <c r="AH52" s="150"/>
      <c r="AI52" s="150"/>
      <c r="AJ52" s="150"/>
      <c r="AK52" s="151"/>
      <c r="AL52" s="150"/>
      <c r="AM52" s="152">
        <v>38</v>
      </c>
      <c r="AN52" s="150">
        <f t="shared" si="4"/>
        <v>291</v>
      </c>
      <c r="AO52" s="153">
        <f t="shared" si="1"/>
        <v>1516</v>
      </c>
      <c r="AP52" s="23">
        <v>800</v>
      </c>
      <c r="AQ52" s="210" t="s">
        <v>79</v>
      </c>
      <c r="AR52" s="172"/>
      <c r="AS52" s="173"/>
      <c r="AT52" s="172"/>
      <c r="AU52" s="173"/>
      <c r="AV52" s="212"/>
      <c r="AW52" s="174"/>
      <c r="AX52" s="153">
        <f t="shared" si="5"/>
        <v>0</v>
      </c>
      <c r="AY52" s="153">
        <f t="shared" si="6"/>
        <v>0</v>
      </c>
      <c r="AZ52" s="153">
        <f t="shared" si="2"/>
        <v>0</v>
      </c>
      <c r="BA52" s="153">
        <f t="shared" si="3"/>
        <v>1516</v>
      </c>
      <c r="BB52" s="160"/>
      <c r="BC52" s="30"/>
      <c r="BD52" s="30"/>
      <c r="BE52" s="30"/>
      <c r="BF52" s="30"/>
    </row>
    <row r="53" spans="1:58" ht="22.5" customHeight="1">
      <c r="A53" s="242">
        <f t="shared" si="7"/>
        <v>250</v>
      </c>
      <c r="B53" s="243"/>
      <c r="C53" s="135" t="s">
        <v>35</v>
      </c>
      <c r="D53" s="75">
        <v>400</v>
      </c>
      <c r="E53" s="148">
        <v>8</v>
      </c>
      <c r="F53" s="148">
        <v>10</v>
      </c>
      <c r="G53" s="149">
        <f>Juli2026!AO53</f>
        <v>331</v>
      </c>
      <c r="H53" s="150" cm="1">
        <f t="array" ref="H53">IFERROR(INDEX(PQ_Aug!$B$2:$AF$1079,MATCH($C53,PQ_Aug!$A$2:$A$1079,0),MATCH(H$3&amp;"",PQ_Aug!$B$1:$AF$1&amp;"",0)),0)</f>
        <v>2</v>
      </c>
      <c r="I53" s="151"/>
      <c r="J53" s="150" cm="1">
        <f t="array" ref="J53">IFERROR(INDEX(PQ_Aug!$B$2:$AF$1079,MATCH($C53,PQ_Aug!$A$2:$A$1079,0),MATCH(J$3&amp;"",PQ_Aug!$B$1:$AF$1&amp;"",0)),0)</f>
        <v>2</v>
      </c>
      <c r="K53" s="150" cm="1">
        <f t="array" ref="K53">IFERROR(INDEX(PQ_Aug!$B$2:$AF$1079,MATCH($C53,PQ_Aug!$A$2:$A$1079,0),MATCH(K$3&amp;"",PQ_Aug!$B$1:$AF$1&amp;"",0)),0)</f>
        <v>3</v>
      </c>
      <c r="L53" s="150" cm="1">
        <f t="array" ref="L53">IFERROR(INDEX(PQ_Aug!$B$2:$AF$1079,MATCH($C53,PQ_Aug!$A$2:$A$1079,0),MATCH(L$3&amp;"",PQ_Aug!$B$1:$AF$1&amp;"",0)),0)</f>
        <v>18</v>
      </c>
      <c r="M53" s="150" cm="1">
        <f t="array" ref="M53">IFERROR(INDEX(PQ_Aug!$B$2:$AF$1079,MATCH($C53,PQ_Aug!$A$2:$A$1079,0),MATCH(M$3&amp;"",PQ_Aug!$B$1:$AF$1&amp;"",0)),0)</f>
        <v>1</v>
      </c>
      <c r="N53" s="150" cm="1">
        <f t="array" ref="N53">IFERROR(INDEX(PQ_Aug!$B$2:$AF$1079,MATCH($C53,PQ_Aug!$A$2:$A$1079,0),MATCH(N$3&amp;"",PQ_Aug!$B$1:$AF$1&amp;"",0)),0)</f>
        <v>0</v>
      </c>
      <c r="O53" s="150" cm="1">
        <f t="array" ref="O53">IFERROR(INDEX(PQ_Aug!$B$2:$AF$1079,MATCH($C53,PQ_Aug!$A$2:$A$1079,0),MATCH(O$3&amp;"",PQ_Aug!$B$1:$AF$1&amp;"",0)),0)</f>
        <v>3</v>
      </c>
      <c r="P53" s="151"/>
      <c r="Q53" s="150" cm="1">
        <f t="array" ref="Q53">IFERROR(INDEX(PQ_Aug!$B$2:$AF$1079,MATCH($C53,PQ_Aug!$A$2:$A$1079,0),MATCH(Q$3&amp;"",PQ_Aug!$B$1:$AF$1&amp;"",0)),0)</f>
        <v>2</v>
      </c>
      <c r="R53" s="150" cm="1">
        <f t="array" ref="R53">IFERROR(INDEX(PQ_Aug!$B$2:$AF$1079,MATCH($C53,PQ_Aug!$A$2:$A$1079,0),MATCH(R$3&amp;"",PQ_Aug!$B$1:$AF$1&amp;"",0)),0)</f>
        <v>2</v>
      </c>
      <c r="S53" s="150" cm="1">
        <f t="array" ref="S53">IFERROR(INDEX(PQ_Aug!$B$2:$AF$1079,MATCH($C53,PQ_Aug!$A$2:$A$1079,0),MATCH(S$3&amp;"",PQ_Aug!$B$1:$AF$1&amp;"",0)),0)</f>
        <v>1</v>
      </c>
      <c r="T53" s="150" cm="1">
        <f t="array" ref="T53">IFERROR(INDEX(PQ_Aug!$B$2:$AF$1079,MATCH($C53,PQ_Aug!$A$2:$A$1079,0),MATCH(T$3&amp;"",PQ_Aug!$B$1:$AF$1&amp;"",0)),0)</f>
        <v>0</v>
      </c>
      <c r="U53" s="150" cm="1">
        <f t="array" ref="U53">IFERROR(INDEX(PQ_Aug!$B$2:$AF$1079,MATCH($C53,PQ_Aug!$A$2:$A$1079,0),MATCH(U$3&amp;"",PQ_Aug!$B$1:$AF$1&amp;"",0)),0)</f>
        <v>0</v>
      </c>
      <c r="V53" s="150" cm="1">
        <f t="array" ref="V53">IFERROR(INDEX(PQ_Aug!$B$2:$AF$1079,MATCH($C53,PQ_Aug!$A$2:$A$1079,0),MATCH(V$3&amp;"",PQ_Aug!$B$1:$AF$1&amp;"",0)),0)</f>
        <v>0</v>
      </c>
      <c r="W53" s="151"/>
      <c r="X53" s="151"/>
      <c r="Y53" s="150" cm="1">
        <f t="array" ref="Y53">IFERROR(INDEX(PQ_Aug!$B$2:$AF$1079,MATCH($C53,PQ_Aug!$A$2:$A$1079,0),MATCH(Y$3&amp;"",PQ_Aug!$B$1:$AF$1&amp;"",0)),0)</f>
        <v>5</v>
      </c>
      <c r="Z53" s="150" cm="1">
        <f t="array" ref="Z53">IFERROR(INDEX(PQ_Aug!$B$2:$AF$1079,MATCH($C53,PQ_Aug!$A$2:$A$1079,0),MATCH(Z$3&amp;"",PQ_Aug!$B$1:$AF$1&amp;"",0)),0)</f>
        <v>2</v>
      </c>
      <c r="AA53" s="150" cm="1">
        <f t="array" ref="AA53">IFERROR(INDEX(PQ_Aug!$B$2:$AF$1079,MATCH($C53,PQ_Aug!$A$2:$A$1079,0),MATCH(AA$3&amp;"",PQ_Aug!$B$1:$AF$1&amp;"",0)),0)</f>
        <v>2</v>
      </c>
      <c r="AB53" s="150" cm="1">
        <f t="array" ref="AB53">IFERROR(INDEX(PQ_Aug!$B$2:$AF$1079,MATCH($C53,PQ_Aug!$A$2:$A$1079,0),MATCH(AB$3&amp;"",PQ_Aug!$B$1:$AF$1&amp;"",0)),0)</f>
        <v>0</v>
      </c>
      <c r="AC53" s="150" cm="1">
        <f t="array" ref="AC53">IFERROR(INDEX(PQ_Aug!$B$2:$AF$1079,MATCH($C53,PQ_Aug!$A$2:$A$1079,0),MATCH(AC$3&amp;"",PQ_Aug!$B$1:$AF$1&amp;"",0)),0)</f>
        <v>1</v>
      </c>
      <c r="AD53" s="151"/>
      <c r="AE53" s="150" cm="1">
        <f t="array" ref="AE53">IFERROR(INDEX(PQ_Aug!$B$2:$AF$1079,MATCH($C53,PQ_Aug!$A$2:$A$1079,0),MATCH(AE$3&amp;"",PQ_Aug!$B$1:$AF$1&amp;"",0)),0)</f>
        <v>7</v>
      </c>
      <c r="AF53" s="151"/>
      <c r="AG53" s="150"/>
      <c r="AH53" s="150"/>
      <c r="AI53" s="150"/>
      <c r="AJ53" s="150"/>
      <c r="AK53" s="151"/>
      <c r="AL53" s="150"/>
      <c r="AM53" s="152">
        <v>30</v>
      </c>
      <c r="AN53" s="150">
        <f t="shared" si="4"/>
        <v>81</v>
      </c>
      <c r="AO53" s="153">
        <f t="shared" si="1"/>
        <v>250</v>
      </c>
      <c r="AP53" s="23">
        <v>200</v>
      </c>
      <c r="AQ53" s="210" t="s">
        <v>79</v>
      </c>
      <c r="AR53" s="172"/>
      <c r="AS53" s="173"/>
      <c r="AT53" s="172"/>
      <c r="AU53" s="173"/>
      <c r="AV53" s="172"/>
      <c r="AW53" s="174"/>
      <c r="AX53" s="153">
        <f t="shared" si="5"/>
        <v>0</v>
      </c>
      <c r="AY53" s="153">
        <f t="shared" si="6"/>
        <v>0</v>
      </c>
      <c r="AZ53" s="153">
        <f t="shared" si="2"/>
        <v>0</v>
      </c>
      <c r="BA53" s="153">
        <f t="shared" si="3"/>
        <v>250</v>
      </c>
      <c r="BB53" s="160"/>
      <c r="BC53" s="30"/>
      <c r="BD53" s="30"/>
      <c r="BE53" s="30"/>
      <c r="BF53" s="30"/>
    </row>
    <row r="54" spans="1:58" ht="22.5" customHeight="1">
      <c r="A54" s="233">
        <f t="shared" si="7"/>
        <v>230</v>
      </c>
      <c r="B54" s="234"/>
      <c r="C54" s="135" t="s">
        <v>36</v>
      </c>
      <c r="D54" s="75">
        <v>800</v>
      </c>
      <c r="E54" s="148">
        <v>21</v>
      </c>
      <c r="F54" s="148">
        <v>60</v>
      </c>
      <c r="G54" s="149">
        <f>Juli2026!AO54</f>
        <v>267</v>
      </c>
      <c r="H54" s="150" cm="1">
        <f t="array" ref="H54">IFERROR(INDEX(PQ_Aug!$B$2:$AF$1079,MATCH($C54,PQ_Aug!$A$2:$A$1079,0),MATCH(H$3&amp;"",PQ_Aug!$B$1:$AF$1&amp;"",0)),0)</f>
        <v>0</v>
      </c>
      <c r="I54" s="151"/>
      <c r="J54" s="150" cm="1">
        <f t="array" ref="J54">IFERROR(INDEX(PQ_Aug!$B$2:$AF$1079,MATCH($C54,PQ_Aug!$A$2:$A$1079,0),MATCH(J$3&amp;"",PQ_Aug!$B$1:$AF$1&amp;"",0)),0)</f>
        <v>2</v>
      </c>
      <c r="K54" s="150" cm="1">
        <f t="array" ref="K54">IFERROR(INDEX(PQ_Aug!$B$2:$AF$1079,MATCH($C54,PQ_Aug!$A$2:$A$1079,0),MATCH(K$3&amp;"",PQ_Aug!$B$1:$AF$1&amp;"",0)),0)</f>
        <v>2</v>
      </c>
      <c r="L54" s="150" cm="1">
        <f t="array" ref="L54">IFERROR(INDEX(PQ_Aug!$B$2:$AF$1079,MATCH($C54,PQ_Aug!$A$2:$A$1079,0),MATCH(L$3&amp;"",PQ_Aug!$B$1:$AF$1&amp;"",0)),0)</f>
        <v>3</v>
      </c>
      <c r="M54" s="150" cm="1">
        <f t="array" ref="M54">IFERROR(INDEX(PQ_Aug!$B$2:$AF$1079,MATCH($C54,PQ_Aug!$A$2:$A$1079,0),MATCH(M$3&amp;"",PQ_Aug!$B$1:$AF$1&amp;"",0)),0)</f>
        <v>0</v>
      </c>
      <c r="N54" s="150" cm="1">
        <f t="array" ref="N54">IFERROR(INDEX(PQ_Aug!$B$2:$AF$1079,MATCH($C54,PQ_Aug!$A$2:$A$1079,0),MATCH(N$3&amp;"",PQ_Aug!$B$1:$AF$1&amp;"",0)),0)</f>
        <v>0</v>
      </c>
      <c r="O54" s="150" cm="1">
        <f t="array" ref="O54">IFERROR(INDEX(PQ_Aug!$B$2:$AF$1079,MATCH($C54,PQ_Aug!$A$2:$A$1079,0),MATCH(O$3&amp;"",PQ_Aug!$B$1:$AF$1&amp;"",0)),0)</f>
        <v>1</v>
      </c>
      <c r="P54" s="151"/>
      <c r="Q54" s="150" cm="1">
        <f t="array" ref="Q54">IFERROR(INDEX(PQ_Aug!$B$2:$AF$1079,MATCH($C54,PQ_Aug!$A$2:$A$1079,0),MATCH(Q$3&amp;"",PQ_Aug!$B$1:$AF$1&amp;"",0)),0)</f>
        <v>2</v>
      </c>
      <c r="R54" s="150" cm="1">
        <f t="array" ref="R54">IFERROR(INDEX(PQ_Aug!$B$2:$AF$1079,MATCH($C54,PQ_Aug!$A$2:$A$1079,0),MATCH(R$3&amp;"",PQ_Aug!$B$1:$AF$1&amp;"",0)),0)</f>
        <v>0</v>
      </c>
      <c r="S54" s="150" cm="1">
        <f t="array" ref="S54">IFERROR(INDEX(PQ_Aug!$B$2:$AF$1079,MATCH($C54,PQ_Aug!$A$2:$A$1079,0),MATCH(S$3&amp;"",PQ_Aug!$B$1:$AF$1&amp;"",0)),0)</f>
        <v>1</v>
      </c>
      <c r="T54" s="150" cm="1">
        <f t="array" ref="T54">IFERROR(INDEX(PQ_Aug!$B$2:$AF$1079,MATCH($C54,PQ_Aug!$A$2:$A$1079,0),MATCH(T$3&amp;"",PQ_Aug!$B$1:$AF$1&amp;"",0)),0)</f>
        <v>1</v>
      </c>
      <c r="U54" s="150" cm="1">
        <f t="array" ref="U54">IFERROR(INDEX(PQ_Aug!$B$2:$AF$1079,MATCH($C54,PQ_Aug!$A$2:$A$1079,0),MATCH(U$3&amp;"",PQ_Aug!$B$1:$AF$1&amp;"",0)),0)</f>
        <v>1</v>
      </c>
      <c r="V54" s="150" cm="1">
        <f t="array" ref="V54">IFERROR(INDEX(PQ_Aug!$B$2:$AF$1079,MATCH($C54,PQ_Aug!$A$2:$A$1079,0),MATCH(V$3&amp;"",PQ_Aug!$B$1:$AF$1&amp;"",0)),0)</f>
        <v>1</v>
      </c>
      <c r="W54" s="151"/>
      <c r="X54" s="151"/>
      <c r="Y54" s="150" cm="1">
        <f t="array" ref="Y54">IFERROR(INDEX(PQ_Aug!$B$2:$AF$1079,MATCH($C54,PQ_Aug!$A$2:$A$1079,0),MATCH(Y$3&amp;"",PQ_Aug!$B$1:$AF$1&amp;"",0)),0)</f>
        <v>0</v>
      </c>
      <c r="Z54" s="150" cm="1">
        <f t="array" ref="Z54">IFERROR(INDEX(PQ_Aug!$B$2:$AF$1079,MATCH($C54,PQ_Aug!$A$2:$A$1079,0),MATCH(Z$3&amp;"",PQ_Aug!$B$1:$AF$1&amp;"",0)),0)</f>
        <v>1</v>
      </c>
      <c r="AA54" s="150" cm="1">
        <f t="array" ref="AA54">IFERROR(INDEX(PQ_Aug!$B$2:$AF$1079,MATCH($C54,PQ_Aug!$A$2:$A$1079,0),MATCH(AA$3&amp;"",PQ_Aug!$B$1:$AF$1&amp;"",0)),0)</f>
        <v>0</v>
      </c>
      <c r="AB54" s="150" cm="1">
        <f t="array" ref="AB54">IFERROR(INDEX(PQ_Aug!$B$2:$AF$1079,MATCH($C54,PQ_Aug!$A$2:$A$1079,0),MATCH(AB$3&amp;"",PQ_Aug!$B$1:$AF$1&amp;"",0)),0)</f>
        <v>0</v>
      </c>
      <c r="AC54" s="150" cm="1">
        <f t="array" ref="AC54">IFERROR(INDEX(PQ_Aug!$B$2:$AF$1079,MATCH($C54,PQ_Aug!$A$2:$A$1079,0),MATCH(AC$3&amp;"",PQ_Aug!$B$1:$AF$1&amp;"",0)),0)</f>
        <v>0</v>
      </c>
      <c r="AD54" s="151"/>
      <c r="AE54" s="150" cm="1">
        <f t="array" ref="AE54">IFERROR(INDEX(PQ_Aug!$B$2:$AF$1079,MATCH($C54,PQ_Aug!$A$2:$A$1079,0),MATCH(AE$3&amp;"",PQ_Aug!$B$1:$AF$1&amp;"",0)),0)</f>
        <v>0</v>
      </c>
      <c r="AF54" s="151"/>
      <c r="AG54" s="150"/>
      <c r="AH54" s="150"/>
      <c r="AI54" s="150"/>
      <c r="AJ54" s="150"/>
      <c r="AK54" s="151"/>
      <c r="AL54" s="150"/>
      <c r="AM54" s="152">
        <v>22</v>
      </c>
      <c r="AN54" s="150">
        <f t="shared" si="4"/>
        <v>37</v>
      </c>
      <c r="AO54" s="153">
        <f t="shared" si="1"/>
        <v>230</v>
      </c>
      <c r="AP54" s="23">
        <v>200</v>
      </c>
      <c r="AQ54" s="210" t="s">
        <v>79</v>
      </c>
      <c r="AR54" s="172"/>
      <c r="AS54" s="173"/>
      <c r="AT54" s="172"/>
      <c r="AU54" s="173"/>
      <c r="AV54" s="172"/>
      <c r="AW54" s="174"/>
      <c r="AX54" s="153">
        <f t="shared" si="5"/>
        <v>0</v>
      </c>
      <c r="AY54" s="153">
        <f t="shared" si="6"/>
        <v>0</v>
      </c>
      <c r="AZ54" s="153">
        <f t="shared" si="2"/>
        <v>0</v>
      </c>
      <c r="BA54" s="153">
        <f t="shared" si="3"/>
        <v>230</v>
      </c>
      <c r="BB54" s="160"/>
      <c r="BC54" s="30"/>
      <c r="BD54" s="30"/>
      <c r="BE54" s="30"/>
      <c r="BF54" s="30"/>
    </row>
    <row r="55" spans="1:58" ht="22.5" customHeight="1">
      <c r="A55" s="233">
        <f t="shared" si="7"/>
        <v>1486</v>
      </c>
      <c r="B55" s="234"/>
      <c r="C55" s="135" t="s">
        <v>37</v>
      </c>
      <c r="D55" s="75">
        <v>1050</v>
      </c>
      <c r="E55" s="148">
        <v>91</v>
      </c>
      <c r="F55" s="148">
        <v>266</v>
      </c>
      <c r="G55" s="149">
        <f>Juli2026!AO55</f>
        <v>1677</v>
      </c>
      <c r="H55" s="150" cm="1">
        <f t="array" ref="H55">IFERROR(INDEX(PQ_Aug!$B$2:$AF$1079,MATCH($C55,PQ_Aug!$A$2:$A$1079,0),MATCH(H$3&amp;"",PQ_Aug!$B$1:$AF$1&amp;"",0)),0)</f>
        <v>7</v>
      </c>
      <c r="I55" s="151"/>
      <c r="J55" s="150" cm="1">
        <f t="array" ref="J55">IFERROR(INDEX(PQ_Aug!$B$2:$AF$1079,MATCH($C55,PQ_Aug!$A$2:$A$1079,0),MATCH(J$3&amp;"",PQ_Aug!$B$1:$AF$1&amp;"",0)),0)</f>
        <v>4</v>
      </c>
      <c r="K55" s="150" cm="1">
        <f t="array" ref="K55">IFERROR(INDEX(PQ_Aug!$B$2:$AF$1079,MATCH($C55,PQ_Aug!$A$2:$A$1079,0),MATCH(K$3&amp;"",PQ_Aug!$B$1:$AF$1&amp;"",0)),0)</f>
        <v>8</v>
      </c>
      <c r="L55" s="150" cm="1">
        <f t="array" ref="L55">IFERROR(INDEX(PQ_Aug!$B$2:$AF$1079,MATCH($C55,PQ_Aug!$A$2:$A$1079,0),MATCH(L$3&amp;"",PQ_Aug!$B$1:$AF$1&amp;"",0)),0)</f>
        <v>17</v>
      </c>
      <c r="M55" s="150" cm="1">
        <f t="array" ref="M55">IFERROR(INDEX(PQ_Aug!$B$2:$AF$1079,MATCH($C55,PQ_Aug!$A$2:$A$1079,0),MATCH(M$3&amp;"",PQ_Aug!$B$1:$AF$1&amp;"",0)),0)</f>
        <v>8</v>
      </c>
      <c r="N55" s="150" cm="1">
        <f t="array" ref="N55">IFERROR(INDEX(PQ_Aug!$B$2:$AF$1079,MATCH($C55,PQ_Aug!$A$2:$A$1079,0),MATCH(N$3&amp;"",PQ_Aug!$B$1:$AF$1&amp;"",0)),0)</f>
        <v>0</v>
      </c>
      <c r="O55" s="150" cm="1">
        <f t="array" ref="O55">IFERROR(INDEX(PQ_Aug!$B$2:$AF$1079,MATCH($C55,PQ_Aug!$A$2:$A$1079,0),MATCH(O$3&amp;"",PQ_Aug!$B$1:$AF$1&amp;"",0)),0)</f>
        <v>10</v>
      </c>
      <c r="P55" s="151"/>
      <c r="Q55" s="150" cm="1">
        <f t="array" ref="Q55">IFERROR(INDEX(PQ_Aug!$B$2:$AF$1079,MATCH($C55,PQ_Aug!$A$2:$A$1079,0),MATCH(Q$3&amp;"",PQ_Aug!$B$1:$AF$1&amp;"",0)),0)</f>
        <v>11</v>
      </c>
      <c r="R55" s="150" cm="1">
        <f t="array" ref="R55">IFERROR(INDEX(PQ_Aug!$B$2:$AF$1079,MATCH($C55,PQ_Aug!$A$2:$A$1079,0),MATCH(R$3&amp;"",PQ_Aug!$B$1:$AF$1&amp;"",0)),0)</f>
        <v>14</v>
      </c>
      <c r="S55" s="150" cm="1">
        <f t="array" ref="S55">IFERROR(INDEX(PQ_Aug!$B$2:$AF$1079,MATCH($C55,PQ_Aug!$A$2:$A$1079,0),MATCH(S$3&amp;"",PQ_Aug!$B$1:$AF$1&amp;"",0)),0)</f>
        <v>1</v>
      </c>
      <c r="T55" s="150" cm="1">
        <f t="array" ref="T55">IFERROR(INDEX(PQ_Aug!$B$2:$AF$1079,MATCH($C55,PQ_Aug!$A$2:$A$1079,0),MATCH(T$3&amp;"",PQ_Aug!$B$1:$AF$1&amp;"",0)),0)</f>
        <v>54</v>
      </c>
      <c r="U55" s="150" cm="1">
        <f t="array" ref="U55">IFERROR(INDEX(PQ_Aug!$B$2:$AF$1079,MATCH($C55,PQ_Aug!$A$2:$A$1079,0),MATCH(U$3&amp;"",PQ_Aug!$B$1:$AF$1&amp;"",0)),0)</f>
        <v>1</v>
      </c>
      <c r="V55" s="150" cm="1">
        <f t="array" ref="V55">IFERROR(INDEX(PQ_Aug!$B$2:$AF$1079,MATCH($C55,PQ_Aug!$A$2:$A$1079,0),MATCH(V$3&amp;"",PQ_Aug!$B$1:$AF$1&amp;"",0)),0)</f>
        <v>3</v>
      </c>
      <c r="W55" s="151"/>
      <c r="X55" s="151"/>
      <c r="Y55" s="150" cm="1">
        <f t="array" ref="Y55">IFERROR(INDEX(PQ_Aug!$B$2:$AF$1079,MATCH($C55,PQ_Aug!$A$2:$A$1079,0),MATCH(Y$3&amp;"",PQ_Aug!$B$1:$AF$1&amp;"",0)),0)</f>
        <v>5</v>
      </c>
      <c r="Z55" s="150" cm="1">
        <f t="array" ref="Z55">IFERROR(INDEX(PQ_Aug!$B$2:$AF$1079,MATCH($C55,PQ_Aug!$A$2:$A$1079,0),MATCH(Z$3&amp;"",PQ_Aug!$B$1:$AF$1&amp;"",0)),0)</f>
        <v>2</v>
      </c>
      <c r="AA55" s="150" cm="1">
        <f t="array" ref="AA55">IFERROR(INDEX(PQ_Aug!$B$2:$AF$1079,MATCH($C55,PQ_Aug!$A$2:$A$1079,0),MATCH(AA$3&amp;"",PQ_Aug!$B$1:$AF$1&amp;"",0)),0)</f>
        <v>2</v>
      </c>
      <c r="AB55" s="150" cm="1">
        <f t="array" ref="AB55">IFERROR(INDEX(PQ_Aug!$B$2:$AF$1079,MATCH($C55,PQ_Aug!$A$2:$A$1079,0),MATCH(AB$3&amp;"",PQ_Aug!$B$1:$AF$1&amp;"",0)),0)</f>
        <v>0</v>
      </c>
      <c r="AC55" s="150" cm="1">
        <f t="array" ref="AC55">IFERROR(INDEX(PQ_Aug!$B$2:$AF$1079,MATCH($C55,PQ_Aug!$A$2:$A$1079,0),MATCH(AC$3&amp;"",PQ_Aug!$B$1:$AF$1&amp;"",0)),0)</f>
        <v>1</v>
      </c>
      <c r="AD55" s="151"/>
      <c r="AE55" s="150" cm="1">
        <f t="array" ref="AE55">IFERROR(INDEX(PQ_Aug!$B$2:$AF$1079,MATCH($C55,PQ_Aug!$A$2:$A$1079,0),MATCH(AE$3&amp;"",PQ_Aug!$B$1:$AF$1&amp;"",0)),0)</f>
        <v>7</v>
      </c>
      <c r="AF55" s="151"/>
      <c r="AG55" s="150"/>
      <c r="AH55" s="150"/>
      <c r="AI55" s="150"/>
      <c r="AJ55" s="150"/>
      <c r="AK55" s="151"/>
      <c r="AL55" s="150"/>
      <c r="AM55" s="152">
        <v>36</v>
      </c>
      <c r="AN55" s="150">
        <f t="shared" si="4"/>
        <v>191</v>
      </c>
      <c r="AO55" s="153">
        <f t="shared" si="1"/>
        <v>1486</v>
      </c>
      <c r="AP55" s="23">
        <v>400</v>
      </c>
      <c r="AQ55" s="210" t="s">
        <v>79</v>
      </c>
      <c r="AR55" s="172"/>
      <c r="AS55" s="173"/>
      <c r="AT55" s="172"/>
      <c r="AU55" s="173"/>
      <c r="AV55" s="212"/>
      <c r="AW55" s="174"/>
      <c r="AX55" s="153">
        <f t="shared" si="5"/>
        <v>0</v>
      </c>
      <c r="AY55" s="153">
        <f t="shared" si="6"/>
        <v>0</v>
      </c>
      <c r="AZ55" s="153">
        <f t="shared" si="2"/>
        <v>0</v>
      </c>
      <c r="BA55" s="153">
        <f t="shared" si="3"/>
        <v>1486</v>
      </c>
      <c r="BB55" s="160"/>
      <c r="BC55" s="30"/>
      <c r="BD55" s="30"/>
      <c r="BE55" s="30"/>
      <c r="BF55" s="30"/>
    </row>
    <row r="56" spans="1:58" ht="22.5" customHeight="1">
      <c r="A56" s="242">
        <f t="shared" si="7"/>
        <v>1577</v>
      </c>
      <c r="B56" s="243"/>
      <c r="C56" s="135" t="s">
        <v>38</v>
      </c>
      <c r="D56" s="75">
        <v>450</v>
      </c>
      <c r="E56" s="148">
        <v>219</v>
      </c>
      <c r="F56" s="148">
        <v>451</v>
      </c>
      <c r="G56" s="149">
        <f>Juli2026!AO56</f>
        <v>1935</v>
      </c>
      <c r="H56" s="150" cm="1">
        <f t="array" ref="H56">IFERROR(INDEX(PQ_Aug!$B$2:$AF$1079,MATCH($C56,PQ_Aug!$A$2:$A$1079,0),MATCH(H$3&amp;"",PQ_Aug!$B$1:$AF$1&amp;"",0)),0)</f>
        <v>13</v>
      </c>
      <c r="I56" s="151"/>
      <c r="J56" s="150" cm="1">
        <f t="array" ref="J56">IFERROR(INDEX(PQ_Aug!$B$2:$AF$1079,MATCH($C56,PQ_Aug!$A$2:$A$1079,0),MATCH(J$3&amp;"",PQ_Aug!$B$1:$AF$1&amp;"",0)),0)</f>
        <v>13</v>
      </c>
      <c r="K56" s="150" cm="1">
        <f t="array" ref="K56">IFERROR(INDEX(PQ_Aug!$B$2:$AF$1079,MATCH($C56,PQ_Aug!$A$2:$A$1079,0),MATCH(K$3&amp;"",PQ_Aug!$B$1:$AF$1&amp;"",0)),0)</f>
        <v>21</v>
      </c>
      <c r="L56" s="150" cm="1">
        <f t="array" ref="L56">IFERROR(INDEX(PQ_Aug!$B$2:$AF$1079,MATCH($C56,PQ_Aug!$A$2:$A$1079,0),MATCH(L$3&amp;"",PQ_Aug!$B$1:$AF$1&amp;"",0)),0)</f>
        <v>19</v>
      </c>
      <c r="M56" s="150" cm="1">
        <f t="array" ref="M56">IFERROR(INDEX(PQ_Aug!$B$2:$AF$1079,MATCH($C56,PQ_Aug!$A$2:$A$1079,0),MATCH(M$3&amp;"",PQ_Aug!$B$1:$AF$1&amp;"",0)),0)</f>
        <v>33</v>
      </c>
      <c r="N56" s="150" cm="1">
        <f t="array" ref="N56">IFERROR(INDEX(PQ_Aug!$B$2:$AF$1079,MATCH($C56,PQ_Aug!$A$2:$A$1079,0),MATCH(N$3&amp;"",PQ_Aug!$B$1:$AF$1&amp;"",0)),0)</f>
        <v>4</v>
      </c>
      <c r="O56" s="150" cm="1">
        <f t="array" ref="O56">IFERROR(INDEX(PQ_Aug!$B$2:$AF$1079,MATCH($C56,PQ_Aug!$A$2:$A$1079,0),MATCH(O$3&amp;"",PQ_Aug!$B$1:$AF$1&amp;"",0)),0)</f>
        <v>10</v>
      </c>
      <c r="P56" s="151"/>
      <c r="Q56" s="150" cm="1">
        <f t="array" ref="Q56">IFERROR(INDEX(PQ_Aug!$B$2:$AF$1079,MATCH($C56,PQ_Aug!$A$2:$A$1079,0),MATCH(Q$3&amp;"",PQ_Aug!$B$1:$AF$1&amp;"",0)),0)</f>
        <v>18</v>
      </c>
      <c r="R56" s="150" cm="1">
        <f t="array" ref="R56">IFERROR(INDEX(PQ_Aug!$B$2:$AF$1079,MATCH($C56,PQ_Aug!$A$2:$A$1079,0),MATCH(R$3&amp;"",PQ_Aug!$B$1:$AF$1&amp;"",0)),0)</f>
        <v>34</v>
      </c>
      <c r="S56" s="150" cm="1">
        <f t="array" ref="S56">IFERROR(INDEX(PQ_Aug!$B$2:$AF$1079,MATCH($C56,PQ_Aug!$A$2:$A$1079,0),MATCH(S$3&amp;"",PQ_Aug!$B$1:$AF$1&amp;"",0)),0)</f>
        <v>15</v>
      </c>
      <c r="T56" s="150" cm="1">
        <f t="array" ref="T56">IFERROR(INDEX(PQ_Aug!$B$2:$AF$1079,MATCH($C56,PQ_Aug!$A$2:$A$1079,0),MATCH(T$3&amp;"",PQ_Aug!$B$1:$AF$1&amp;"",0)),0)</f>
        <v>56</v>
      </c>
      <c r="U56" s="150" cm="1">
        <f t="array" ref="U56">IFERROR(INDEX(PQ_Aug!$B$2:$AF$1079,MATCH($C56,PQ_Aug!$A$2:$A$1079,0),MATCH(U$3&amp;"",PQ_Aug!$B$1:$AF$1&amp;"",0)),0)</f>
        <v>1</v>
      </c>
      <c r="V56" s="150" cm="1">
        <f t="array" ref="V56">IFERROR(INDEX(PQ_Aug!$B$2:$AF$1079,MATCH($C56,PQ_Aug!$A$2:$A$1079,0),MATCH(V$3&amp;"",PQ_Aug!$B$1:$AF$1&amp;"",0)),0)</f>
        <v>3</v>
      </c>
      <c r="W56" s="151"/>
      <c r="X56" s="151"/>
      <c r="Y56" s="150" cm="1">
        <f t="array" ref="Y56">IFERROR(INDEX(PQ_Aug!$B$2:$AF$1079,MATCH($C56,PQ_Aug!$A$2:$A$1079,0),MATCH(Y$3&amp;"",PQ_Aug!$B$1:$AF$1&amp;"",0)),0)</f>
        <v>15</v>
      </c>
      <c r="Z56" s="150" cm="1">
        <f t="array" ref="Z56">IFERROR(INDEX(PQ_Aug!$B$2:$AF$1079,MATCH($C56,PQ_Aug!$A$2:$A$1079,0),MATCH(Z$3&amp;"",PQ_Aug!$B$1:$AF$1&amp;"",0)),0)</f>
        <v>12</v>
      </c>
      <c r="AA56" s="150" cm="1">
        <f t="array" ref="AA56">IFERROR(INDEX(PQ_Aug!$B$2:$AF$1079,MATCH($C56,PQ_Aug!$A$2:$A$1079,0),MATCH(AA$3&amp;"",PQ_Aug!$B$1:$AF$1&amp;"",0)),0)</f>
        <v>5</v>
      </c>
      <c r="AB56" s="150" cm="1">
        <f t="array" ref="AB56">IFERROR(INDEX(PQ_Aug!$B$2:$AF$1079,MATCH($C56,PQ_Aug!$A$2:$A$1079,0),MATCH(AB$3&amp;"",PQ_Aug!$B$1:$AF$1&amp;"",0)),0)</f>
        <v>19</v>
      </c>
      <c r="AC56" s="150" cm="1">
        <f t="array" ref="AC56">IFERROR(INDEX(PQ_Aug!$B$2:$AF$1079,MATCH($C56,PQ_Aug!$A$2:$A$1079,0),MATCH(AC$3&amp;"",PQ_Aug!$B$1:$AF$1&amp;"",0)),0)</f>
        <v>1</v>
      </c>
      <c r="AD56" s="151"/>
      <c r="AE56" s="150" cm="1">
        <f t="array" ref="AE56">IFERROR(INDEX(PQ_Aug!$B$2:$AF$1079,MATCH($C56,PQ_Aug!$A$2:$A$1079,0),MATCH(AE$3&amp;"",PQ_Aug!$B$1:$AF$1&amp;"",0)),0)</f>
        <v>26</v>
      </c>
      <c r="AF56" s="151"/>
      <c r="AG56" s="150"/>
      <c r="AH56" s="150"/>
      <c r="AI56" s="150"/>
      <c r="AJ56" s="150"/>
      <c r="AK56" s="151"/>
      <c r="AL56" s="150"/>
      <c r="AM56" s="152">
        <v>40</v>
      </c>
      <c r="AN56" s="150">
        <f t="shared" si="4"/>
        <v>358</v>
      </c>
      <c r="AO56" s="153">
        <f t="shared" si="1"/>
        <v>1577</v>
      </c>
      <c r="AP56" s="23">
        <v>450</v>
      </c>
      <c r="AQ56" s="210" t="s">
        <v>79</v>
      </c>
      <c r="AR56" s="172"/>
      <c r="AS56" s="173"/>
      <c r="AT56" s="172"/>
      <c r="AU56" s="173"/>
      <c r="AV56" s="212"/>
      <c r="AW56" s="174"/>
      <c r="AX56" s="153">
        <f t="shared" si="5"/>
        <v>0</v>
      </c>
      <c r="AY56" s="153">
        <f t="shared" si="6"/>
        <v>0</v>
      </c>
      <c r="AZ56" s="153">
        <f t="shared" si="2"/>
        <v>0</v>
      </c>
      <c r="BA56" s="153">
        <f t="shared" si="3"/>
        <v>1577</v>
      </c>
      <c r="BB56" s="160"/>
      <c r="BC56" s="30"/>
      <c r="BD56" s="30"/>
      <c r="BE56" s="30"/>
      <c r="BF56" s="30"/>
    </row>
    <row r="57" spans="1:58" ht="22.5" customHeight="1">
      <c r="A57" s="233">
        <f t="shared" si="7"/>
        <v>1204</v>
      </c>
      <c r="B57" s="234"/>
      <c r="C57" s="135" t="s">
        <v>39</v>
      </c>
      <c r="D57" s="75">
        <v>500</v>
      </c>
      <c r="E57" s="148">
        <v>131</v>
      </c>
      <c r="F57" s="148">
        <v>245</v>
      </c>
      <c r="G57" s="149">
        <f>Juli2026!AO57</f>
        <v>1434</v>
      </c>
      <c r="H57" s="150" cm="1">
        <f t="array" ref="H57">IFERROR(INDEX(PQ_Aug!$B$2:$AF$1079,MATCH($C57,PQ_Aug!$A$2:$A$1079,0),MATCH(H$3&amp;"",PQ_Aug!$B$1:$AF$1&amp;"",0)),0)</f>
        <v>8</v>
      </c>
      <c r="I57" s="151"/>
      <c r="J57" s="150" cm="1">
        <f t="array" ref="J57">IFERROR(INDEX(PQ_Aug!$B$2:$AF$1079,MATCH($C57,PQ_Aug!$A$2:$A$1079,0),MATCH(J$3&amp;"",PQ_Aug!$B$1:$AF$1&amp;"",0)),0)</f>
        <v>10</v>
      </c>
      <c r="K57" s="150" cm="1">
        <f t="array" ref="K57">IFERROR(INDEX(PQ_Aug!$B$2:$AF$1079,MATCH($C57,PQ_Aug!$A$2:$A$1079,0),MATCH(K$3&amp;"",PQ_Aug!$B$1:$AF$1&amp;"",0)),0)</f>
        <v>16</v>
      </c>
      <c r="L57" s="150" cm="1">
        <f t="array" ref="L57">IFERROR(INDEX(PQ_Aug!$B$2:$AF$1079,MATCH($C57,PQ_Aug!$A$2:$A$1079,0),MATCH(L$3&amp;"",PQ_Aug!$B$1:$AF$1&amp;"",0)),0)</f>
        <v>17</v>
      </c>
      <c r="M57" s="150" cm="1">
        <f t="array" ref="M57">IFERROR(INDEX(PQ_Aug!$B$2:$AF$1079,MATCH($C57,PQ_Aug!$A$2:$A$1079,0),MATCH(M$3&amp;"",PQ_Aug!$B$1:$AF$1&amp;"",0)),0)</f>
        <v>16</v>
      </c>
      <c r="N57" s="150" cm="1">
        <f t="array" ref="N57">IFERROR(INDEX(PQ_Aug!$B$2:$AF$1079,MATCH($C57,PQ_Aug!$A$2:$A$1079,0),MATCH(N$3&amp;"",PQ_Aug!$B$1:$AF$1&amp;"",0)),0)</f>
        <v>4</v>
      </c>
      <c r="O57" s="150" cm="1">
        <f t="array" ref="O57">IFERROR(INDEX(PQ_Aug!$B$2:$AF$1079,MATCH($C57,PQ_Aug!$A$2:$A$1079,0),MATCH(O$3&amp;"",PQ_Aug!$B$1:$AF$1&amp;"",0)),0)</f>
        <v>2</v>
      </c>
      <c r="P57" s="151"/>
      <c r="Q57" s="150" cm="1">
        <f t="array" ref="Q57">IFERROR(INDEX(PQ_Aug!$B$2:$AF$1079,MATCH($C57,PQ_Aug!$A$2:$A$1079,0),MATCH(Q$3&amp;"",PQ_Aug!$B$1:$AF$1&amp;"",0)),0)</f>
        <v>8</v>
      </c>
      <c r="R57" s="150" cm="1">
        <f t="array" ref="R57">IFERROR(INDEX(PQ_Aug!$B$2:$AF$1079,MATCH($C57,PQ_Aug!$A$2:$A$1079,0),MATCH(R$3&amp;"",PQ_Aug!$B$1:$AF$1&amp;"",0)),0)</f>
        <v>23</v>
      </c>
      <c r="S57" s="150" cm="1">
        <f t="array" ref="S57">IFERROR(INDEX(PQ_Aug!$B$2:$AF$1079,MATCH($C57,PQ_Aug!$A$2:$A$1079,0),MATCH(S$3&amp;"",PQ_Aug!$B$1:$AF$1&amp;"",0)),0)</f>
        <v>15</v>
      </c>
      <c r="T57" s="150" cm="1">
        <f t="array" ref="T57">IFERROR(INDEX(PQ_Aug!$B$2:$AF$1079,MATCH($C57,PQ_Aug!$A$2:$A$1079,0),MATCH(T$3&amp;"",PQ_Aug!$B$1:$AF$1&amp;"",0)),0)</f>
        <v>1</v>
      </c>
      <c r="U57" s="150" cm="1">
        <f t="array" ref="U57">IFERROR(INDEX(PQ_Aug!$B$2:$AF$1079,MATCH($C57,PQ_Aug!$A$2:$A$1079,0),MATCH(U$3&amp;"",PQ_Aug!$B$1:$AF$1&amp;"",0)),0)</f>
        <v>0</v>
      </c>
      <c r="V57" s="150" cm="1">
        <f t="array" ref="V57">IFERROR(INDEX(PQ_Aug!$B$2:$AF$1079,MATCH($C57,PQ_Aug!$A$2:$A$1079,0),MATCH(V$3&amp;"",PQ_Aug!$B$1:$AF$1&amp;"",0)),0)</f>
        <v>0</v>
      </c>
      <c r="W57" s="151"/>
      <c r="X57" s="151"/>
      <c r="Y57" s="150" cm="1">
        <f t="array" ref="Y57">IFERROR(INDEX(PQ_Aug!$B$2:$AF$1079,MATCH($C57,PQ_Aug!$A$2:$A$1079,0),MATCH(Y$3&amp;"",PQ_Aug!$B$1:$AF$1&amp;"",0)),0)</f>
        <v>15</v>
      </c>
      <c r="Z57" s="150" cm="1">
        <f t="array" ref="Z57">IFERROR(INDEX(PQ_Aug!$B$2:$AF$1079,MATCH($C57,PQ_Aug!$A$2:$A$1079,0),MATCH(Z$3&amp;"",PQ_Aug!$B$1:$AF$1&amp;"",0)),0)</f>
        <v>12</v>
      </c>
      <c r="AA57" s="150" cm="1">
        <f t="array" ref="AA57">IFERROR(INDEX(PQ_Aug!$B$2:$AF$1079,MATCH($C57,PQ_Aug!$A$2:$A$1079,0),MATCH(AA$3&amp;"",PQ_Aug!$B$1:$AF$1&amp;"",0)),0)</f>
        <v>5</v>
      </c>
      <c r="AB57" s="150" cm="1">
        <f t="array" ref="AB57">IFERROR(INDEX(PQ_Aug!$B$2:$AF$1079,MATCH($C57,PQ_Aug!$A$2:$A$1079,0),MATCH(AB$3&amp;"",PQ_Aug!$B$1:$AF$1&amp;"",0)),0)</f>
        <v>18</v>
      </c>
      <c r="AC57" s="150" cm="1">
        <f t="array" ref="AC57">IFERROR(INDEX(PQ_Aug!$B$2:$AF$1079,MATCH($C57,PQ_Aug!$A$2:$A$1079,0),MATCH(AC$3&amp;"",PQ_Aug!$B$1:$AF$1&amp;"",0)),0)</f>
        <v>1</v>
      </c>
      <c r="AD57" s="151"/>
      <c r="AE57" s="150" cm="1">
        <f t="array" ref="AE57">IFERROR(INDEX(PQ_Aug!$B$2:$AF$1079,MATCH($C57,PQ_Aug!$A$2:$A$1079,0),MATCH(AE$3&amp;"",PQ_Aug!$B$1:$AF$1&amp;"",0)),0)</f>
        <v>23</v>
      </c>
      <c r="AF57" s="151"/>
      <c r="AG57" s="150"/>
      <c r="AH57" s="150"/>
      <c r="AI57" s="150"/>
      <c r="AJ57" s="150"/>
      <c r="AK57" s="151"/>
      <c r="AL57" s="150"/>
      <c r="AM57" s="152">
        <v>36</v>
      </c>
      <c r="AN57" s="150">
        <f t="shared" si="4"/>
        <v>230</v>
      </c>
      <c r="AO57" s="153">
        <f t="shared" si="1"/>
        <v>1204</v>
      </c>
      <c r="AP57" s="23">
        <v>500</v>
      </c>
      <c r="AQ57" s="210" t="s">
        <v>79</v>
      </c>
      <c r="AR57" s="172"/>
      <c r="AS57" s="173"/>
      <c r="AT57" s="172"/>
      <c r="AU57" s="173"/>
      <c r="AV57" s="212"/>
      <c r="AW57" s="174"/>
      <c r="AX57" s="153">
        <f t="shared" si="5"/>
        <v>0</v>
      </c>
      <c r="AY57" s="153">
        <f t="shared" si="6"/>
        <v>0</v>
      </c>
      <c r="AZ57" s="153">
        <f t="shared" si="2"/>
        <v>0</v>
      </c>
      <c r="BA57" s="153">
        <f t="shared" si="3"/>
        <v>1204</v>
      </c>
      <c r="BB57" s="160"/>
      <c r="BC57" s="30"/>
      <c r="BD57" s="30"/>
      <c r="BE57" s="30"/>
      <c r="BF57" s="30"/>
    </row>
    <row r="58" spans="1:58" ht="22.5" customHeight="1">
      <c r="A58" s="233">
        <f t="shared" si="7"/>
        <v>185</v>
      </c>
      <c r="B58" s="234"/>
      <c r="C58" s="135" t="s">
        <v>40</v>
      </c>
      <c r="D58" s="75">
        <v>400</v>
      </c>
      <c r="E58" s="148">
        <v>29</v>
      </c>
      <c r="F58" s="148">
        <v>38</v>
      </c>
      <c r="G58" s="149">
        <f>Juli2026!AO58</f>
        <v>201</v>
      </c>
      <c r="H58" s="150" cm="1">
        <f t="array" ref="H58">IFERROR(INDEX(PQ_Aug!$B$2:$AF$1079,MATCH($C58,PQ_Aug!$A$2:$A$1079,0),MATCH(H$3&amp;"",PQ_Aug!$B$1:$AF$1&amp;"",0)),0)</f>
        <v>0</v>
      </c>
      <c r="I58" s="151"/>
      <c r="J58" s="150" cm="1">
        <f t="array" ref="J58">IFERROR(INDEX(PQ_Aug!$B$2:$AF$1079,MATCH($C58,PQ_Aug!$A$2:$A$1079,0),MATCH(J$3&amp;"",PQ_Aug!$B$1:$AF$1&amp;"",0)),0)</f>
        <v>1</v>
      </c>
      <c r="K58" s="150" cm="1">
        <f t="array" ref="K58">IFERROR(INDEX(PQ_Aug!$B$2:$AF$1079,MATCH($C58,PQ_Aug!$A$2:$A$1079,0),MATCH(K$3&amp;"",PQ_Aug!$B$1:$AF$1&amp;"",0)),0)</f>
        <v>1</v>
      </c>
      <c r="L58" s="150" cm="1">
        <f t="array" ref="L58">IFERROR(INDEX(PQ_Aug!$B$2:$AF$1079,MATCH($C58,PQ_Aug!$A$2:$A$1079,0),MATCH(L$3&amp;"",PQ_Aug!$B$1:$AF$1&amp;"",0)),0)</f>
        <v>0</v>
      </c>
      <c r="M58" s="150" cm="1">
        <f t="array" ref="M58">IFERROR(INDEX(PQ_Aug!$B$2:$AF$1079,MATCH($C58,PQ_Aug!$A$2:$A$1079,0),MATCH(M$3&amp;"",PQ_Aug!$B$1:$AF$1&amp;"",0)),0)</f>
        <v>0</v>
      </c>
      <c r="N58" s="150" cm="1">
        <f t="array" ref="N58">IFERROR(INDEX(PQ_Aug!$B$2:$AF$1079,MATCH($C58,PQ_Aug!$A$2:$A$1079,0),MATCH(N$3&amp;"",PQ_Aug!$B$1:$AF$1&amp;"",0)),0)</f>
        <v>0</v>
      </c>
      <c r="O58" s="150" cm="1">
        <f t="array" ref="O58">IFERROR(INDEX(PQ_Aug!$B$2:$AF$1079,MATCH($C58,PQ_Aug!$A$2:$A$1079,0),MATCH(O$3&amp;"",PQ_Aug!$B$1:$AF$1&amp;"",0)),0)</f>
        <v>0</v>
      </c>
      <c r="P58" s="151"/>
      <c r="Q58" s="150" cm="1">
        <f t="array" ref="Q58">IFERROR(INDEX(PQ_Aug!$B$2:$AF$1079,MATCH($C58,PQ_Aug!$A$2:$A$1079,0),MATCH(Q$3&amp;"",PQ_Aug!$B$1:$AF$1&amp;"",0)),0)</f>
        <v>0</v>
      </c>
      <c r="R58" s="150" cm="1">
        <f t="array" ref="R58">IFERROR(INDEX(PQ_Aug!$B$2:$AF$1079,MATCH($C58,PQ_Aug!$A$2:$A$1079,0),MATCH(R$3&amp;"",PQ_Aug!$B$1:$AF$1&amp;"",0)),0)</f>
        <v>2</v>
      </c>
      <c r="S58" s="150" cm="1">
        <f t="array" ref="S58">IFERROR(INDEX(PQ_Aug!$B$2:$AF$1079,MATCH($C58,PQ_Aug!$A$2:$A$1079,0),MATCH(S$3&amp;"",PQ_Aug!$B$1:$AF$1&amp;"",0)),0)</f>
        <v>0</v>
      </c>
      <c r="T58" s="150" cm="1">
        <f t="array" ref="T58">IFERROR(INDEX(PQ_Aug!$B$2:$AF$1079,MATCH($C58,PQ_Aug!$A$2:$A$1079,0),MATCH(T$3&amp;"",PQ_Aug!$B$1:$AF$1&amp;"",0)),0)</f>
        <v>0</v>
      </c>
      <c r="U58" s="150" cm="1">
        <f t="array" ref="U58">IFERROR(INDEX(PQ_Aug!$B$2:$AF$1079,MATCH($C58,PQ_Aug!$A$2:$A$1079,0),MATCH(U$3&amp;"",PQ_Aug!$B$1:$AF$1&amp;"",0)),0)</f>
        <v>0</v>
      </c>
      <c r="V58" s="150" cm="1">
        <f t="array" ref="V58">IFERROR(INDEX(PQ_Aug!$B$2:$AF$1079,MATCH($C58,PQ_Aug!$A$2:$A$1079,0),MATCH(V$3&amp;"",PQ_Aug!$B$1:$AF$1&amp;"",0)),0)</f>
        <v>0</v>
      </c>
      <c r="W58" s="151"/>
      <c r="X58" s="151"/>
      <c r="Y58" s="150" cm="1">
        <f t="array" ref="Y58">IFERROR(INDEX(PQ_Aug!$B$2:$AF$1079,MATCH($C58,PQ_Aug!$A$2:$A$1079,0),MATCH(Y$3&amp;"",PQ_Aug!$B$1:$AF$1&amp;"",0)),0)</f>
        <v>0</v>
      </c>
      <c r="Z58" s="150" cm="1">
        <f t="array" ref="Z58">IFERROR(INDEX(PQ_Aug!$B$2:$AF$1079,MATCH($C58,PQ_Aug!$A$2:$A$1079,0),MATCH(Z$3&amp;"",PQ_Aug!$B$1:$AF$1&amp;"",0)),0)</f>
        <v>0</v>
      </c>
      <c r="AA58" s="150" cm="1">
        <f t="array" ref="AA58">IFERROR(INDEX(PQ_Aug!$B$2:$AF$1079,MATCH($C58,PQ_Aug!$A$2:$A$1079,0),MATCH(AA$3&amp;"",PQ_Aug!$B$1:$AF$1&amp;"",0)),0)</f>
        <v>1</v>
      </c>
      <c r="AB58" s="150" cm="1">
        <f t="array" ref="AB58">IFERROR(INDEX(PQ_Aug!$B$2:$AF$1079,MATCH($C58,PQ_Aug!$A$2:$A$1079,0),MATCH(AB$3&amp;"",PQ_Aug!$B$1:$AF$1&amp;"",0)),0)</f>
        <v>0</v>
      </c>
      <c r="AC58" s="150" cm="1">
        <f t="array" ref="AC58">IFERROR(INDEX(PQ_Aug!$B$2:$AF$1079,MATCH($C58,PQ_Aug!$A$2:$A$1079,0),MATCH(AC$3&amp;"",PQ_Aug!$B$1:$AF$1&amp;"",0)),0)</f>
        <v>0</v>
      </c>
      <c r="AD58" s="151"/>
      <c r="AE58" s="150" cm="1">
        <f t="array" ref="AE58">IFERROR(INDEX(PQ_Aug!$B$2:$AF$1079,MATCH($C58,PQ_Aug!$A$2:$A$1079,0),MATCH(AE$3&amp;"",PQ_Aug!$B$1:$AF$1&amp;"",0)),0)</f>
        <v>1</v>
      </c>
      <c r="AF58" s="151"/>
      <c r="AG58" s="150"/>
      <c r="AH58" s="150"/>
      <c r="AI58" s="150"/>
      <c r="AJ58" s="150"/>
      <c r="AK58" s="151"/>
      <c r="AL58" s="150"/>
      <c r="AM58" s="152">
        <v>10</v>
      </c>
      <c r="AN58" s="150">
        <f t="shared" si="4"/>
        <v>16</v>
      </c>
      <c r="AO58" s="153">
        <f t="shared" si="1"/>
        <v>185</v>
      </c>
      <c r="AP58" s="23">
        <v>150</v>
      </c>
      <c r="AQ58" s="210" t="s">
        <v>79</v>
      </c>
      <c r="AR58" s="172"/>
      <c r="AS58" s="173"/>
      <c r="AT58" s="172"/>
      <c r="AU58" s="173"/>
      <c r="AV58" s="172"/>
      <c r="AW58" s="174"/>
      <c r="AX58" s="153">
        <f t="shared" si="5"/>
        <v>0</v>
      </c>
      <c r="AY58" s="153">
        <f t="shared" si="6"/>
        <v>0</v>
      </c>
      <c r="AZ58" s="153">
        <f t="shared" si="2"/>
        <v>0</v>
      </c>
      <c r="BA58" s="153">
        <f t="shared" si="3"/>
        <v>185</v>
      </c>
      <c r="BB58" s="160"/>
      <c r="BC58" s="30"/>
      <c r="BD58" s="30"/>
      <c r="BE58" s="30"/>
      <c r="BF58" s="30"/>
    </row>
    <row r="59" spans="1:58" ht="22.5" customHeight="1">
      <c r="A59" s="242">
        <f t="shared" si="7"/>
        <v>1739</v>
      </c>
      <c r="B59" s="243"/>
      <c r="C59" s="135" t="s">
        <v>41</v>
      </c>
      <c r="D59" s="75">
        <v>700</v>
      </c>
      <c r="E59" s="148">
        <v>210</v>
      </c>
      <c r="F59" s="148">
        <v>406</v>
      </c>
      <c r="G59" s="149">
        <f>Juli2026!AO59</f>
        <v>2023</v>
      </c>
      <c r="H59" s="150" cm="1">
        <f t="array" ref="H59">IFERROR(INDEX(PQ_Aug!$B$2:$AF$1079,MATCH($C59,PQ_Aug!$A$2:$A$1079,0),MATCH(H$3&amp;"",PQ_Aug!$B$1:$AF$1&amp;"",0)),0)</f>
        <v>13</v>
      </c>
      <c r="I59" s="151"/>
      <c r="J59" s="150" cm="1">
        <f t="array" ref="J59">IFERROR(INDEX(PQ_Aug!$B$2:$AF$1079,MATCH($C59,PQ_Aug!$A$2:$A$1079,0),MATCH(J$3&amp;"",PQ_Aug!$B$1:$AF$1&amp;"",0)),0)</f>
        <v>13</v>
      </c>
      <c r="K59" s="150" cm="1">
        <f t="array" ref="K59">IFERROR(INDEX(PQ_Aug!$B$2:$AF$1079,MATCH($C59,PQ_Aug!$A$2:$A$1079,0),MATCH(K$3&amp;"",PQ_Aug!$B$1:$AF$1&amp;"",0)),0)</f>
        <v>21</v>
      </c>
      <c r="L59" s="150" cm="1">
        <f t="array" ref="L59">IFERROR(INDEX(PQ_Aug!$B$2:$AF$1079,MATCH($C59,PQ_Aug!$A$2:$A$1079,0),MATCH(L$3&amp;"",PQ_Aug!$B$1:$AF$1&amp;"",0)),0)</f>
        <v>1</v>
      </c>
      <c r="M59" s="150" cm="1">
        <f t="array" ref="M59">IFERROR(INDEX(PQ_Aug!$B$2:$AF$1079,MATCH($C59,PQ_Aug!$A$2:$A$1079,0),MATCH(M$3&amp;"",PQ_Aug!$B$1:$AF$1&amp;"",0)),0)</f>
        <v>22</v>
      </c>
      <c r="N59" s="150" cm="1">
        <f t="array" ref="N59">IFERROR(INDEX(PQ_Aug!$B$2:$AF$1079,MATCH($C59,PQ_Aug!$A$2:$A$1079,0),MATCH(N$3&amp;"",PQ_Aug!$B$1:$AF$1&amp;"",0)),0)</f>
        <v>4</v>
      </c>
      <c r="O59" s="150" cm="1">
        <f t="array" ref="O59">IFERROR(INDEX(PQ_Aug!$B$2:$AF$1079,MATCH($C59,PQ_Aug!$A$2:$A$1079,0),MATCH(O$3&amp;"",PQ_Aug!$B$1:$AF$1&amp;"",0)),0)</f>
        <v>9</v>
      </c>
      <c r="P59" s="151"/>
      <c r="Q59" s="150" cm="1">
        <f t="array" ref="Q59">IFERROR(INDEX(PQ_Aug!$B$2:$AF$1079,MATCH($C59,PQ_Aug!$A$2:$A$1079,0),MATCH(Q$3&amp;"",PQ_Aug!$B$1:$AF$1&amp;"",0)),0)</f>
        <v>14</v>
      </c>
      <c r="R59" s="150" cm="1">
        <f t="array" ref="R59">IFERROR(INDEX(PQ_Aug!$B$2:$AF$1079,MATCH($C59,PQ_Aug!$A$2:$A$1079,0),MATCH(R$3&amp;"",PQ_Aug!$B$1:$AF$1&amp;"",0)),0)</f>
        <v>27</v>
      </c>
      <c r="S59" s="150" cm="1">
        <f t="array" ref="S59">IFERROR(INDEX(PQ_Aug!$B$2:$AF$1079,MATCH($C59,PQ_Aug!$A$2:$A$1079,0),MATCH(S$3&amp;"",PQ_Aug!$B$1:$AF$1&amp;"",0)),0)</f>
        <v>15</v>
      </c>
      <c r="T59" s="150" cm="1">
        <f t="array" ref="T59">IFERROR(INDEX(PQ_Aug!$B$2:$AF$1079,MATCH($C59,PQ_Aug!$A$2:$A$1079,0),MATCH(T$3&amp;"",PQ_Aug!$B$1:$AF$1&amp;"",0)),0)</f>
        <v>26</v>
      </c>
      <c r="U59" s="150" cm="1">
        <f t="array" ref="U59">IFERROR(INDEX(PQ_Aug!$B$2:$AF$1079,MATCH($C59,PQ_Aug!$A$2:$A$1079,0),MATCH(U$3&amp;"",PQ_Aug!$B$1:$AF$1&amp;"",0)),0)</f>
        <v>1</v>
      </c>
      <c r="V59" s="150" cm="1">
        <f t="array" ref="V59">IFERROR(INDEX(PQ_Aug!$B$2:$AF$1079,MATCH($C59,PQ_Aug!$A$2:$A$1079,0),MATCH(V$3&amp;"",PQ_Aug!$B$1:$AF$1&amp;"",0)),0)</f>
        <v>3</v>
      </c>
      <c r="W59" s="151"/>
      <c r="X59" s="151"/>
      <c r="Y59" s="150" cm="1">
        <f t="array" ref="Y59">IFERROR(INDEX(PQ_Aug!$B$2:$AF$1079,MATCH($C59,PQ_Aug!$A$2:$A$1079,0),MATCH(Y$3&amp;"",PQ_Aug!$B$1:$AF$1&amp;"",0)),0)</f>
        <v>14</v>
      </c>
      <c r="Z59" s="150" cm="1">
        <f t="array" ref="Z59">IFERROR(INDEX(PQ_Aug!$B$2:$AF$1079,MATCH($C59,PQ_Aug!$A$2:$A$1079,0),MATCH(Z$3&amp;"",PQ_Aug!$B$1:$AF$1&amp;"",0)),0)</f>
        <v>11</v>
      </c>
      <c r="AA59" s="150" cm="1">
        <f t="array" ref="AA59">IFERROR(INDEX(PQ_Aug!$B$2:$AF$1079,MATCH($C59,PQ_Aug!$A$2:$A$1079,0),MATCH(AA$3&amp;"",PQ_Aug!$B$1:$AF$1&amp;"",0)),0)</f>
        <v>3</v>
      </c>
      <c r="AB59" s="150" cm="1">
        <f t="array" ref="AB59">IFERROR(INDEX(PQ_Aug!$B$2:$AF$1079,MATCH($C59,PQ_Aug!$A$2:$A$1079,0),MATCH(AB$3&amp;"",PQ_Aug!$B$1:$AF$1&amp;"",0)),0)</f>
        <v>18</v>
      </c>
      <c r="AC59" s="150" cm="1">
        <f t="array" ref="AC59">IFERROR(INDEX(PQ_Aug!$B$2:$AF$1079,MATCH($C59,PQ_Aug!$A$2:$A$1079,0),MATCH(AC$3&amp;"",PQ_Aug!$B$1:$AF$1&amp;"",0)),0)</f>
        <v>3</v>
      </c>
      <c r="AD59" s="151"/>
      <c r="AE59" s="150" cm="1">
        <f t="array" ref="AE59">IFERROR(INDEX(PQ_Aug!$B$2:$AF$1079,MATCH($C59,PQ_Aug!$A$2:$A$1079,0),MATCH(AE$3&amp;"",PQ_Aug!$B$1:$AF$1&amp;"",0)),0)</f>
        <v>26</v>
      </c>
      <c r="AF59" s="151"/>
      <c r="AG59" s="150"/>
      <c r="AH59" s="150"/>
      <c r="AI59" s="150"/>
      <c r="AJ59" s="150"/>
      <c r="AK59" s="151"/>
      <c r="AL59" s="150"/>
      <c r="AM59" s="152">
        <v>40</v>
      </c>
      <c r="AN59" s="150">
        <f t="shared" si="4"/>
        <v>284</v>
      </c>
      <c r="AO59" s="153">
        <f t="shared" si="1"/>
        <v>1739</v>
      </c>
      <c r="AP59" s="23">
        <v>700</v>
      </c>
      <c r="AQ59" s="210" t="s">
        <v>79</v>
      </c>
      <c r="AR59" s="172"/>
      <c r="AS59" s="173"/>
      <c r="AT59" s="172"/>
      <c r="AU59" s="173"/>
      <c r="AV59" s="212"/>
      <c r="AW59" s="174"/>
      <c r="AX59" s="153">
        <f t="shared" si="5"/>
        <v>0</v>
      </c>
      <c r="AY59" s="153">
        <f t="shared" si="6"/>
        <v>0</v>
      </c>
      <c r="AZ59" s="153">
        <f t="shared" si="2"/>
        <v>0</v>
      </c>
      <c r="BA59" s="153">
        <f t="shared" si="3"/>
        <v>1739</v>
      </c>
      <c r="BB59" s="160"/>
      <c r="BC59" s="30"/>
      <c r="BD59" s="30"/>
      <c r="BE59" s="30"/>
      <c r="BF59" s="30"/>
    </row>
    <row r="60" spans="1:58" ht="22.5" customHeight="1">
      <c r="A60" s="233">
        <f t="shared" si="7"/>
        <v>582</v>
      </c>
      <c r="B60" s="234"/>
      <c r="C60" s="135" t="s">
        <v>42</v>
      </c>
      <c r="D60" s="75">
        <v>750</v>
      </c>
      <c r="E60" s="148">
        <v>69</v>
      </c>
      <c r="F60" s="148">
        <v>185</v>
      </c>
      <c r="G60" s="149">
        <f>Juli2026!AO60</f>
        <v>713</v>
      </c>
      <c r="H60" s="150" cm="1">
        <f t="array" ref="H60">IFERROR(INDEX(PQ_Aug!$B$2:$AF$1079,MATCH($C60,PQ_Aug!$A$2:$A$1079,0),MATCH(H$3&amp;"",PQ_Aug!$B$1:$AF$1&amp;"",0)),0)</f>
        <v>6</v>
      </c>
      <c r="I60" s="151"/>
      <c r="J60" s="150" cm="1">
        <f t="array" ref="J60">IFERROR(INDEX(PQ_Aug!$B$2:$AF$1079,MATCH($C60,PQ_Aug!$A$2:$A$1079,0),MATCH(J$3&amp;"",PQ_Aug!$B$1:$AF$1&amp;"",0)),0)</f>
        <v>3</v>
      </c>
      <c r="K60" s="150" cm="1">
        <f t="array" ref="K60">IFERROR(INDEX(PQ_Aug!$B$2:$AF$1079,MATCH($C60,PQ_Aug!$A$2:$A$1079,0),MATCH(K$3&amp;"",PQ_Aug!$B$1:$AF$1&amp;"",0)),0)</f>
        <v>6</v>
      </c>
      <c r="L60" s="150" cm="1">
        <f t="array" ref="L60">IFERROR(INDEX(PQ_Aug!$B$2:$AF$1079,MATCH($C60,PQ_Aug!$A$2:$A$1079,0),MATCH(L$3&amp;"",PQ_Aug!$B$1:$AF$1&amp;"",0)),0)</f>
        <v>0</v>
      </c>
      <c r="M60" s="150" cm="1">
        <f t="array" ref="M60">IFERROR(INDEX(PQ_Aug!$B$2:$AF$1079,MATCH($C60,PQ_Aug!$A$2:$A$1079,0),MATCH(M$3&amp;"",PQ_Aug!$B$1:$AF$1&amp;"",0)),0)</f>
        <v>9</v>
      </c>
      <c r="N60" s="150" cm="1">
        <f t="array" ref="N60">IFERROR(INDEX(PQ_Aug!$B$2:$AF$1079,MATCH($C60,PQ_Aug!$A$2:$A$1079,0),MATCH(N$3&amp;"",PQ_Aug!$B$1:$AF$1&amp;"",0)),0)</f>
        <v>0</v>
      </c>
      <c r="O60" s="150" cm="1">
        <f t="array" ref="O60">IFERROR(INDEX(PQ_Aug!$B$2:$AF$1079,MATCH($C60,PQ_Aug!$A$2:$A$1079,0),MATCH(O$3&amp;"",PQ_Aug!$B$1:$AF$1&amp;"",0)),0)</f>
        <v>8</v>
      </c>
      <c r="P60" s="151"/>
      <c r="Q60" s="150" cm="1">
        <f t="array" ref="Q60">IFERROR(INDEX(PQ_Aug!$B$2:$AF$1079,MATCH($C60,PQ_Aug!$A$2:$A$1079,0),MATCH(Q$3&amp;"",PQ_Aug!$B$1:$AF$1&amp;"",0)),0)</f>
        <v>7</v>
      </c>
      <c r="R60" s="150" cm="1">
        <f t="array" ref="R60">IFERROR(INDEX(PQ_Aug!$B$2:$AF$1079,MATCH($C60,PQ_Aug!$A$2:$A$1079,0),MATCH(R$3&amp;"",PQ_Aug!$B$1:$AF$1&amp;"",0)),0)</f>
        <v>11</v>
      </c>
      <c r="S60" s="150" cm="1">
        <f t="array" ref="S60">IFERROR(INDEX(PQ_Aug!$B$2:$AF$1079,MATCH($C60,PQ_Aug!$A$2:$A$1079,0),MATCH(S$3&amp;"",PQ_Aug!$B$1:$AF$1&amp;"",0)),0)</f>
        <v>0</v>
      </c>
      <c r="T60" s="150" cm="1">
        <f t="array" ref="T60">IFERROR(INDEX(PQ_Aug!$B$2:$AF$1079,MATCH($C60,PQ_Aug!$A$2:$A$1079,0),MATCH(T$3&amp;"",PQ_Aug!$B$1:$AF$1&amp;"",0)),0)</f>
        <v>54</v>
      </c>
      <c r="U60" s="150" cm="1">
        <f t="array" ref="U60">IFERROR(INDEX(PQ_Aug!$B$2:$AF$1079,MATCH($C60,PQ_Aug!$A$2:$A$1079,0),MATCH(U$3&amp;"",PQ_Aug!$B$1:$AF$1&amp;"",0)),0)</f>
        <v>1</v>
      </c>
      <c r="V60" s="150" cm="1">
        <f t="array" ref="V60">IFERROR(INDEX(PQ_Aug!$B$2:$AF$1079,MATCH($C60,PQ_Aug!$A$2:$A$1079,0),MATCH(V$3&amp;"",PQ_Aug!$B$1:$AF$1&amp;"",0)),0)</f>
        <v>3</v>
      </c>
      <c r="W60" s="151"/>
      <c r="X60" s="151"/>
      <c r="Y60" s="150" cm="1">
        <f t="array" ref="Y60">IFERROR(INDEX(PQ_Aug!$B$2:$AF$1079,MATCH($C60,PQ_Aug!$A$2:$A$1079,0),MATCH(Y$3&amp;"",PQ_Aug!$B$1:$AF$1&amp;"",0)),0)</f>
        <v>0</v>
      </c>
      <c r="Z60" s="150" cm="1">
        <f t="array" ref="Z60">IFERROR(INDEX(PQ_Aug!$B$2:$AF$1079,MATCH($C60,PQ_Aug!$A$2:$A$1079,0),MATCH(Z$3&amp;"",PQ_Aug!$B$1:$AF$1&amp;"",0)),0)</f>
        <v>0</v>
      </c>
      <c r="AA60" s="150" cm="1">
        <f t="array" ref="AA60">IFERROR(INDEX(PQ_Aug!$B$2:$AF$1079,MATCH($C60,PQ_Aug!$A$2:$A$1079,0),MATCH(AA$3&amp;"",PQ_Aug!$B$1:$AF$1&amp;"",0)),0)</f>
        <v>0</v>
      </c>
      <c r="AB60" s="150" cm="1">
        <f t="array" ref="AB60">IFERROR(INDEX(PQ_Aug!$B$2:$AF$1079,MATCH($C60,PQ_Aug!$A$2:$A$1079,0),MATCH(AB$3&amp;"",PQ_Aug!$B$1:$AF$1&amp;"",0)),0)</f>
        <v>0</v>
      </c>
      <c r="AC60" s="150" cm="1">
        <f t="array" ref="AC60">IFERROR(INDEX(PQ_Aug!$B$2:$AF$1079,MATCH($C60,PQ_Aug!$A$2:$A$1079,0),MATCH(AC$3&amp;"",PQ_Aug!$B$1:$AF$1&amp;"",0)),0)</f>
        <v>0</v>
      </c>
      <c r="AD60" s="151"/>
      <c r="AE60" s="150" cm="1">
        <f t="array" ref="AE60">IFERROR(INDEX(PQ_Aug!$B$2:$AF$1079,MATCH($C60,PQ_Aug!$A$2:$A$1079,0),MATCH(AE$3&amp;"",PQ_Aug!$B$1:$AF$1&amp;"",0)),0)</f>
        <v>1</v>
      </c>
      <c r="AF60" s="151"/>
      <c r="AG60" s="150"/>
      <c r="AH60" s="150"/>
      <c r="AI60" s="150"/>
      <c r="AJ60" s="150"/>
      <c r="AK60" s="151"/>
      <c r="AL60" s="150"/>
      <c r="AM60" s="152">
        <v>22</v>
      </c>
      <c r="AN60" s="150">
        <f t="shared" si="4"/>
        <v>131</v>
      </c>
      <c r="AO60" s="153">
        <f t="shared" si="1"/>
        <v>582</v>
      </c>
      <c r="AP60" s="23">
        <v>400</v>
      </c>
      <c r="AQ60" s="210" t="s">
        <v>79</v>
      </c>
      <c r="AR60" s="172"/>
      <c r="AS60" s="173"/>
      <c r="AT60" s="172"/>
      <c r="AU60" s="173"/>
      <c r="AV60" s="212"/>
      <c r="AW60" s="174"/>
      <c r="AX60" s="153">
        <f t="shared" si="5"/>
        <v>0</v>
      </c>
      <c r="AY60" s="153">
        <f t="shared" si="6"/>
        <v>0</v>
      </c>
      <c r="AZ60" s="153">
        <f t="shared" si="2"/>
        <v>0</v>
      </c>
      <c r="BA60" s="153">
        <f t="shared" si="3"/>
        <v>582</v>
      </c>
      <c r="BB60" s="160"/>
      <c r="BC60" s="30"/>
      <c r="BD60" s="30"/>
      <c r="BE60" s="30"/>
      <c r="BF60" s="30"/>
    </row>
    <row r="61" spans="1:58" ht="22.5" customHeight="1">
      <c r="A61" s="233">
        <f t="shared" si="7"/>
        <v>1622</v>
      </c>
      <c r="B61" s="234"/>
      <c r="C61" s="135" t="s">
        <v>43</v>
      </c>
      <c r="D61" s="75">
        <v>440</v>
      </c>
      <c r="E61" s="148">
        <v>67</v>
      </c>
      <c r="F61" s="148">
        <v>192</v>
      </c>
      <c r="G61" s="149">
        <f>Juli2026!AO61</f>
        <v>1749</v>
      </c>
      <c r="H61" s="150" cm="1">
        <f t="array" ref="H61">IFERROR(INDEX(PQ_Aug!$B$2:$AF$1079,MATCH($C61,PQ_Aug!$A$2:$A$1079,0),MATCH(H$3&amp;"",PQ_Aug!$B$1:$AF$1&amp;"",0)),0)</f>
        <v>5</v>
      </c>
      <c r="I61" s="151"/>
      <c r="J61" s="150" cm="1">
        <f t="array" ref="J61">IFERROR(INDEX(PQ_Aug!$B$2:$AF$1079,MATCH($C61,PQ_Aug!$A$2:$A$1079,0),MATCH(J$3&amp;"",PQ_Aug!$B$1:$AF$1&amp;"",0)),0)</f>
        <v>3</v>
      </c>
      <c r="K61" s="150" cm="1">
        <f t="array" ref="K61">IFERROR(INDEX(PQ_Aug!$B$2:$AF$1079,MATCH($C61,PQ_Aug!$A$2:$A$1079,0),MATCH(K$3&amp;"",PQ_Aug!$B$1:$AF$1&amp;"",0)),0)</f>
        <v>6</v>
      </c>
      <c r="L61" s="150" cm="1">
        <f t="array" ref="L61">IFERROR(INDEX(PQ_Aug!$B$2:$AF$1079,MATCH($C61,PQ_Aug!$A$2:$A$1079,0),MATCH(L$3&amp;"",PQ_Aug!$B$1:$AF$1&amp;"",0)),0)</f>
        <v>0</v>
      </c>
      <c r="M61" s="150" cm="1">
        <f t="array" ref="M61">IFERROR(INDEX(PQ_Aug!$B$2:$AF$1079,MATCH($C61,PQ_Aug!$A$2:$A$1079,0),MATCH(M$3&amp;"",PQ_Aug!$B$1:$AF$1&amp;"",0)),0)</f>
        <v>8</v>
      </c>
      <c r="N61" s="150" cm="1">
        <f t="array" ref="N61">IFERROR(INDEX(PQ_Aug!$B$2:$AF$1079,MATCH($C61,PQ_Aug!$A$2:$A$1079,0),MATCH(N$3&amp;"",PQ_Aug!$B$1:$AF$1&amp;"",0)),0)</f>
        <v>0</v>
      </c>
      <c r="O61" s="150" cm="1">
        <f t="array" ref="O61">IFERROR(INDEX(PQ_Aug!$B$2:$AF$1079,MATCH($C61,PQ_Aug!$A$2:$A$1079,0),MATCH(O$3&amp;"",PQ_Aug!$B$1:$AF$1&amp;"",0)),0)</f>
        <v>8</v>
      </c>
      <c r="P61" s="151"/>
      <c r="Q61" s="150" cm="1">
        <f t="array" ref="Q61">IFERROR(INDEX(PQ_Aug!$B$2:$AF$1079,MATCH($C61,PQ_Aug!$A$2:$A$1079,0),MATCH(Q$3&amp;"",PQ_Aug!$B$1:$AF$1&amp;"",0)),0)</f>
        <v>7</v>
      </c>
      <c r="R61" s="150" cm="1">
        <f t="array" ref="R61">IFERROR(INDEX(PQ_Aug!$B$2:$AF$1079,MATCH($C61,PQ_Aug!$A$2:$A$1079,0),MATCH(R$3&amp;"",PQ_Aug!$B$1:$AF$1&amp;"",0)),0)</f>
        <v>9</v>
      </c>
      <c r="S61" s="150" cm="1">
        <f t="array" ref="S61">IFERROR(INDEX(PQ_Aug!$B$2:$AF$1079,MATCH($C61,PQ_Aug!$A$2:$A$1079,0),MATCH(S$3&amp;"",PQ_Aug!$B$1:$AF$1&amp;"",0)),0)</f>
        <v>0</v>
      </c>
      <c r="T61" s="150" cm="1">
        <f t="array" ref="T61">IFERROR(INDEX(PQ_Aug!$B$2:$AF$1079,MATCH($C61,PQ_Aug!$A$2:$A$1079,0),MATCH(T$3&amp;"",PQ_Aug!$B$1:$AF$1&amp;"",0)),0)</f>
        <v>54</v>
      </c>
      <c r="U61" s="150" cm="1">
        <f t="array" ref="U61">IFERROR(INDEX(PQ_Aug!$B$2:$AF$1079,MATCH($C61,PQ_Aug!$A$2:$A$1079,0),MATCH(U$3&amp;"",PQ_Aug!$B$1:$AF$1&amp;"",0)),0)</f>
        <v>1</v>
      </c>
      <c r="V61" s="150" cm="1">
        <f t="array" ref="V61">IFERROR(INDEX(PQ_Aug!$B$2:$AF$1079,MATCH($C61,PQ_Aug!$A$2:$A$1079,0),MATCH(V$3&amp;"",PQ_Aug!$B$1:$AF$1&amp;"",0)),0)</f>
        <v>3</v>
      </c>
      <c r="W61" s="151"/>
      <c r="X61" s="151"/>
      <c r="Y61" s="150" cm="1">
        <f t="array" ref="Y61">IFERROR(INDEX(PQ_Aug!$B$2:$AF$1079,MATCH($C61,PQ_Aug!$A$2:$A$1079,0),MATCH(Y$3&amp;"",PQ_Aug!$B$1:$AF$1&amp;"",0)),0)</f>
        <v>0</v>
      </c>
      <c r="Z61" s="150" cm="1">
        <f t="array" ref="Z61">IFERROR(INDEX(PQ_Aug!$B$2:$AF$1079,MATCH($C61,PQ_Aug!$A$2:$A$1079,0),MATCH(Z$3&amp;"",PQ_Aug!$B$1:$AF$1&amp;"",0)),0)</f>
        <v>0</v>
      </c>
      <c r="AA61" s="150" cm="1">
        <f t="array" ref="AA61">IFERROR(INDEX(PQ_Aug!$B$2:$AF$1079,MATCH($C61,PQ_Aug!$A$2:$A$1079,0),MATCH(AA$3&amp;"",PQ_Aug!$B$1:$AF$1&amp;"",0)),0)</f>
        <v>0</v>
      </c>
      <c r="AB61" s="150" cm="1">
        <f t="array" ref="AB61">IFERROR(INDEX(PQ_Aug!$B$2:$AF$1079,MATCH($C61,PQ_Aug!$A$2:$A$1079,0),MATCH(AB$3&amp;"",PQ_Aug!$B$1:$AF$1&amp;"",0)),0)</f>
        <v>0</v>
      </c>
      <c r="AC61" s="150" cm="1">
        <f t="array" ref="AC61">IFERROR(INDEX(PQ_Aug!$B$2:$AF$1079,MATCH($C61,PQ_Aug!$A$2:$A$1079,0),MATCH(AC$3&amp;"",PQ_Aug!$B$1:$AF$1&amp;"",0)),0)</f>
        <v>0</v>
      </c>
      <c r="AD61" s="151"/>
      <c r="AE61" s="150" cm="1">
        <f t="array" ref="AE61">IFERROR(INDEX(PQ_Aug!$B$2:$AF$1079,MATCH($C61,PQ_Aug!$A$2:$A$1079,0),MATCH(AE$3&amp;"",PQ_Aug!$B$1:$AF$1&amp;"",0)),0)</f>
        <v>1</v>
      </c>
      <c r="AF61" s="151"/>
      <c r="AG61" s="150"/>
      <c r="AH61" s="150"/>
      <c r="AI61" s="150"/>
      <c r="AJ61" s="150"/>
      <c r="AK61" s="151"/>
      <c r="AL61" s="150"/>
      <c r="AM61" s="152">
        <v>22</v>
      </c>
      <c r="AN61" s="150">
        <f t="shared" si="4"/>
        <v>127</v>
      </c>
      <c r="AO61" s="153">
        <f t="shared" si="1"/>
        <v>1622</v>
      </c>
      <c r="AP61" s="23">
        <v>440</v>
      </c>
      <c r="AQ61" s="210" t="s">
        <v>79</v>
      </c>
      <c r="AR61" s="172"/>
      <c r="AS61" s="173"/>
      <c r="AT61" s="172"/>
      <c r="AU61" s="173"/>
      <c r="AV61" s="212"/>
      <c r="AW61" s="174"/>
      <c r="AX61" s="153">
        <f t="shared" si="5"/>
        <v>0</v>
      </c>
      <c r="AY61" s="153">
        <f t="shared" si="6"/>
        <v>0</v>
      </c>
      <c r="AZ61" s="153">
        <f t="shared" si="2"/>
        <v>0</v>
      </c>
      <c r="BA61" s="153">
        <f t="shared" si="3"/>
        <v>1622</v>
      </c>
      <c r="BB61" s="160"/>
      <c r="BC61" s="30"/>
      <c r="BD61" s="30"/>
      <c r="BE61" s="30"/>
      <c r="BF61" s="30"/>
    </row>
    <row r="62" spans="1:58" ht="22.5" customHeight="1">
      <c r="A62" s="242">
        <f t="shared" si="7"/>
        <v>2818</v>
      </c>
      <c r="B62" s="243"/>
      <c r="C62" s="135" t="s">
        <v>44</v>
      </c>
      <c r="D62" s="75">
        <v>1600</v>
      </c>
      <c r="E62" s="148">
        <v>48</v>
      </c>
      <c r="F62" s="148">
        <v>61</v>
      </c>
      <c r="G62" s="149">
        <f>Juli2026!AO62</f>
        <v>2904</v>
      </c>
      <c r="H62" s="150" cm="1">
        <f t="array" ref="H62">IFERROR(INDEX(PQ_Aug!$B$2:$AF$1079,MATCH($C62,PQ_Aug!$A$2:$A$1079,0),MATCH(H$3&amp;"",PQ_Aug!$B$1:$AF$1&amp;"",0)),0)</f>
        <v>1</v>
      </c>
      <c r="I62" s="151"/>
      <c r="J62" s="150" cm="1">
        <f t="array" ref="J62">IFERROR(INDEX(PQ_Aug!$B$2:$AF$1079,MATCH($C62,PQ_Aug!$A$2:$A$1079,0),MATCH(J$3&amp;"",PQ_Aug!$B$1:$AF$1&amp;"",0)),0)</f>
        <v>4</v>
      </c>
      <c r="K62" s="150" cm="1">
        <f t="array" ref="K62">IFERROR(INDEX(PQ_Aug!$B$2:$AF$1079,MATCH($C62,PQ_Aug!$A$2:$A$1079,0),MATCH(K$3&amp;"",PQ_Aug!$B$1:$AF$1&amp;"",0)),0)</f>
        <v>0</v>
      </c>
      <c r="L62" s="150" cm="1">
        <f t="array" ref="L62">IFERROR(INDEX(PQ_Aug!$B$2:$AF$1079,MATCH($C62,PQ_Aug!$A$2:$A$1079,0),MATCH(L$3&amp;"",PQ_Aug!$B$1:$AF$1&amp;"",0)),0)</f>
        <v>7</v>
      </c>
      <c r="M62" s="150" cm="1">
        <f t="array" ref="M62">IFERROR(INDEX(PQ_Aug!$B$2:$AF$1079,MATCH($C62,PQ_Aug!$A$2:$A$1079,0),MATCH(M$3&amp;"",PQ_Aug!$B$1:$AF$1&amp;"",0)),0)</f>
        <v>1</v>
      </c>
      <c r="N62" s="150" cm="1">
        <f t="array" ref="N62">IFERROR(INDEX(PQ_Aug!$B$2:$AF$1079,MATCH($C62,PQ_Aug!$A$2:$A$1079,0),MATCH(N$3&amp;"",PQ_Aug!$B$1:$AF$1&amp;"",0)),0)</f>
        <v>1</v>
      </c>
      <c r="O62" s="150" cm="1">
        <f t="array" ref="O62">IFERROR(INDEX(PQ_Aug!$B$2:$AF$1079,MATCH($C62,PQ_Aug!$A$2:$A$1079,0),MATCH(O$3&amp;"",PQ_Aug!$B$1:$AF$1&amp;"",0)),0)</f>
        <v>4</v>
      </c>
      <c r="P62" s="151"/>
      <c r="Q62" s="150" cm="1">
        <f t="array" ref="Q62">IFERROR(INDEX(PQ_Aug!$B$2:$AF$1079,MATCH($C62,PQ_Aug!$A$2:$A$1079,0),MATCH(Q$3&amp;"",PQ_Aug!$B$1:$AF$1&amp;"",0)),0)</f>
        <v>2</v>
      </c>
      <c r="R62" s="150" cm="1">
        <f t="array" ref="R62">IFERROR(INDEX(PQ_Aug!$B$2:$AF$1079,MATCH($C62,PQ_Aug!$A$2:$A$1079,0),MATCH(R$3&amp;"",PQ_Aug!$B$1:$AF$1&amp;"",0)),0)</f>
        <v>4</v>
      </c>
      <c r="S62" s="150" cm="1">
        <f t="array" ref="S62">IFERROR(INDEX(PQ_Aug!$B$2:$AF$1079,MATCH($C62,PQ_Aug!$A$2:$A$1079,0),MATCH(S$3&amp;"",PQ_Aug!$B$1:$AF$1&amp;"",0)),0)</f>
        <v>4</v>
      </c>
      <c r="T62" s="150" cm="1">
        <f t="array" ref="T62">IFERROR(INDEX(PQ_Aug!$B$2:$AF$1079,MATCH($C62,PQ_Aug!$A$2:$A$1079,0),MATCH(T$3&amp;"",PQ_Aug!$B$1:$AF$1&amp;"",0)),0)</f>
        <v>3</v>
      </c>
      <c r="U62" s="150" cm="1">
        <f t="array" ref="U62">IFERROR(INDEX(PQ_Aug!$B$2:$AF$1079,MATCH($C62,PQ_Aug!$A$2:$A$1079,0),MATCH(U$3&amp;"",PQ_Aug!$B$1:$AF$1&amp;"",0)),0)</f>
        <v>0</v>
      </c>
      <c r="V62" s="150" cm="1">
        <f t="array" ref="V62">IFERROR(INDEX(PQ_Aug!$B$2:$AF$1079,MATCH($C62,PQ_Aug!$A$2:$A$1079,0),MATCH(V$3&amp;"",PQ_Aug!$B$1:$AF$1&amp;"",0)),0)</f>
        <v>1</v>
      </c>
      <c r="W62" s="151"/>
      <c r="X62" s="151"/>
      <c r="Y62" s="150" cm="1">
        <f t="array" ref="Y62">IFERROR(INDEX(PQ_Aug!$B$2:$AF$1079,MATCH($C62,PQ_Aug!$A$2:$A$1079,0),MATCH(Y$3&amp;"",PQ_Aug!$B$1:$AF$1&amp;"",0)),0)</f>
        <v>4</v>
      </c>
      <c r="Z62" s="150" cm="1">
        <f t="array" ref="Z62">IFERROR(INDEX(PQ_Aug!$B$2:$AF$1079,MATCH($C62,PQ_Aug!$A$2:$A$1079,0),MATCH(Z$3&amp;"",PQ_Aug!$B$1:$AF$1&amp;"",0)),0)</f>
        <v>3</v>
      </c>
      <c r="AA62" s="150" cm="1">
        <f t="array" ref="AA62">IFERROR(INDEX(PQ_Aug!$B$2:$AF$1079,MATCH($C62,PQ_Aug!$A$2:$A$1079,0),MATCH(AA$3&amp;"",PQ_Aug!$B$1:$AF$1&amp;"",0)),0)</f>
        <v>3</v>
      </c>
      <c r="AB62" s="150" cm="1">
        <f t="array" ref="AB62">IFERROR(INDEX(PQ_Aug!$B$2:$AF$1079,MATCH($C62,PQ_Aug!$A$2:$A$1079,0),MATCH(AB$3&amp;"",PQ_Aug!$B$1:$AF$1&amp;"",0)),0)</f>
        <v>1</v>
      </c>
      <c r="AC62" s="150" cm="1">
        <f t="array" ref="AC62">IFERROR(INDEX(PQ_Aug!$B$2:$AF$1079,MATCH($C62,PQ_Aug!$A$2:$A$1079,0),MATCH(AC$3&amp;"",PQ_Aug!$B$1:$AF$1&amp;"",0)),0)</f>
        <v>4</v>
      </c>
      <c r="AD62" s="151"/>
      <c r="AE62" s="150" cm="1">
        <f t="array" ref="AE62">IFERROR(INDEX(PQ_Aug!$B$2:$AF$1079,MATCH($C62,PQ_Aug!$A$2:$A$1079,0),MATCH(AE$3&amp;"",PQ_Aug!$B$1:$AF$1&amp;"",0)),0)</f>
        <v>3</v>
      </c>
      <c r="AF62" s="151"/>
      <c r="AG62" s="150"/>
      <c r="AH62" s="150"/>
      <c r="AI62" s="150"/>
      <c r="AJ62" s="150"/>
      <c r="AK62" s="151"/>
      <c r="AL62" s="150"/>
      <c r="AM62" s="152">
        <v>36</v>
      </c>
      <c r="AN62" s="150">
        <f t="shared" si="4"/>
        <v>86</v>
      </c>
      <c r="AO62" s="153">
        <f t="shared" si="1"/>
        <v>2818</v>
      </c>
      <c r="AP62" s="23">
        <v>500</v>
      </c>
      <c r="AQ62" s="210" t="s">
        <v>79</v>
      </c>
      <c r="AR62" s="172"/>
      <c r="AS62" s="173"/>
      <c r="AT62" s="172"/>
      <c r="AU62" s="173"/>
      <c r="AV62" s="172"/>
      <c r="AW62" s="174"/>
      <c r="AX62" s="153">
        <f t="shared" si="5"/>
        <v>0</v>
      </c>
      <c r="AY62" s="153">
        <f t="shared" si="6"/>
        <v>0</v>
      </c>
      <c r="AZ62" s="153">
        <f t="shared" si="2"/>
        <v>0</v>
      </c>
      <c r="BA62" s="153">
        <f t="shared" si="3"/>
        <v>2818</v>
      </c>
      <c r="BB62" s="160"/>
      <c r="BC62" s="30"/>
      <c r="BD62" s="30"/>
      <c r="BE62" s="30"/>
      <c r="BF62" s="30"/>
    </row>
    <row r="63" spans="1:58" ht="22.5" customHeight="1">
      <c r="A63" s="233">
        <f t="shared" si="7"/>
        <v>887</v>
      </c>
      <c r="B63" s="234"/>
      <c r="C63" s="135" t="s">
        <v>45</v>
      </c>
      <c r="D63" s="75">
        <v>450</v>
      </c>
      <c r="E63" s="148">
        <v>7</v>
      </c>
      <c r="F63" s="148">
        <v>12</v>
      </c>
      <c r="G63" s="149">
        <f>Juli2026!AO63</f>
        <v>969</v>
      </c>
      <c r="H63" s="150" cm="1">
        <f t="array" ref="H63">IFERROR(INDEX(PQ_Aug!$B$2:$AF$1079,MATCH($C63,PQ_Aug!$A$2:$A$1079,0),MATCH(H$3&amp;"",PQ_Aug!$B$1:$AF$1&amp;"",0)),0)</f>
        <v>2</v>
      </c>
      <c r="I63" s="151"/>
      <c r="J63" s="150" cm="1">
        <f t="array" ref="J63">IFERROR(INDEX(PQ_Aug!$B$2:$AF$1079,MATCH($C63,PQ_Aug!$A$2:$A$1079,0),MATCH(J$3&amp;"",PQ_Aug!$B$1:$AF$1&amp;"",0)),0)</f>
        <v>1</v>
      </c>
      <c r="K63" s="150" cm="1">
        <f t="array" ref="K63">IFERROR(INDEX(PQ_Aug!$B$2:$AF$1079,MATCH($C63,PQ_Aug!$A$2:$A$1079,0),MATCH(K$3&amp;"",PQ_Aug!$B$1:$AF$1&amp;"",0)),0)</f>
        <v>2</v>
      </c>
      <c r="L63" s="150" cm="1">
        <f t="array" ref="L63">IFERROR(INDEX(PQ_Aug!$B$2:$AF$1079,MATCH($C63,PQ_Aug!$A$2:$A$1079,0),MATCH(L$3&amp;"",PQ_Aug!$B$1:$AF$1&amp;"",0)),0)</f>
        <v>17</v>
      </c>
      <c r="M63" s="150" cm="1">
        <f t="array" ref="M63">IFERROR(INDEX(PQ_Aug!$B$2:$AF$1079,MATCH($C63,PQ_Aug!$A$2:$A$1079,0),MATCH(M$3&amp;"",PQ_Aug!$B$1:$AF$1&amp;"",0)),0)</f>
        <v>1</v>
      </c>
      <c r="N63" s="150" cm="1">
        <f t="array" ref="N63">IFERROR(INDEX(PQ_Aug!$B$2:$AF$1079,MATCH($C63,PQ_Aug!$A$2:$A$1079,0),MATCH(N$3&amp;"",PQ_Aug!$B$1:$AF$1&amp;"",0)),0)</f>
        <v>1</v>
      </c>
      <c r="O63" s="150" cm="1">
        <f t="array" ref="O63">IFERROR(INDEX(PQ_Aug!$B$2:$AF$1079,MATCH($C63,PQ_Aug!$A$2:$A$1079,0),MATCH(O$3&amp;"",PQ_Aug!$B$1:$AF$1&amp;"",0)),0)</f>
        <v>2</v>
      </c>
      <c r="P63" s="151"/>
      <c r="Q63" s="150" cm="1">
        <f t="array" ref="Q63">IFERROR(INDEX(PQ_Aug!$B$2:$AF$1079,MATCH($C63,PQ_Aug!$A$2:$A$1079,0),MATCH(Q$3&amp;"",PQ_Aug!$B$1:$AF$1&amp;"",0)),0)</f>
        <v>1</v>
      </c>
      <c r="R63" s="150" cm="1">
        <f t="array" ref="R63">IFERROR(INDEX(PQ_Aug!$B$2:$AF$1079,MATCH($C63,PQ_Aug!$A$2:$A$1079,0),MATCH(R$3&amp;"",PQ_Aug!$B$1:$AF$1&amp;"",0)),0)</f>
        <v>2</v>
      </c>
      <c r="S63" s="150" cm="1">
        <f t="array" ref="S63">IFERROR(INDEX(PQ_Aug!$B$2:$AF$1079,MATCH($C63,PQ_Aug!$A$2:$A$1079,0),MATCH(S$3&amp;"",PQ_Aug!$B$1:$AF$1&amp;"",0)),0)</f>
        <v>1</v>
      </c>
      <c r="T63" s="150" cm="1">
        <f t="array" ref="T63">IFERROR(INDEX(PQ_Aug!$B$2:$AF$1079,MATCH($C63,PQ_Aug!$A$2:$A$1079,0),MATCH(T$3&amp;"",PQ_Aug!$B$1:$AF$1&amp;"",0)),0)</f>
        <v>0</v>
      </c>
      <c r="U63" s="150" cm="1">
        <f t="array" ref="U63">IFERROR(INDEX(PQ_Aug!$B$2:$AF$1079,MATCH($C63,PQ_Aug!$A$2:$A$1079,0),MATCH(U$3&amp;"",PQ_Aug!$B$1:$AF$1&amp;"",0)),0)</f>
        <v>1</v>
      </c>
      <c r="V63" s="150" cm="1">
        <f t="array" ref="V63">IFERROR(INDEX(PQ_Aug!$B$2:$AF$1079,MATCH($C63,PQ_Aug!$A$2:$A$1079,0),MATCH(V$3&amp;"",PQ_Aug!$B$1:$AF$1&amp;"",0)),0)</f>
        <v>0</v>
      </c>
      <c r="W63" s="151"/>
      <c r="X63" s="151"/>
      <c r="Y63" s="150" cm="1">
        <f t="array" ref="Y63">IFERROR(INDEX(PQ_Aug!$B$2:$AF$1079,MATCH($C63,PQ_Aug!$A$2:$A$1079,0),MATCH(Y$3&amp;"",PQ_Aug!$B$1:$AF$1&amp;"",0)),0)</f>
        <v>5</v>
      </c>
      <c r="Z63" s="150" cm="1">
        <f t="array" ref="Z63">IFERROR(INDEX(PQ_Aug!$B$2:$AF$1079,MATCH($C63,PQ_Aug!$A$2:$A$1079,0),MATCH(Z$3&amp;"",PQ_Aug!$B$1:$AF$1&amp;"",0)),0)</f>
        <v>3</v>
      </c>
      <c r="AA63" s="150" cm="1">
        <f t="array" ref="AA63">IFERROR(INDEX(PQ_Aug!$B$2:$AF$1079,MATCH($C63,PQ_Aug!$A$2:$A$1079,0),MATCH(AA$3&amp;"",PQ_Aug!$B$1:$AF$1&amp;"",0)),0)</f>
        <v>2</v>
      </c>
      <c r="AB63" s="150" cm="1">
        <f t="array" ref="AB63">IFERROR(INDEX(PQ_Aug!$B$2:$AF$1079,MATCH($C63,PQ_Aug!$A$2:$A$1079,0),MATCH(AB$3&amp;"",PQ_Aug!$B$1:$AF$1&amp;"",0)),0)</f>
        <v>0</v>
      </c>
      <c r="AC63" s="150" cm="1">
        <f t="array" ref="AC63">IFERROR(INDEX(PQ_Aug!$B$2:$AF$1079,MATCH($C63,PQ_Aug!$A$2:$A$1079,0),MATCH(AC$3&amp;"",PQ_Aug!$B$1:$AF$1&amp;"",0)),0)</f>
        <v>1</v>
      </c>
      <c r="AD63" s="151"/>
      <c r="AE63" s="150" cm="1">
        <f t="array" ref="AE63">IFERROR(INDEX(PQ_Aug!$B$2:$AF$1079,MATCH($C63,PQ_Aug!$A$2:$A$1079,0),MATCH(AE$3&amp;"",PQ_Aug!$B$1:$AF$1&amp;"",0)),0)</f>
        <v>6</v>
      </c>
      <c r="AF63" s="151"/>
      <c r="AG63" s="150"/>
      <c r="AH63" s="150"/>
      <c r="AI63" s="150"/>
      <c r="AJ63" s="150"/>
      <c r="AK63" s="151"/>
      <c r="AL63" s="150"/>
      <c r="AM63" s="152">
        <v>34</v>
      </c>
      <c r="AN63" s="150">
        <f t="shared" si="4"/>
        <v>82</v>
      </c>
      <c r="AO63" s="153">
        <f t="shared" si="1"/>
        <v>887</v>
      </c>
      <c r="AP63" s="23">
        <v>200</v>
      </c>
      <c r="AQ63" s="210" t="s">
        <v>79</v>
      </c>
      <c r="AR63" s="172"/>
      <c r="AS63" s="173"/>
      <c r="AT63" s="172"/>
      <c r="AU63" s="173"/>
      <c r="AV63" s="172"/>
      <c r="AW63" s="174"/>
      <c r="AX63" s="153">
        <f t="shared" si="5"/>
        <v>0</v>
      </c>
      <c r="AY63" s="153">
        <f t="shared" si="6"/>
        <v>0</v>
      </c>
      <c r="AZ63" s="153">
        <f t="shared" si="2"/>
        <v>0</v>
      </c>
      <c r="BA63" s="153">
        <f t="shared" si="3"/>
        <v>887</v>
      </c>
      <c r="BB63" s="160"/>
      <c r="BC63" s="30"/>
      <c r="BD63" s="30"/>
      <c r="BE63" s="30"/>
      <c r="BF63" s="30"/>
    </row>
    <row r="64" spans="1:58" ht="21" customHeight="1">
      <c r="A64" s="233">
        <f t="shared" si="7"/>
        <v>401</v>
      </c>
      <c r="B64" s="234"/>
      <c r="C64" s="135" t="s">
        <v>46</v>
      </c>
      <c r="D64" s="75">
        <v>480</v>
      </c>
      <c r="E64" s="148">
        <v>10</v>
      </c>
      <c r="F64" s="148">
        <v>10</v>
      </c>
      <c r="G64" s="149">
        <f>Juli2026!AO64</f>
        <v>484</v>
      </c>
      <c r="H64" s="150" cm="1">
        <f t="array" ref="H64">IFERROR(INDEX(PQ_Aug!$B$2:$AF$1079,MATCH($C64,PQ_Aug!$A$2:$A$1079,0),MATCH(H$3&amp;"",PQ_Aug!$B$1:$AF$1&amp;"",0)),0)</f>
        <v>2</v>
      </c>
      <c r="I64" s="151"/>
      <c r="J64" s="150" cm="1">
        <f t="array" ref="J64">IFERROR(INDEX(PQ_Aug!$B$2:$AF$1079,MATCH($C64,PQ_Aug!$A$2:$A$1079,0),MATCH(J$3&amp;"",PQ_Aug!$B$1:$AF$1&amp;"",0)),0)</f>
        <v>2</v>
      </c>
      <c r="K64" s="150" cm="1">
        <f t="array" ref="K64">IFERROR(INDEX(PQ_Aug!$B$2:$AF$1079,MATCH($C64,PQ_Aug!$A$2:$A$1079,0),MATCH(K$3&amp;"",PQ_Aug!$B$1:$AF$1&amp;"",0)),0)</f>
        <v>3</v>
      </c>
      <c r="L64" s="150" cm="1">
        <f t="array" ref="L64">IFERROR(INDEX(PQ_Aug!$B$2:$AF$1079,MATCH($C64,PQ_Aug!$A$2:$A$1079,0),MATCH(L$3&amp;"",PQ_Aug!$B$1:$AF$1&amp;"",0)),0)</f>
        <v>18</v>
      </c>
      <c r="M64" s="150" cm="1">
        <f t="array" ref="M64">IFERROR(INDEX(PQ_Aug!$B$2:$AF$1079,MATCH($C64,PQ_Aug!$A$2:$A$1079,0),MATCH(M$3&amp;"",PQ_Aug!$B$1:$AF$1&amp;"",0)),0)</f>
        <v>1</v>
      </c>
      <c r="N64" s="150" cm="1">
        <f t="array" ref="N64">IFERROR(INDEX(PQ_Aug!$B$2:$AF$1079,MATCH($C64,PQ_Aug!$A$2:$A$1079,0),MATCH(N$3&amp;"",PQ_Aug!$B$1:$AF$1&amp;"",0)),0)</f>
        <v>0</v>
      </c>
      <c r="O64" s="150" cm="1">
        <f t="array" ref="O64">IFERROR(INDEX(PQ_Aug!$B$2:$AF$1079,MATCH($C64,PQ_Aug!$A$2:$A$1079,0),MATCH(O$3&amp;"",PQ_Aug!$B$1:$AF$1&amp;"",0)),0)</f>
        <v>3</v>
      </c>
      <c r="P64" s="151"/>
      <c r="Q64" s="150" cm="1">
        <f t="array" ref="Q64">IFERROR(INDEX(PQ_Aug!$B$2:$AF$1079,MATCH($C64,PQ_Aug!$A$2:$A$1079,0),MATCH(Q$3&amp;"",PQ_Aug!$B$1:$AF$1&amp;"",0)),0)</f>
        <v>2</v>
      </c>
      <c r="R64" s="150" cm="1">
        <f t="array" ref="R64">IFERROR(INDEX(PQ_Aug!$B$2:$AF$1079,MATCH($C64,PQ_Aug!$A$2:$A$1079,0),MATCH(R$3&amp;"",PQ_Aug!$B$1:$AF$1&amp;"",0)),0)</f>
        <v>2</v>
      </c>
      <c r="S64" s="150" cm="1">
        <f t="array" ref="S64">IFERROR(INDEX(PQ_Aug!$B$2:$AF$1079,MATCH($C64,PQ_Aug!$A$2:$A$1079,0),MATCH(S$3&amp;"",PQ_Aug!$B$1:$AF$1&amp;"",0)),0)</f>
        <v>1</v>
      </c>
      <c r="T64" s="150" cm="1">
        <f t="array" ref="T64">IFERROR(INDEX(PQ_Aug!$B$2:$AF$1079,MATCH($C64,PQ_Aug!$A$2:$A$1079,0),MATCH(T$3&amp;"",PQ_Aug!$B$1:$AF$1&amp;"",0)),0)</f>
        <v>0</v>
      </c>
      <c r="U64" s="150" cm="1">
        <f t="array" ref="U64">IFERROR(INDEX(PQ_Aug!$B$2:$AF$1079,MATCH($C64,PQ_Aug!$A$2:$A$1079,0),MATCH(U$3&amp;"",PQ_Aug!$B$1:$AF$1&amp;"",0)),0)</f>
        <v>0</v>
      </c>
      <c r="V64" s="150" cm="1">
        <f t="array" ref="V64">IFERROR(INDEX(PQ_Aug!$B$2:$AF$1079,MATCH($C64,PQ_Aug!$A$2:$A$1079,0),MATCH(V$3&amp;"",PQ_Aug!$B$1:$AF$1&amp;"",0)),0)</f>
        <v>0</v>
      </c>
      <c r="W64" s="151"/>
      <c r="X64" s="151"/>
      <c r="Y64" s="150" cm="1">
        <f t="array" ref="Y64">IFERROR(INDEX(PQ_Aug!$B$2:$AF$1079,MATCH($C64,PQ_Aug!$A$2:$A$1079,0),MATCH(Y$3&amp;"",PQ_Aug!$B$1:$AF$1&amp;"",0)),0)</f>
        <v>5</v>
      </c>
      <c r="Z64" s="150" cm="1">
        <f t="array" ref="Z64">IFERROR(INDEX(PQ_Aug!$B$2:$AF$1079,MATCH($C64,PQ_Aug!$A$2:$A$1079,0),MATCH(Z$3&amp;"",PQ_Aug!$B$1:$AF$1&amp;"",0)),0)</f>
        <v>2</v>
      </c>
      <c r="AA64" s="150" cm="1">
        <f t="array" ref="AA64">IFERROR(INDEX(PQ_Aug!$B$2:$AF$1079,MATCH($C64,PQ_Aug!$A$2:$A$1079,0),MATCH(AA$3&amp;"",PQ_Aug!$B$1:$AF$1&amp;"",0)),0)</f>
        <v>2</v>
      </c>
      <c r="AB64" s="150" cm="1">
        <f t="array" ref="AB64">IFERROR(INDEX(PQ_Aug!$B$2:$AF$1079,MATCH($C64,PQ_Aug!$A$2:$A$1079,0),MATCH(AB$3&amp;"",PQ_Aug!$B$1:$AF$1&amp;"",0)),0)</f>
        <v>0</v>
      </c>
      <c r="AC64" s="150" cm="1">
        <f t="array" ref="AC64">IFERROR(INDEX(PQ_Aug!$B$2:$AF$1079,MATCH($C64,PQ_Aug!$A$2:$A$1079,0),MATCH(AC$3&amp;"",PQ_Aug!$B$1:$AF$1&amp;"",0)),0)</f>
        <v>1</v>
      </c>
      <c r="AD64" s="151"/>
      <c r="AE64" s="150" cm="1">
        <f t="array" ref="AE64">IFERROR(INDEX(PQ_Aug!$B$2:$AF$1079,MATCH($C64,PQ_Aug!$A$2:$A$1079,0),MATCH(AE$3&amp;"",PQ_Aug!$B$1:$AF$1&amp;"",0)),0)</f>
        <v>7</v>
      </c>
      <c r="AF64" s="151"/>
      <c r="AG64" s="150"/>
      <c r="AH64" s="150"/>
      <c r="AI64" s="150"/>
      <c r="AJ64" s="150"/>
      <c r="AK64" s="151"/>
      <c r="AL64" s="150"/>
      <c r="AM64" s="152">
        <v>32</v>
      </c>
      <c r="AN64" s="150">
        <f t="shared" si="4"/>
        <v>83</v>
      </c>
      <c r="AO64" s="153">
        <f t="shared" si="1"/>
        <v>401</v>
      </c>
      <c r="AP64" s="24">
        <v>200</v>
      </c>
      <c r="AQ64" s="210" t="s">
        <v>79</v>
      </c>
      <c r="AR64" s="172"/>
      <c r="AS64" s="173"/>
      <c r="AT64" s="172"/>
      <c r="AU64" s="173"/>
      <c r="AV64" s="212"/>
      <c r="AW64" s="174"/>
      <c r="AX64" s="153">
        <f t="shared" si="5"/>
        <v>0</v>
      </c>
      <c r="AY64" s="153">
        <f t="shared" si="6"/>
        <v>0</v>
      </c>
      <c r="AZ64" s="153">
        <f t="shared" si="2"/>
        <v>0</v>
      </c>
      <c r="BA64" s="153">
        <f t="shared" si="3"/>
        <v>401</v>
      </c>
      <c r="BB64" s="160"/>
      <c r="BC64" s="30"/>
      <c r="BD64" s="30"/>
      <c r="BE64" s="30"/>
      <c r="BF64" s="30"/>
    </row>
    <row r="65" spans="1:58" ht="22.5" customHeight="1">
      <c r="A65" s="242">
        <f t="shared" si="7"/>
        <v>227</v>
      </c>
      <c r="B65" s="243"/>
      <c r="C65" s="135" t="s">
        <v>47</v>
      </c>
      <c r="D65" s="75">
        <v>200</v>
      </c>
      <c r="E65" s="148">
        <v>25</v>
      </c>
      <c r="F65" s="148">
        <v>20</v>
      </c>
      <c r="G65" s="149">
        <f>Juli2026!AO65</f>
        <v>257</v>
      </c>
      <c r="H65" s="150" cm="1">
        <f t="array" ref="H65">IFERROR(INDEX(PQ_Aug!$B$2:$AF$1079,MATCH($C65,PQ_Aug!$A$2:$A$1079,0),MATCH(H$3&amp;"",PQ_Aug!$B$1:$AF$1&amp;"",0)),0)</f>
        <v>1</v>
      </c>
      <c r="I65" s="151"/>
      <c r="J65" s="150" cm="1">
        <f t="array" ref="J65">IFERROR(INDEX(PQ_Aug!$B$2:$AF$1079,MATCH($C65,PQ_Aug!$A$2:$A$1079,0),MATCH(J$3&amp;"",PQ_Aug!$B$1:$AF$1&amp;"",0)),0)</f>
        <v>2</v>
      </c>
      <c r="K65" s="150" cm="1">
        <f t="array" ref="K65">IFERROR(INDEX(PQ_Aug!$B$2:$AF$1079,MATCH($C65,PQ_Aug!$A$2:$A$1079,0),MATCH(K$3&amp;"",PQ_Aug!$B$1:$AF$1&amp;"",0)),0)</f>
        <v>0</v>
      </c>
      <c r="L65" s="150" cm="1">
        <f t="array" ref="L65">IFERROR(INDEX(PQ_Aug!$B$2:$AF$1079,MATCH($C65,PQ_Aug!$A$2:$A$1079,0),MATCH(L$3&amp;"",PQ_Aug!$B$1:$AF$1&amp;"",0)),0)</f>
        <v>1</v>
      </c>
      <c r="M65" s="150" cm="1">
        <f t="array" ref="M65">IFERROR(INDEX(PQ_Aug!$B$2:$AF$1079,MATCH($C65,PQ_Aug!$A$2:$A$1079,0),MATCH(M$3&amp;"",PQ_Aug!$B$1:$AF$1&amp;"",0)),0)</f>
        <v>1</v>
      </c>
      <c r="N65" s="150" cm="1">
        <f t="array" ref="N65">IFERROR(INDEX(PQ_Aug!$B$2:$AF$1079,MATCH($C65,PQ_Aug!$A$2:$A$1079,0),MATCH(N$3&amp;"",PQ_Aug!$B$1:$AF$1&amp;"",0)),0)</f>
        <v>0</v>
      </c>
      <c r="O65" s="150" cm="1">
        <f t="array" ref="O65">IFERROR(INDEX(PQ_Aug!$B$2:$AF$1079,MATCH($C65,PQ_Aug!$A$2:$A$1079,0),MATCH(O$3&amp;"",PQ_Aug!$B$1:$AF$1&amp;"",0)),0)</f>
        <v>1</v>
      </c>
      <c r="P65" s="151"/>
      <c r="Q65" s="150" cm="1">
        <f t="array" ref="Q65">IFERROR(INDEX(PQ_Aug!$B$2:$AF$1079,MATCH($C65,PQ_Aug!$A$2:$A$1079,0),MATCH(Q$3&amp;"",PQ_Aug!$B$1:$AF$1&amp;"",0)),0)</f>
        <v>0</v>
      </c>
      <c r="R65" s="150" cm="1">
        <f t="array" ref="R65">IFERROR(INDEX(PQ_Aug!$B$2:$AF$1079,MATCH($C65,PQ_Aug!$A$2:$A$1079,0),MATCH(R$3&amp;"",PQ_Aug!$B$1:$AF$1&amp;"",0)),0)</f>
        <v>0</v>
      </c>
      <c r="S65" s="150" cm="1">
        <f t="array" ref="S65">IFERROR(INDEX(PQ_Aug!$B$2:$AF$1079,MATCH($C65,PQ_Aug!$A$2:$A$1079,0),MATCH(S$3&amp;"",PQ_Aug!$B$1:$AF$1&amp;"",0)),0)</f>
        <v>1</v>
      </c>
      <c r="T65" s="150" cm="1">
        <f t="array" ref="T65">IFERROR(INDEX(PQ_Aug!$B$2:$AF$1079,MATCH($C65,PQ_Aug!$A$2:$A$1079,0),MATCH(T$3&amp;"",PQ_Aug!$B$1:$AF$1&amp;"",0)),0)</f>
        <v>1</v>
      </c>
      <c r="U65" s="150" cm="1">
        <f t="array" ref="U65">IFERROR(INDEX(PQ_Aug!$B$2:$AF$1079,MATCH($C65,PQ_Aug!$A$2:$A$1079,0),MATCH(U$3&amp;"",PQ_Aug!$B$1:$AF$1&amp;"",0)),0)</f>
        <v>0</v>
      </c>
      <c r="V65" s="150" cm="1">
        <f t="array" ref="V65">IFERROR(INDEX(PQ_Aug!$B$2:$AF$1079,MATCH($C65,PQ_Aug!$A$2:$A$1079,0),MATCH(V$3&amp;"",PQ_Aug!$B$1:$AF$1&amp;"",0)),0)</f>
        <v>0</v>
      </c>
      <c r="W65" s="151"/>
      <c r="X65" s="151"/>
      <c r="Y65" s="150" cm="1">
        <f t="array" ref="Y65">IFERROR(INDEX(PQ_Aug!$B$2:$AF$1079,MATCH($C65,PQ_Aug!$A$2:$A$1079,0),MATCH(Y$3&amp;"",PQ_Aug!$B$1:$AF$1&amp;"",0)),0)</f>
        <v>0</v>
      </c>
      <c r="Z65" s="150" cm="1">
        <f t="array" ref="Z65">IFERROR(INDEX(PQ_Aug!$B$2:$AF$1079,MATCH($C65,PQ_Aug!$A$2:$A$1079,0),MATCH(Z$3&amp;"",PQ_Aug!$B$1:$AF$1&amp;"",0)),0)</f>
        <v>0</v>
      </c>
      <c r="AA65" s="150" cm="1">
        <f t="array" ref="AA65">IFERROR(INDEX(PQ_Aug!$B$2:$AF$1079,MATCH($C65,PQ_Aug!$A$2:$A$1079,0),MATCH(AA$3&amp;"",PQ_Aug!$B$1:$AF$1&amp;"",0)),0)</f>
        <v>0</v>
      </c>
      <c r="AB65" s="150" cm="1">
        <f t="array" ref="AB65">IFERROR(INDEX(PQ_Aug!$B$2:$AF$1079,MATCH($C65,PQ_Aug!$A$2:$A$1079,0),MATCH(AB$3&amp;"",PQ_Aug!$B$1:$AF$1&amp;"",0)),0)</f>
        <v>1</v>
      </c>
      <c r="AC65" s="150" cm="1">
        <f t="array" ref="AC65">IFERROR(INDEX(PQ_Aug!$B$2:$AF$1079,MATCH($C65,PQ_Aug!$A$2:$A$1079,0),MATCH(AC$3&amp;"",PQ_Aug!$B$1:$AF$1&amp;"",0)),0)</f>
        <v>1</v>
      </c>
      <c r="AD65" s="151"/>
      <c r="AE65" s="150" cm="1">
        <f t="array" ref="AE65">IFERROR(INDEX(PQ_Aug!$B$2:$AF$1079,MATCH($C65,PQ_Aug!$A$2:$A$1079,0),MATCH(AE$3&amp;"",PQ_Aug!$B$1:$AF$1&amp;"",0)),0)</f>
        <v>0</v>
      </c>
      <c r="AF65" s="151"/>
      <c r="AG65" s="150"/>
      <c r="AH65" s="150"/>
      <c r="AI65" s="150"/>
      <c r="AJ65" s="150"/>
      <c r="AK65" s="151"/>
      <c r="AL65" s="150"/>
      <c r="AM65" s="152">
        <v>20</v>
      </c>
      <c r="AN65" s="150">
        <f t="shared" si="4"/>
        <v>30</v>
      </c>
      <c r="AO65" s="153">
        <f t="shared" si="1"/>
        <v>227</v>
      </c>
      <c r="AP65" s="23">
        <v>150</v>
      </c>
      <c r="AQ65" s="210" t="s">
        <v>79</v>
      </c>
      <c r="AR65" s="172"/>
      <c r="AS65" s="173"/>
      <c r="AT65" s="172"/>
      <c r="AU65" s="173"/>
      <c r="AV65" s="212"/>
      <c r="AW65" s="174"/>
      <c r="AX65" s="153">
        <f t="shared" si="5"/>
        <v>0</v>
      </c>
      <c r="AY65" s="153">
        <f t="shared" si="6"/>
        <v>0</v>
      </c>
      <c r="AZ65" s="153">
        <f t="shared" si="2"/>
        <v>0</v>
      </c>
      <c r="BA65" s="153">
        <f t="shared" si="3"/>
        <v>227</v>
      </c>
      <c r="BB65" s="160"/>
      <c r="BC65" s="30"/>
      <c r="BD65" s="30"/>
      <c r="BE65" s="30"/>
      <c r="BF65" s="30"/>
    </row>
    <row r="66" spans="1:58" ht="22.5" customHeight="1">
      <c r="A66" s="233">
        <f t="shared" si="7"/>
        <v>1202</v>
      </c>
      <c r="B66" s="234"/>
      <c r="C66" s="135" t="s">
        <v>48</v>
      </c>
      <c r="D66" s="75">
        <v>1300</v>
      </c>
      <c r="E66" s="148">
        <v>10</v>
      </c>
      <c r="F66" s="148">
        <v>20</v>
      </c>
      <c r="G66" s="149">
        <f>Juli2026!AO66</f>
        <v>1283</v>
      </c>
      <c r="H66" s="150" cm="1">
        <f t="array" ref="H66">IFERROR(INDEX(PQ_Aug!$B$2:$AF$1079,MATCH($C66,PQ_Aug!$A$2:$A$1079,0),MATCH(H$3&amp;"",PQ_Aug!$B$1:$AF$1&amp;"",0)),0)</f>
        <v>2</v>
      </c>
      <c r="I66" s="151"/>
      <c r="J66" s="150" cm="1">
        <f t="array" ref="J66">IFERROR(INDEX(PQ_Aug!$B$2:$AF$1079,MATCH($C66,PQ_Aug!$A$2:$A$1079,0),MATCH(J$3&amp;"",PQ_Aug!$B$1:$AF$1&amp;"",0)),0)</f>
        <v>2</v>
      </c>
      <c r="K66" s="150" cm="1">
        <f t="array" ref="K66">IFERROR(INDEX(PQ_Aug!$B$2:$AF$1079,MATCH($C66,PQ_Aug!$A$2:$A$1079,0),MATCH(K$3&amp;"",PQ_Aug!$B$1:$AF$1&amp;"",0)),0)</f>
        <v>2</v>
      </c>
      <c r="L66" s="150" cm="1">
        <f t="array" ref="L66">IFERROR(INDEX(PQ_Aug!$B$2:$AF$1079,MATCH($C66,PQ_Aug!$A$2:$A$1079,0),MATCH(L$3&amp;"",PQ_Aug!$B$1:$AF$1&amp;"",0)),0)</f>
        <v>17</v>
      </c>
      <c r="M66" s="150" cm="1">
        <f t="array" ref="M66">IFERROR(INDEX(PQ_Aug!$B$2:$AF$1079,MATCH($C66,PQ_Aug!$A$2:$A$1079,0),MATCH(M$3&amp;"",PQ_Aug!$B$1:$AF$1&amp;"",0)),0)</f>
        <v>1</v>
      </c>
      <c r="N66" s="150" cm="1">
        <f t="array" ref="N66">IFERROR(INDEX(PQ_Aug!$B$2:$AF$1079,MATCH($C66,PQ_Aug!$A$2:$A$1079,0),MATCH(N$3&amp;"",PQ_Aug!$B$1:$AF$1&amp;"",0)),0)</f>
        <v>0</v>
      </c>
      <c r="O66" s="150" cm="1">
        <f t="array" ref="O66">IFERROR(INDEX(PQ_Aug!$B$2:$AF$1079,MATCH($C66,PQ_Aug!$A$2:$A$1079,0),MATCH(O$3&amp;"",PQ_Aug!$B$1:$AF$1&amp;"",0)),0)</f>
        <v>2</v>
      </c>
      <c r="P66" s="151"/>
      <c r="Q66" s="150" cm="1">
        <f t="array" ref="Q66">IFERROR(INDEX(PQ_Aug!$B$2:$AF$1079,MATCH($C66,PQ_Aug!$A$2:$A$1079,0),MATCH(Q$3&amp;"",PQ_Aug!$B$1:$AF$1&amp;"",0)),0)</f>
        <v>1</v>
      </c>
      <c r="R66" s="150" cm="1">
        <f t="array" ref="R66">IFERROR(INDEX(PQ_Aug!$B$2:$AF$1079,MATCH($C66,PQ_Aug!$A$2:$A$1079,0),MATCH(R$3&amp;"",PQ_Aug!$B$1:$AF$1&amp;"",0)),0)</f>
        <v>2</v>
      </c>
      <c r="S66" s="150" cm="1">
        <f t="array" ref="S66">IFERROR(INDEX(PQ_Aug!$B$2:$AF$1079,MATCH($C66,PQ_Aug!$A$2:$A$1079,0),MATCH(S$3&amp;"",PQ_Aug!$B$1:$AF$1&amp;"",0)),0)</f>
        <v>1</v>
      </c>
      <c r="T66" s="150" cm="1">
        <f t="array" ref="T66">IFERROR(INDEX(PQ_Aug!$B$2:$AF$1079,MATCH($C66,PQ_Aug!$A$2:$A$1079,0),MATCH(T$3&amp;"",PQ_Aug!$B$1:$AF$1&amp;"",0)),0)</f>
        <v>0</v>
      </c>
      <c r="U66" s="150" cm="1">
        <f t="array" ref="U66">IFERROR(INDEX(PQ_Aug!$B$2:$AF$1079,MATCH($C66,PQ_Aug!$A$2:$A$1079,0),MATCH(U$3&amp;"",PQ_Aug!$B$1:$AF$1&amp;"",0)),0)</f>
        <v>1</v>
      </c>
      <c r="V66" s="150" cm="1">
        <f t="array" ref="V66">IFERROR(INDEX(PQ_Aug!$B$2:$AF$1079,MATCH($C66,PQ_Aug!$A$2:$A$1079,0),MATCH(V$3&amp;"",PQ_Aug!$B$1:$AF$1&amp;"",0)),0)</f>
        <v>0</v>
      </c>
      <c r="W66" s="151"/>
      <c r="X66" s="151"/>
      <c r="Y66" s="150" cm="1">
        <f t="array" ref="Y66">IFERROR(INDEX(PQ_Aug!$B$2:$AF$1079,MATCH($C66,PQ_Aug!$A$2:$A$1079,0),MATCH(Y$3&amp;"",PQ_Aug!$B$1:$AF$1&amp;"",0)),0)</f>
        <v>5</v>
      </c>
      <c r="Z66" s="150" cm="1">
        <f t="array" ref="Z66">IFERROR(INDEX(PQ_Aug!$B$2:$AF$1079,MATCH($C66,PQ_Aug!$A$2:$A$1079,0),MATCH(Z$3&amp;"",PQ_Aug!$B$1:$AF$1&amp;"",0)),0)</f>
        <v>4</v>
      </c>
      <c r="AA66" s="150" cm="1">
        <f t="array" ref="AA66">IFERROR(INDEX(PQ_Aug!$B$2:$AF$1079,MATCH($C66,PQ_Aug!$A$2:$A$1079,0),MATCH(AA$3&amp;"",PQ_Aug!$B$1:$AF$1&amp;"",0)),0)</f>
        <v>2</v>
      </c>
      <c r="AB66" s="150" cm="1">
        <f t="array" ref="AB66">IFERROR(INDEX(PQ_Aug!$B$2:$AF$1079,MATCH($C66,PQ_Aug!$A$2:$A$1079,0),MATCH(AB$3&amp;"",PQ_Aug!$B$1:$AF$1&amp;"",0)),0)</f>
        <v>0</v>
      </c>
      <c r="AC66" s="150" cm="1">
        <f t="array" ref="AC66">IFERROR(INDEX(PQ_Aug!$B$2:$AF$1079,MATCH($C66,PQ_Aug!$A$2:$A$1079,0),MATCH(AC$3&amp;"",PQ_Aug!$B$1:$AF$1&amp;"",0)),0)</f>
        <v>1</v>
      </c>
      <c r="AD66" s="151"/>
      <c r="AE66" s="150" cm="1">
        <f t="array" ref="AE66">IFERROR(INDEX(PQ_Aug!$B$2:$AF$1079,MATCH($C66,PQ_Aug!$A$2:$A$1079,0),MATCH(AE$3&amp;"",PQ_Aug!$B$1:$AF$1&amp;"",0)),0)</f>
        <v>6</v>
      </c>
      <c r="AF66" s="151"/>
      <c r="AG66" s="150"/>
      <c r="AH66" s="150"/>
      <c r="AI66" s="150"/>
      <c r="AJ66" s="150"/>
      <c r="AK66" s="151"/>
      <c r="AL66" s="150"/>
      <c r="AM66" s="152">
        <v>32</v>
      </c>
      <c r="AN66" s="150">
        <f t="shared" si="4"/>
        <v>81</v>
      </c>
      <c r="AO66" s="153">
        <f t="shared" si="1"/>
        <v>1202</v>
      </c>
      <c r="AP66" s="23">
        <v>300</v>
      </c>
      <c r="AQ66" s="210" t="s">
        <v>79</v>
      </c>
      <c r="AR66" s="172"/>
      <c r="AS66" s="173"/>
      <c r="AT66" s="172"/>
      <c r="AU66" s="173"/>
      <c r="AV66" s="212"/>
      <c r="AW66" s="174"/>
      <c r="AX66" s="153">
        <f t="shared" si="5"/>
        <v>0</v>
      </c>
      <c r="AY66" s="153">
        <f t="shared" si="6"/>
        <v>0</v>
      </c>
      <c r="AZ66" s="153">
        <f t="shared" si="2"/>
        <v>0</v>
      </c>
      <c r="BA66" s="153">
        <f t="shared" si="3"/>
        <v>1202</v>
      </c>
      <c r="BB66" s="160"/>
      <c r="BC66" s="30"/>
      <c r="BD66" s="30"/>
      <c r="BE66" s="30"/>
      <c r="BF66" s="30"/>
    </row>
    <row r="67" spans="1:58" ht="22.5" customHeight="1">
      <c r="A67" s="233">
        <f t="shared" si="7"/>
        <v>965</v>
      </c>
      <c r="B67" s="234"/>
      <c r="C67" s="135" t="s">
        <v>167</v>
      </c>
      <c r="D67" s="75">
        <v>470</v>
      </c>
      <c r="E67" s="148">
        <v>136</v>
      </c>
      <c r="F67" s="148">
        <v>250</v>
      </c>
      <c r="G67" s="149">
        <f>Juli2026!AO67</f>
        <v>1197</v>
      </c>
      <c r="H67" s="150" cm="1">
        <f t="array" ref="H67">IFERROR(INDEX(PQ_Aug!$B$2:$AF$1079,MATCH($C67,PQ_Aug!$A$2:$A$1079,0),MATCH(H$3&amp;"",PQ_Aug!$B$1:$AF$1&amp;"",0)),0)</f>
        <v>8</v>
      </c>
      <c r="I67" s="151"/>
      <c r="J67" s="150" cm="1">
        <f t="array" ref="J67">IFERROR(INDEX(PQ_Aug!$B$2:$AF$1079,MATCH($C67,PQ_Aug!$A$2:$A$1079,0),MATCH(J$3&amp;"",PQ_Aug!$B$1:$AF$1&amp;"",0)),0)</f>
        <v>10</v>
      </c>
      <c r="K67" s="150" cm="1">
        <f t="array" ref="K67">IFERROR(INDEX(PQ_Aug!$B$2:$AF$1079,MATCH($C67,PQ_Aug!$A$2:$A$1079,0),MATCH(K$3&amp;"",PQ_Aug!$B$1:$AF$1&amp;"",0)),0)</f>
        <v>16</v>
      </c>
      <c r="L67" s="150" cm="1">
        <f t="array" ref="L67">IFERROR(INDEX(PQ_Aug!$B$2:$AF$1079,MATCH($C67,PQ_Aug!$A$2:$A$1079,0),MATCH(L$3&amp;"",PQ_Aug!$B$1:$AF$1&amp;"",0)),0)</f>
        <v>17</v>
      </c>
      <c r="M67" s="150" cm="1">
        <f t="array" ref="M67">IFERROR(INDEX(PQ_Aug!$B$2:$AF$1079,MATCH($C67,PQ_Aug!$A$2:$A$1079,0),MATCH(M$3&amp;"",PQ_Aug!$B$1:$AF$1&amp;"",0)),0)</f>
        <v>16</v>
      </c>
      <c r="N67" s="150" cm="1">
        <f t="array" ref="N67">IFERROR(INDEX(PQ_Aug!$B$2:$AF$1079,MATCH($C67,PQ_Aug!$A$2:$A$1079,0),MATCH(N$3&amp;"",PQ_Aug!$B$1:$AF$1&amp;"",0)),0)</f>
        <v>4</v>
      </c>
      <c r="O67" s="150" cm="1">
        <f t="array" ref="O67">IFERROR(INDEX(PQ_Aug!$B$2:$AF$1079,MATCH($C67,PQ_Aug!$A$2:$A$1079,0),MATCH(O$3&amp;"",PQ_Aug!$B$1:$AF$1&amp;"",0)),0)</f>
        <v>2</v>
      </c>
      <c r="P67" s="151"/>
      <c r="Q67" s="150" cm="1">
        <f t="array" ref="Q67">IFERROR(INDEX(PQ_Aug!$B$2:$AF$1079,MATCH($C67,PQ_Aug!$A$2:$A$1079,0),MATCH(Q$3&amp;"",PQ_Aug!$B$1:$AF$1&amp;"",0)),0)</f>
        <v>8</v>
      </c>
      <c r="R67" s="150" cm="1">
        <f t="array" ref="R67">IFERROR(INDEX(PQ_Aug!$B$2:$AF$1079,MATCH($C67,PQ_Aug!$A$2:$A$1079,0),MATCH(R$3&amp;"",PQ_Aug!$B$1:$AF$1&amp;"",0)),0)</f>
        <v>24</v>
      </c>
      <c r="S67" s="150" cm="1">
        <f t="array" ref="S67">IFERROR(INDEX(PQ_Aug!$B$2:$AF$1079,MATCH($C67,PQ_Aug!$A$2:$A$1079,0),MATCH(S$3&amp;"",PQ_Aug!$B$1:$AF$1&amp;"",0)),0)</f>
        <v>15</v>
      </c>
      <c r="T67" s="150" cm="1">
        <f t="array" ref="T67">IFERROR(INDEX(PQ_Aug!$B$2:$AF$1079,MATCH($C67,PQ_Aug!$A$2:$A$1079,0),MATCH(T$3&amp;"",PQ_Aug!$B$1:$AF$1&amp;"",0)),0)</f>
        <v>1</v>
      </c>
      <c r="U67" s="150" cm="1">
        <f t="array" ref="U67">IFERROR(INDEX(PQ_Aug!$B$2:$AF$1079,MATCH($C67,PQ_Aug!$A$2:$A$1079,0),MATCH(U$3&amp;"",PQ_Aug!$B$1:$AF$1&amp;"",0)),0)</f>
        <v>0</v>
      </c>
      <c r="V67" s="150" cm="1">
        <f t="array" ref="V67">IFERROR(INDEX(PQ_Aug!$B$2:$AF$1079,MATCH($C67,PQ_Aug!$A$2:$A$1079,0),MATCH(V$3&amp;"",PQ_Aug!$B$1:$AF$1&amp;"",0)),0)</f>
        <v>0</v>
      </c>
      <c r="W67" s="151"/>
      <c r="X67" s="151"/>
      <c r="Y67" s="150" cm="1">
        <f t="array" ref="Y67">IFERROR(INDEX(PQ_Aug!$B$2:$AF$1079,MATCH($C67,PQ_Aug!$A$2:$A$1079,0),MATCH(Y$3&amp;"",PQ_Aug!$B$1:$AF$1&amp;"",0)),0)</f>
        <v>15</v>
      </c>
      <c r="Z67" s="150" cm="1">
        <f t="array" ref="Z67">IFERROR(INDEX(PQ_Aug!$B$2:$AF$1079,MATCH($C67,PQ_Aug!$A$2:$A$1079,0),MATCH(Z$3&amp;"",PQ_Aug!$B$1:$AF$1&amp;"",0)),0)</f>
        <v>13</v>
      </c>
      <c r="AA67" s="150" cm="1">
        <f t="array" ref="AA67">IFERROR(INDEX(PQ_Aug!$B$2:$AF$1079,MATCH($C67,PQ_Aug!$A$2:$A$1079,0),MATCH(AA$3&amp;"",PQ_Aug!$B$1:$AF$1&amp;"",0)),0)</f>
        <v>5</v>
      </c>
      <c r="AB67" s="150" cm="1">
        <f t="array" ref="AB67">IFERROR(INDEX(PQ_Aug!$B$2:$AF$1079,MATCH($C67,PQ_Aug!$A$2:$A$1079,0),MATCH(AB$3&amp;"",PQ_Aug!$B$1:$AF$1&amp;"",0)),0)</f>
        <v>18</v>
      </c>
      <c r="AC67" s="150" cm="1">
        <f t="array" ref="AC67">IFERROR(INDEX(PQ_Aug!$B$2:$AF$1079,MATCH($C67,PQ_Aug!$A$2:$A$1079,0),MATCH(AC$3&amp;"",PQ_Aug!$B$1:$AF$1&amp;"",0)),0)</f>
        <v>1</v>
      </c>
      <c r="AD67" s="151"/>
      <c r="AE67" s="150" cm="1">
        <f t="array" ref="AE67">IFERROR(INDEX(PQ_Aug!$B$2:$AF$1079,MATCH($C67,PQ_Aug!$A$2:$A$1079,0),MATCH(AE$3&amp;"",PQ_Aug!$B$1:$AF$1&amp;"",0)),0)</f>
        <v>23</v>
      </c>
      <c r="AF67" s="151"/>
      <c r="AG67" s="150"/>
      <c r="AH67" s="150"/>
      <c r="AI67" s="150"/>
      <c r="AJ67" s="150"/>
      <c r="AK67" s="151"/>
      <c r="AL67" s="150"/>
      <c r="AM67" s="152">
        <v>36</v>
      </c>
      <c r="AN67" s="150">
        <f t="shared" si="4"/>
        <v>232</v>
      </c>
      <c r="AO67" s="153">
        <f t="shared" si="1"/>
        <v>965</v>
      </c>
      <c r="AP67" s="23">
        <v>400</v>
      </c>
      <c r="AQ67" s="210" t="s">
        <v>79</v>
      </c>
      <c r="AR67" s="172"/>
      <c r="AS67" s="173"/>
      <c r="AT67" s="172"/>
      <c r="AU67" s="173"/>
      <c r="AV67" s="212"/>
      <c r="AW67" s="174"/>
      <c r="AX67" s="153">
        <f t="shared" si="5"/>
        <v>0</v>
      </c>
      <c r="AY67" s="153">
        <f t="shared" si="6"/>
        <v>0</v>
      </c>
      <c r="AZ67" s="153">
        <f t="shared" si="2"/>
        <v>0</v>
      </c>
      <c r="BA67" s="153">
        <f t="shared" si="3"/>
        <v>965</v>
      </c>
      <c r="BB67" s="160"/>
      <c r="BC67" s="30"/>
      <c r="BD67" s="30"/>
      <c r="BE67" s="30"/>
      <c r="BF67" s="30"/>
    </row>
    <row r="68" spans="1:58" ht="22.5" customHeight="1">
      <c r="A68" s="242">
        <f t="shared" si="7"/>
        <v>1015</v>
      </c>
      <c r="B68" s="243"/>
      <c r="C68" s="135" t="s">
        <v>50</v>
      </c>
      <c r="D68" s="75">
        <v>1300</v>
      </c>
      <c r="E68" s="148">
        <v>6</v>
      </c>
      <c r="F68" s="148">
        <v>4</v>
      </c>
      <c r="G68" s="149">
        <f>Juli2026!AO68</f>
        <v>1093</v>
      </c>
      <c r="H68" s="150" cm="1">
        <f t="array" ref="H68">IFERROR(INDEX(PQ_Aug!$B$2:$AF$1079,MATCH($C68,PQ_Aug!$A$2:$A$1079,0),MATCH(H$3&amp;"",PQ_Aug!$B$1:$AF$1&amp;"",0)),0)</f>
        <v>2</v>
      </c>
      <c r="I68" s="151"/>
      <c r="J68" s="150" cm="1">
        <f t="array" ref="J68">IFERROR(INDEX(PQ_Aug!$B$2:$AF$1079,MATCH($C68,PQ_Aug!$A$2:$A$1079,0),MATCH(J$3&amp;"",PQ_Aug!$B$1:$AF$1&amp;"",0)),0)</f>
        <v>1</v>
      </c>
      <c r="K68" s="150" cm="1">
        <f t="array" ref="K68">IFERROR(INDEX(PQ_Aug!$B$2:$AF$1079,MATCH($C68,PQ_Aug!$A$2:$A$1079,0),MATCH(K$3&amp;"",PQ_Aug!$B$1:$AF$1&amp;"",0)),0)</f>
        <v>2</v>
      </c>
      <c r="L68" s="150" cm="1">
        <f t="array" ref="L68">IFERROR(INDEX(PQ_Aug!$B$2:$AF$1079,MATCH($C68,PQ_Aug!$A$2:$A$1079,0),MATCH(L$3&amp;"",PQ_Aug!$B$1:$AF$1&amp;"",0)),0)</f>
        <v>17</v>
      </c>
      <c r="M68" s="150" cm="1">
        <f t="array" ref="M68">IFERROR(INDEX(PQ_Aug!$B$2:$AF$1079,MATCH($C68,PQ_Aug!$A$2:$A$1079,0),MATCH(M$3&amp;"",PQ_Aug!$B$1:$AF$1&amp;"",0)),0)</f>
        <v>1</v>
      </c>
      <c r="N68" s="150" cm="1">
        <f t="array" ref="N68">IFERROR(INDEX(PQ_Aug!$B$2:$AF$1079,MATCH($C68,PQ_Aug!$A$2:$A$1079,0),MATCH(N$3&amp;"",PQ_Aug!$B$1:$AF$1&amp;"",0)),0)</f>
        <v>0</v>
      </c>
      <c r="O68" s="150" cm="1">
        <f t="array" ref="O68">IFERROR(INDEX(PQ_Aug!$B$2:$AF$1079,MATCH($C68,PQ_Aug!$A$2:$A$1079,0),MATCH(O$3&amp;"",PQ_Aug!$B$1:$AF$1&amp;"",0)),0)</f>
        <v>2</v>
      </c>
      <c r="P68" s="151"/>
      <c r="Q68" s="150" cm="1">
        <f t="array" ref="Q68">IFERROR(INDEX(PQ_Aug!$B$2:$AF$1079,MATCH($C68,PQ_Aug!$A$2:$A$1079,0),MATCH(Q$3&amp;"",PQ_Aug!$B$1:$AF$1&amp;"",0)),0)</f>
        <v>1</v>
      </c>
      <c r="R68" s="150" cm="1">
        <f t="array" ref="R68">IFERROR(INDEX(PQ_Aug!$B$2:$AF$1079,MATCH($C68,PQ_Aug!$A$2:$A$1079,0),MATCH(R$3&amp;"",PQ_Aug!$B$1:$AF$1&amp;"",0)),0)</f>
        <v>2</v>
      </c>
      <c r="S68" s="150" cm="1">
        <f t="array" ref="S68">IFERROR(INDEX(PQ_Aug!$B$2:$AF$1079,MATCH($C68,PQ_Aug!$A$2:$A$1079,0),MATCH(S$3&amp;"",PQ_Aug!$B$1:$AF$1&amp;"",0)),0)</f>
        <v>1</v>
      </c>
      <c r="T68" s="150" cm="1">
        <f t="array" ref="T68">IFERROR(INDEX(PQ_Aug!$B$2:$AF$1079,MATCH($C68,PQ_Aug!$A$2:$A$1079,0),MATCH(T$3&amp;"",PQ_Aug!$B$1:$AF$1&amp;"",0)),0)</f>
        <v>0</v>
      </c>
      <c r="U68" s="150" cm="1">
        <f t="array" ref="U68">IFERROR(INDEX(PQ_Aug!$B$2:$AF$1079,MATCH($C68,PQ_Aug!$A$2:$A$1079,0),MATCH(U$3&amp;"",PQ_Aug!$B$1:$AF$1&amp;"",0)),0)</f>
        <v>1</v>
      </c>
      <c r="V68" s="150" cm="1">
        <f t="array" ref="V68">IFERROR(INDEX(PQ_Aug!$B$2:$AF$1079,MATCH($C68,PQ_Aug!$A$2:$A$1079,0),MATCH(V$3&amp;"",PQ_Aug!$B$1:$AF$1&amp;"",0)),0)</f>
        <v>0</v>
      </c>
      <c r="W68" s="151"/>
      <c r="X68" s="151"/>
      <c r="Y68" s="150" cm="1">
        <f t="array" ref="Y68">IFERROR(INDEX(PQ_Aug!$B$2:$AF$1079,MATCH($C68,PQ_Aug!$A$2:$A$1079,0),MATCH(Y$3&amp;"",PQ_Aug!$B$1:$AF$1&amp;"",0)),0)</f>
        <v>5</v>
      </c>
      <c r="Z68" s="150" cm="1">
        <f t="array" ref="Z68">IFERROR(INDEX(PQ_Aug!$B$2:$AF$1079,MATCH($C68,PQ_Aug!$A$2:$A$1079,0),MATCH(Z$3&amp;"",PQ_Aug!$B$1:$AF$1&amp;"",0)),0)</f>
        <v>2</v>
      </c>
      <c r="AA68" s="150" cm="1">
        <f t="array" ref="AA68">IFERROR(INDEX(PQ_Aug!$B$2:$AF$1079,MATCH($C68,PQ_Aug!$A$2:$A$1079,0),MATCH(AA$3&amp;"",PQ_Aug!$B$1:$AF$1&amp;"",0)),0)</f>
        <v>2</v>
      </c>
      <c r="AB68" s="150" cm="1">
        <f t="array" ref="AB68">IFERROR(INDEX(PQ_Aug!$B$2:$AF$1079,MATCH($C68,PQ_Aug!$A$2:$A$1079,0),MATCH(AB$3&amp;"",PQ_Aug!$B$1:$AF$1&amp;"",0)),0)</f>
        <v>0</v>
      </c>
      <c r="AC68" s="150" cm="1">
        <f t="array" ref="AC68">IFERROR(INDEX(PQ_Aug!$B$2:$AF$1079,MATCH($C68,PQ_Aug!$A$2:$A$1079,0),MATCH(AC$3&amp;"",PQ_Aug!$B$1:$AF$1&amp;"",0)),0)</f>
        <v>1</v>
      </c>
      <c r="AD68" s="151"/>
      <c r="AE68" s="150" cm="1">
        <f t="array" ref="AE68">IFERROR(INDEX(PQ_Aug!$B$2:$AF$1079,MATCH($C68,PQ_Aug!$A$2:$A$1079,0),MATCH(AE$3&amp;"",PQ_Aug!$B$1:$AF$1&amp;"",0)),0)</f>
        <v>6</v>
      </c>
      <c r="AF68" s="151"/>
      <c r="AG68" s="150"/>
      <c r="AH68" s="150"/>
      <c r="AI68" s="150"/>
      <c r="AJ68" s="150"/>
      <c r="AK68" s="151"/>
      <c r="AL68" s="150"/>
      <c r="AM68" s="152">
        <v>32</v>
      </c>
      <c r="AN68" s="150">
        <f t="shared" si="4"/>
        <v>78</v>
      </c>
      <c r="AO68" s="153">
        <f t="shared" ref="AO68:AO106" si="10">(G68-AN68)+AZ68</f>
        <v>1015</v>
      </c>
      <c r="AP68" s="23">
        <v>300</v>
      </c>
      <c r="AQ68" s="210" t="s">
        <v>79</v>
      </c>
      <c r="AR68" s="172"/>
      <c r="AS68" s="173"/>
      <c r="AT68" s="172"/>
      <c r="AU68" s="173"/>
      <c r="AV68" s="172"/>
      <c r="AW68" s="174"/>
      <c r="AX68" s="153">
        <f t="shared" si="5"/>
        <v>0</v>
      </c>
      <c r="AY68" s="153">
        <f t="shared" si="6"/>
        <v>0</v>
      </c>
      <c r="AZ68" s="153">
        <f t="shared" si="2"/>
        <v>0</v>
      </c>
      <c r="BA68" s="153">
        <f t="shared" ref="BA68:BA106" si="11">(G68-AN68)+AZ68</f>
        <v>1015</v>
      </c>
      <c r="BB68" s="160"/>
      <c r="BC68" s="30"/>
      <c r="BD68" s="30"/>
      <c r="BE68" s="30"/>
      <c r="BF68" s="30"/>
    </row>
    <row r="69" spans="1:58" ht="22.5" customHeight="1">
      <c r="A69" s="233">
        <f t="shared" si="7"/>
        <v>2259</v>
      </c>
      <c r="B69" s="234"/>
      <c r="C69" s="135" t="s">
        <v>51</v>
      </c>
      <c r="D69" s="75">
        <v>1200</v>
      </c>
      <c r="E69" s="148">
        <v>63</v>
      </c>
      <c r="F69" s="148">
        <v>186</v>
      </c>
      <c r="G69" s="149">
        <f>Juli2026!AO69</f>
        <v>2393</v>
      </c>
      <c r="H69" s="150" cm="1">
        <f t="array" ref="H69">IFERROR(INDEX(PQ_Aug!$B$2:$AF$1079,MATCH($C69,PQ_Aug!$A$2:$A$1079,0),MATCH(H$3&amp;"",PQ_Aug!$B$1:$AF$1&amp;"",0)),0)</f>
        <v>6</v>
      </c>
      <c r="I69" s="151"/>
      <c r="J69" s="150" cm="1">
        <f t="array" ref="J69">IFERROR(INDEX(PQ_Aug!$B$2:$AF$1079,MATCH($C69,PQ_Aug!$A$2:$A$1079,0),MATCH(J$3&amp;"",PQ_Aug!$B$1:$AF$1&amp;"",0)),0)</f>
        <v>3</v>
      </c>
      <c r="K69" s="150" cm="1">
        <f t="array" ref="K69">IFERROR(INDEX(PQ_Aug!$B$2:$AF$1079,MATCH($C69,PQ_Aug!$A$2:$A$1079,0),MATCH(K$3&amp;"",PQ_Aug!$B$1:$AF$1&amp;"",0)),0)</f>
        <v>6</v>
      </c>
      <c r="L69" s="150" cm="1">
        <f t="array" ref="L69">IFERROR(INDEX(PQ_Aug!$B$2:$AF$1079,MATCH($C69,PQ_Aug!$A$2:$A$1079,0),MATCH(L$3&amp;"",PQ_Aug!$B$1:$AF$1&amp;"",0)),0)</f>
        <v>0</v>
      </c>
      <c r="M69" s="150" cm="1">
        <f t="array" ref="M69">IFERROR(INDEX(PQ_Aug!$B$2:$AF$1079,MATCH($C69,PQ_Aug!$A$2:$A$1079,0),MATCH(M$3&amp;"",PQ_Aug!$B$1:$AF$1&amp;"",0)),0)</f>
        <v>8</v>
      </c>
      <c r="N69" s="150" cm="1">
        <f t="array" ref="N69">IFERROR(INDEX(PQ_Aug!$B$2:$AF$1079,MATCH($C69,PQ_Aug!$A$2:$A$1079,0),MATCH(N$3&amp;"",PQ_Aug!$B$1:$AF$1&amp;"",0)),0)</f>
        <v>0</v>
      </c>
      <c r="O69" s="150" cm="1">
        <f t="array" ref="O69">IFERROR(INDEX(PQ_Aug!$B$2:$AF$1079,MATCH($C69,PQ_Aug!$A$2:$A$1079,0),MATCH(O$3&amp;"",PQ_Aug!$B$1:$AF$1&amp;"",0)),0)</f>
        <v>8</v>
      </c>
      <c r="P69" s="151"/>
      <c r="Q69" s="150" cm="1">
        <f t="array" ref="Q69">IFERROR(INDEX(PQ_Aug!$B$2:$AF$1079,MATCH($C69,PQ_Aug!$A$2:$A$1079,0),MATCH(Q$3&amp;"",PQ_Aug!$B$1:$AF$1&amp;"",0)),0)</f>
        <v>10</v>
      </c>
      <c r="R69" s="150" cm="1">
        <f t="array" ref="R69">IFERROR(INDEX(PQ_Aug!$B$2:$AF$1079,MATCH($C69,PQ_Aug!$A$2:$A$1079,0),MATCH(R$3&amp;"",PQ_Aug!$B$1:$AF$1&amp;"",0)),0)</f>
        <v>12</v>
      </c>
      <c r="S69" s="150" cm="1">
        <f t="array" ref="S69">IFERROR(INDEX(PQ_Aug!$B$2:$AF$1079,MATCH($C69,PQ_Aug!$A$2:$A$1079,0),MATCH(S$3&amp;"",PQ_Aug!$B$1:$AF$1&amp;"",0)),0)</f>
        <v>0</v>
      </c>
      <c r="T69" s="150" cm="1">
        <f t="array" ref="T69">IFERROR(INDEX(PQ_Aug!$B$2:$AF$1079,MATCH($C69,PQ_Aug!$A$2:$A$1079,0),MATCH(T$3&amp;"",PQ_Aug!$B$1:$AF$1&amp;"",0)),0)</f>
        <v>54</v>
      </c>
      <c r="U69" s="150" cm="1">
        <f t="array" ref="U69">IFERROR(INDEX(PQ_Aug!$B$2:$AF$1079,MATCH($C69,PQ_Aug!$A$2:$A$1079,0),MATCH(U$3&amp;"",PQ_Aug!$B$1:$AF$1&amp;"",0)),0)</f>
        <v>1</v>
      </c>
      <c r="V69" s="150" cm="1">
        <f t="array" ref="V69">IFERROR(INDEX(PQ_Aug!$B$2:$AF$1079,MATCH($C69,PQ_Aug!$A$2:$A$1079,0),MATCH(V$3&amp;"",PQ_Aug!$B$1:$AF$1&amp;"",0)),0)</f>
        <v>3</v>
      </c>
      <c r="W69" s="151"/>
      <c r="X69" s="151"/>
      <c r="Y69" s="150" cm="1">
        <f t="array" ref="Y69">IFERROR(INDEX(PQ_Aug!$B$2:$AF$1079,MATCH($C69,PQ_Aug!$A$2:$A$1079,0),MATCH(Y$3&amp;"",PQ_Aug!$B$1:$AF$1&amp;"",0)),0)</f>
        <v>0</v>
      </c>
      <c r="Z69" s="150" cm="1">
        <f t="array" ref="Z69">IFERROR(INDEX(PQ_Aug!$B$2:$AF$1079,MATCH($C69,PQ_Aug!$A$2:$A$1079,0),MATCH(Z$3&amp;"",PQ_Aug!$B$1:$AF$1&amp;"",0)),0)</f>
        <v>0</v>
      </c>
      <c r="AA69" s="150" cm="1">
        <f t="array" ref="AA69">IFERROR(INDEX(PQ_Aug!$B$2:$AF$1079,MATCH($C69,PQ_Aug!$A$2:$A$1079,0),MATCH(AA$3&amp;"",PQ_Aug!$B$1:$AF$1&amp;"",0)),0)</f>
        <v>0</v>
      </c>
      <c r="AB69" s="150" cm="1">
        <f t="array" ref="AB69">IFERROR(INDEX(PQ_Aug!$B$2:$AF$1079,MATCH($C69,PQ_Aug!$A$2:$A$1079,0),MATCH(AB$3&amp;"",PQ_Aug!$B$1:$AF$1&amp;"",0)),0)</f>
        <v>0</v>
      </c>
      <c r="AC69" s="150" cm="1">
        <f t="array" ref="AC69">IFERROR(INDEX(PQ_Aug!$B$2:$AF$1079,MATCH($C69,PQ_Aug!$A$2:$A$1079,0),MATCH(AC$3&amp;"",PQ_Aug!$B$1:$AF$1&amp;"",0)),0)</f>
        <v>0</v>
      </c>
      <c r="AD69" s="151"/>
      <c r="AE69" s="150" cm="1">
        <f t="array" ref="AE69">IFERROR(INDEX(PQ_Aug!$B$2:$AF$1079,MATCH($C69,PQ_Aug!$A$2:$A$1079,0),MATCH(AE$3&amp;"",PQ_Aug!$B$1:$AF$1&amp;"",0)),0)</f>
        <v>1</v>
      </c>
      <c r="AF69" s="151"/>
      <c r="AG69" s="150"/>
      <c r="AH69" s="150"/>
      <c r="AI69" s="150"/>
      <c r="AJ69" s="150"/>
      <c r="AK69" s="151"/>
      <c r="AL69" s="150"/>
      <c r="AM69" s="152">
        <v>22</v>
      </c>
      <c r="AN69" s="150">
        <f t="shared" ref="AN69:AN106" si="12">SUM(H69:AL69)+AM69</f>
        <v>134</v>
      </c>
      <c r="AO69" s="153">
        <f t="shared" si="10"/>
        <v>2259</v>
      </c>
      <c r="AP69" s="23">
        <v>300</v>
      </c>
      <c r="AQ69" s="210" t="s">
        <v>79</v>
      </c>
      <c r="AR69" s="172"/>
      <c r="AS69" s="173"/>
      <c r="AT69" s="172"/>
      <c r="AU69" s="173"/>
      <c r="AV69" s="172"/>
      <c r="AW69" s="174"/>
      <c r="AX69" s="153">
        <f t="shared" ref="AX69:AX106" si="13">IFERROR(IF(AV69="",0,$D69*AS69),0)</f>
        <v>0</v>
      </c>
      <c r="AY69" s="153">
        <f t="shared" ref="AY69:AY106" si="14">IFERROR(IF(AW69="",0,$D69*AU69),0)</f>
        <v>0</v>
      </c>
      <c r="AZ69" s="153">
        <f t="shared" ref="AZ69:AZ106" si="15">AX69+AY69</f>
        <v>0</v>
      </c>
      <c r="BA69" s="153">
        <f t="shared" si="11"/>
        <v>2259</v>
      </c>
      <c r="BB69" s="160"/>
      <c r="BC69" s="30"/>
      <c r="BD69" s="30"/>
      <c r="BE69" s="30"/>
      <c r="BF69" s="30"/>
    </row>
    <row r="70" spans="1:58" ht="22.5" customHeight="1">
      <c r="A70" s="233">
        <f t="shared" si="7"/>
        <v>2607</v>
      </c>
      <c r="B70" s="234"/>
      <c r="C70" s="135" t="s">
        <v>52</v>
      </c>
      <c r="D70" s="75">
        <v>1000</v>
      </c>
      <c r="E70" s="148">
        <v>218</v>
      </c>
      <c r="F70" s="148">
        <v>433</v>
      </c>
      <c r="G70" s="149">
        <f>Juli2026!AO70</f>
        <v>3009</v>
      </c>
      <c r="H70" s="150" cm="1">
        <f t="array" ref="H70">IFERROR(INDEX(PQ_Aug!$B$2:$AF$1079,MATCH($C70,PQ_Aug!$A$2:$A$1079,0),MATCH(H$3&amp;"",PQ_Aug!$B$1:$AF$1&amp;"",0)),0)</f>
        <v>14</v>
      </c>
      <c r="I70" s="151"/>
      <c r="J70" s="150" cm="1">
        <f t="array" ref="J70">IFERROR(INDEX(PQ_Aug!$B$2:$AF$1079,MATCH($C70,PQ_Aug!$A$2:$A$1079,0),MATCH(J$3&amp;"",PQ_Aug!$B$1:$AF$1&amp;"",0)),0)</f>
        <v>14</v>
      </c>
      <c r="K70" s="150" cm="1">
        <f t="array" ref="K70">IFERROR(INDEX(PQ_Aug!$B$2:$AF$1079,MATCH($C70,PQ_Aug!$A$2:$A$1079,0),MATCH(K$3&amp;"",PQ_Aug!$B$1:$AF$1&amp;"",0)),0)</f>
        <v>23</v>
      </c>
      <c r="L70" s="150" cm="1">
        <f t="array" ref="L70">IFERROR(INDEX(PQ_Aug!$B$2:$AF$1079,MATCH($C70,PQ_Aug!$A$2:$A$1079,0),MATCH(L$3&amp;"",PQ_Aug!$B$1:$AF$1&amp;"",0)),0)</f>
        <v>36</v>
      </c>
      <c r="M70" s="150" cm="1">
        <f t="array" ref="M70">IFERROR(INDEX(PQ_Aug!$B$2:$AF$1079,MATCH($C70,PQ_Aug!$A$2:$A$1079,0),MATCH(M$3&amp;"",PQ_Aug!$B$1:$AF$1&amp;"",0)),0)</f>
        <v>34</v>
      </c>
      <c r="N70" s="150" cm="1">
        <f t="array" ref="N70">IFERROR(INDEX(PQ_Aug!$B$2:$AF$1079,MATCH($C70,PQ_Aug!$A$2:$A$1079,0),MATCH(N$3&amp;"",PQ_Aug!$B$1:$AF$1&amp;"",0)),0)</f>
        <v>4</v>
      </c>
      <c r="O70" s="150" cm="1">
        <f t="array" ref="O70">IFERROR(INDEX(PQ_Aug!$B$2:$AF$1079,MATCH($C70,PQ_Aug!$A$2:$A$1079,0),MATCH(O$3&amp;"",PQ_Aug!$B$1:$AF$1&amp;"",0)),0)</f>
        <v>12</v>
      </c>
      <c r="P70" s="151"/>
      <c r="Q70" s="150" cm="1">
        <f t="array" ref="Q70">IFERROR(INDEX(PQ_Aug!$B$2:$AF$1079,MATCH($C70,PQ_Aug!$A$2:$A$1079,0),MATCH(Q$3&amp;"",PQ_Aug!$B$1:$AF$1&amp;"",0)),0)</f>
        <v>20</v>
      </c>
      <c r="R70" s="150" cm="1">
        <f t="array" ref="R70">IFERROR(INDEX(PQ_Aug!$B$2:$AF$1079,MATCH($C70,PQ_Aug!$A$2:$A$1079,0),MATCH(R$3&amp;"",PQ_Aug!$B$1:$AF$1&amp;"",0)),0)</f>
        <v>35</v>
      </c>
      <c r="S70" s="150" cm="1">
        <f t="array" ref="S70">IFERROR(INDEX(PQ_Aug!$B$2:$AF$1079,MATCH($C70,PQ_Aug!$A$2:$A$1079,0),MATCH(S$3&amp;"",PQ_Aug!$B$1:$AF$1&amp;"",0)),0)</f>
        <v>16</v>
      </c>
      <c r="T70" s="150" cm="1">
        <f t="array" ref="T70">IFERROR(INDEX(PQ_Aug!$B$2:$AF$1079,MATCH($C70,PQ_Aug!$A$2:$A$1079,0),MATCH(T$3&amp;"",PQ_Aug!$B$1:$AF$1&amp;"",0)),0)</f>
        <v>56</v>
      </c>
      <c r="U70" s="150" cm="1">
        <f t="array" ref="U70">IFERROR(INDEX(PQ_Aug!$B$2:$AF$1079,MATCH($C70,PQ_Aug!$A$2:$A$1079,0),MATCH(U$3&amp;"",PQ_Aug!$B$1:$AF$1&amp;"",0)),0)</f>
        <v>1</v>
      </c>
      <c r="V70" s="150" cm="1">
        <f t="array" ref="V70">IFERROR(INDEX(PQ_Aug!$B$2:$AF$1079,MATCH($C70,PQ_Aug!$A$2:$A$1079,0),MATCH(V$3&amp;"",PQ_Aug!$B$1:$AF$1&amp;"",0)),0)</f>
        <v>3</v>
      </c>
      <c r="W70" s="151"/>
      <c r="X70" s="151"/>
      <c r="Y70" s="150" cm="1">
        <f t="array" ref="Y70">IFERROR(INDEX(PQ_Aug!$B$2:$AF$1079,MATCH($C70,PQ_Aug!$A$2:$A$1079,0),MATCH(Y$3&amp;"",PQ_Aug!$B$1:$AF$1&amp;"",0)),0)</f>
        <v>20</v>
      </c>
      <c r="Z70" s="150" cm="1">
        <f t="array" ref="Z70">IFERROR(INDEX(PQ_Aug!$B$2:$AF$1079,MATCH($C70,PQ_Aug!$A$2:$A$1079,0),MATCH(Z$3&amp;"",PQ_Aug!$B$1:$AF$1&amp;"",0)),0)</f>
        <v>14</v>
      </c>
      <c r="AA70" s="150" cm="1">
        <f t="array" ref="AA70">IFERROR(INDEX(PQ_Aug!$B$2:$AF$1079,MATCH($C70,PQ_Aug!$A$2:$A$1079,0),MATCH(AA$3&amp;"",PQ_Aug!$B$1:$AF$1&amp;"",0)),0)</f>
        <v>7</v>
      </c>
      <c r="AB70" s="150" cm="1">
        <f t="array" ref="AB70">IFERROR(INDEX(PQ_Aug!$B$2:$AF$1079,MATCH($C70,PQ_Aug!$A$2:$A$1079,0),MATCH(AB$3&amp;"",PQ_Aug!$B$1:$AF$1&amp;"",0)),0)</f>
        <v>19</v>
      </c>
      <c r="AC70" s="150" cm="1">
        <f t="array" ref="AC70">IFERROR(INDEX(PQ_Aug!$B$2:$AF$1079,MATCH($C70,PQ_Aug!$A$2:$A$1079,0),MATCH(AC$3&amp;"",PQ_Aug!$B$1:$AF$1&amp;"",0)),0)</f>
        <v>2</v>
      </c>
      <c r="AD70" s="151"/>
      <c r="AE70" s="150" cm="1">
        <f t="array" ref="AE70">IFERROR(INDEX(PQ_Aug!$B$2:$AF$1079,MATCH($C70,PQ_Aug!$A$2:$A$1079,0),MATCH(AE$3&amp;"",PQ_Aug!$B$1:$AF$1&amp;"",0)),0)</f>
        <v>32</v>
      </c>
      <c r="AF70" s="151"/>
      <c r="AG70" s="150"/>
      <c r="AH70" s="150"/>
      <c r="AI70" s="150"/>
      <c r="AJ70" s="150"/>
      <c r="AK70" s="151"/>
      <c r="AL70" s="150"/>
      <c r="AM70" s="152">
        <v>40</v>
      </c>
      <c r="AN70" s="150">
        <f t="shared" si="12"/>
        <v>402</v>
      </c>
      <c r="AO70" s="153">
        <f t="shared" si="10"/>
        <v>2607</v>
      </c>
      <c r="AP70" s="23">
        <v>500</v>
      </c>
      <c r="AQ70" s="210" t="s">
        <v>79</v>
      </c>
      <c r="AR70" s="172"/>
      <c r="AS70" s="173"/>
      <c r="AT70" s="172"/>
      <c r="AU70" s="173"/>
      <c r="AV70" s="212"/>
      <c r="AW70" s="174"/>
      <c r="AX70" s="153">
        <f t="shared" si="13"/>
        <v>0</v>
      </c>
      <c r="AY70" s="153">
        <f t="shared" si="14"/>
        <v>0</v>
      </c>
      <c r="AZ70" s="153">
        <f t="shared" si="15"/>
        <v>0</v>
      </c>
      <c r="BA70" s="153">
        <f t="shared" si="11"/>
        <v>2607</v>
      </c>
      <c r="BB70" s="160"/>
      <c r="BC70" s="30"/>
      <c r="BD70" s="30"/>
      <c r="BE70" s="30"/>
      <c r="BF70" s="30"/>
    </row>
    <row r="71" spans="1:58" ht="22.5" customHeight="1">
      <c r="A71" s="242">
        <f t="shared" ref="A71:A106" si="16">AO71</f>
        <v>2693</v>
      </c>
      <c r="B71" s="243"/>
      <c r="C71" s="135" t="s">
        <v>53</v>
      </c>
      <c r="D71" s="75">
        <v>1000</v>
      </c>
      <c r="E71" s="148">
        <v>63</v>
      </c>
      <c r="F71" s="148">
        <v>107</v>
      </c>
      <c r="G71" s="149">
        <f>Juli2026!AO71</f>
        <v>2759</v>
      </c>
      <c r="H71" s="150" cm="1">
        <f t="array" ref="H71">IFERROR(INDEX(PQ_Aug!$B$2:$AF$1079,MATCH($C71,PQ_Aug!$A$2:$A$1079,0),MATCH(H$3&amp;"",PQ_Aug!$B$1:$AF$1&amp;"",0)),0)</f>
        <v>6</v>
      </c>
      <c r="I71" s="151"/>
      <c r="J71" s="150" cm="1">
        <f t="array" ref="J71">IFERROR(INDEX(PQ_Aug!$B$2:$AF$1079,MATCH($C71,PQ_Aug!$A$2:$A$1079,0),MATCH(J$3&amp;"",PQ_Aug!$B$1:$AF$1&amp;"",0)),0)</f>
        <v>3</v>
      </c>
      <c r="K71" s="150" cm="1">
        <f t="array" ref="K71">IFERROR(INDEX(PQ_Aug!$B$2:$AF$1079,MATCH($C71,PQ_Aug!$A$2:$A$1079,0),MATCH(K$3&amp;"",PQ_Aug!$B$1:$AF$1&amp;"",0)),0)</f>
        <v>3</v>
      </c>
      <c r="L71" s="150" cm="1">
        <f t="array" ref="L71">IFERROR(INDEX(PQ_Aug!$B$2:$AF$1079,MATCH($C71,PQ_Aug!$A$2:$A$1079,0),MATCH(L$3&amp;"",PQ_Aug!$B$1:$AF$1&amp;"",0)),0)</f>
        <v>0</v>
      </c>
      <c r="M71" s="150" cm="1">
        <f t="array" ref="M71">IFERROR(INDEX(PQ_Aug!$B$2:$AF$1079,MATCH($C71,PQ_Aug!$A$2:$A$1079,0),MATCH(M$3&amp;"",PQ_Aug!$B$1:$AF$1&amp;"",0)),0)</f>
        <v>6</v>
      </c>
      <c r="N71" s="150" cm="1">
        <f t="array" ref="N71">IFERROR(INDEX(PQ_Aug!$B$2:$AF$1079,MATCH($C71,PQ_Aug!$A$2:$A$1079,0),MATCH(N$3&amp;"",PQ_Aug!$B$1:$AF$1&amp;"",0)),0)</f>
        <v>0</v>
      </c>
      <c r="O71" s="150" cm="1">
        <f t="array" ref="O71">IFERROR(INDEX(PQ_Aug!$B$2:$AF$1079,MATCH($C71,PQ_Aug!$A$2:$A$1079,0),MATCH(O$3&amp;"",PQ_Aug!$B$1:$AF$1&amp;"",0)),0)</f>
        <v>8</v>
      </c>
      <c r="P71" s="151"/>
      <c r="Q71" s="150" cm="1">
        <f t="array" ref="Q71">IFERROR(INDEX(PQ_Aug!$B$2:$AF$1079,MATCH($C71,PQ_Aug!$A$2:$A$1079,0),MATCH(Q$3&amp;"",PQ_Aug!$B$1:$AF$1&amp;"",0)),0)</f>
        <v>6</v>
      </c>
      <c r="R71" s="150" cm="1">
        <f t="array" ref="R71">IFERROR(INDEX(PQ_Aug!$B$2:$AF$1079,MATCH($C71,PQ_Aug!$A$2:$A$1079,0),MATCH(R$3&amp;"",PQ_Aug!$B$1:$AF$1&amp;"",0)),0)</f>
        <v>5</v>
      </c>
      <c r="S71" s="150" cm="1">
        <f t="array" ref="S71">IFERROR(INDEX(PQ_Aug!$B$2:$AF$1079,MATCH($C71,PQ_Aug!$A$2:$A$1079,0),MATCH(S$3&amp;"",PQ_Aug!$B$1:$AF$1&amp;"",0)),0)</f>
        <v>0</v>
      </c>
      <c r="T71" s="150" cm="1">
        <f t="array" ref="T71">IFERROR(INDEX(PQ_Aug!$B$2:$AF$1079,MATCH($C71,PQ_Aug!$A$2:$A$1079,0),MATCH(T$3&amp;"",PQ_Aug!$B$1:$AF$1&amp;"",0)),0)</f>
        <v>2</v>
      </c>
      <c r="U71" s="150" cm="1">
        <f t="array" ref="U71">IFERROR(INDEX(PQ_Aug!$B$2:$AF$1079,MATCH($C71,PQ_Aug!$A$2:$A$1079,0),MATCH(U$3&amp;"",PQ_Aug!$B$1:$AF$1&amp;"",0)),0)</f>
        <v>1</v>
      </c>
      <c r="V71" s="150" cm="1">
        <f t="array" ref="V71">IFERROR(INDEX(PQ_Aug!$B$2:$AF$1079,MATCH($C71,PQ_Aug!$A$2:$A$1079,0),MATCH(V$3&amp;"",PQ_Aug!$B$1:$AF$1&amp;"",0)),0)</f>
        <v>3</v>
      </c>
      <c r="W71" s="151"/>
      <c r="X71" s="151"/>
      <c r="Y71" s="150" cm="1">
        <f t="array" ref="Y71">IFERROR(INDEX(PQ_Aug!$B$2:$AF$1079,MATCH($C71,PQ_Aug!$A$2:$A$1079,0),MATCH(Y$3&amp;"",PQ_Aug!$B$1:$AF$1&amp;"",0)),0)</f>
        <v>0</v>
      </c>
      <c r="Z71" s="150" cm="1">
        <f t="array" ref="Z71">IFERROR(INDEX(PQ_Aug!$B$2:$AF$1079,MATCH($C71,PQ_Aug!$A$2:$A$1079,0),MATCH(Z$3&amp;"",PQ_Aug!$B$1:$AF$1&amp;"",0)),0)</f>
        <v>0</v>
      </c>
      <c r="AA71" s="150" cm="1">
        <f t="array" ref="AA71">IFERROR(INDEX(PQ_Aug!$B$2:$AF$1079,MATCH($C71,PQ_Aug!$A$2:$A$1079,0),MATCH(AA$3&amp;"",PQ_Aug!$B$1:$AF$1&amp;"",0)),0)</f>
        <v>0</v>
      </c>
      <c r="AB71" s="150" cm="1">
        <f t="array" ref="AB71">IFERROR(INDEX(PQ_Aug!$B$2:$AF$1079,MATCH($C71,PQ_Aug!$A$2:$A$1079,0),MATCH(AB$3&amp;"",PQ_Aug!$B$1:$AF$1&amp;"",0)),0)</f>
        <v>0</v>
      </c>
      <c r="AC71" s="150" cm="1">
        <f t="array" ref="AC71">IFERROR(INDEX(PQ_Aug!$B$2:$AF$1079,MATCH($C71,PQ_Aug!$A$2:$A$1079,0),MATCH(AC$3&amp;"",PQ_Aug!$B$1:$AF$1&amp;"",0)),0)</f>
        <v>0</v>
      </c>
      <c r="AD71" s="151"/>
      <c r="AE71" s="150" cm="1">
        <f t="array" ref="AE71">IFERROR(INDEX(PQ_Aug!$B$2:$AF$1079,MATCH($C71,PQ_Aug!$A$2:$A$1079,0),MATCH(AE$3&amp;"",PQ_Aug!$B$1:$AF$1&amp;"",0)),0)</f>
        <v>1</v>
      </c>
      <c r="AF71" s="151"/>
      <c r="AG71" s="150"/>
      <c r="AH71" s="150"/>
      <c r="AI71" s="150"/>
      <c r="AJ71" s="150"/>
      <c r="AK71" s="151"/>
      <c r="AL71" s="150"/>
      <c r="AM71" s="152">
        <v>22</v>
      </c>
      <c r="AN71" s="150">
        <f t="shared" si="12"/>
        <v>66</v>
      </c>
      <c r="AO71" s="153">
        <f t="shared" si="10"/>
        <v>2693</v>
      </c>
      <c r="AP71" s="23">
        <v>300</v>
      </c>
      <c r="AQ71" s="210" t="s">
        <v>79</v>
      </c>
      <c r="AR71" s="172"/>
      <c r="AS71" s="173"/>
      <c r="AT71" s="172"/>
      <c r="AU71" s="173"/>
      <c r="AV71" s="172"/>
      <c r="AW71" s="174"/>
      <c r="AX71" s="153">
        <f t="shared" si="13"/>
        <v>0</v>
      </c>
      <c r="AY71" s="153">
        <f t="shared" si="14"/>
        <v>0</v>
      </c>
      <c r="AZ71" s="153">
        <f t="shared" si="15"/>
        <v>0</v>
      </c>
      <c r="BA71" s="153">
        <f t="shared" si="11"/>
        <v>2693</v>
      </c>
      <c r="BB71" s="160"/>
      <c r="BC71" s="30"/>
      <c r="BD71" s="30"/>
      <c r="BE71" s="30"/>
      <c r="BF71" s="30"/>
    </row>
    <row r="72" spans="1:58" ht="22.5" customHeight="1">
      <c r="A72" s="233">
        <f t="shared" si="16"/>
        <v>103</v>
      </c>
      <c r="B72" s="234"/>
      <c r="C72" s="135" t="s">
        <v>77</v>
      </c>
      <c r="D72" s="75">
        <v>240</v>
      </c>
      <c r="E72" s="148"/>
      <c r="F72" s="148"/>
      <c r="G72" s="149">
        <f>Juli2026!AO72</f>
        <v>177</v>
      </c>
      <c r="H72" s="150" cm="1">
        <f t="array" ref="H72">IFERROR(INDEX(PQ_Aug!$B$2:$AF$1079,MATCH($C72,PQ_Aug!$A$2:$A$1079,0),MATCH(H$3&amp;"",PQ_Aug!$B$1:$AF$1&amp;"",0)),0)</f>
        <v>1</v>
      </c>
      <c r="I72" s="151"/>
      <c r="J72" s="150" cm="1">
        <f t="array" ref="J72">IFERROR(INDEX(PQ_Aug!$B$2:$AF$1079,MATCH($C72,PQ_Aug!$A$2:$A$1079,0),MATCH(J$3&amp;"",PQ_Aug!$B$1:$AF$1&amp;"",0)),0)</f>
        <v>1</v>
      </c>
      <c r="K72" s="150" cm="1">
        <f t="array" ref="K72">IFERROR(INDEX(PQ_Aug!$B$2:$AF$1079,MATCH($C72,PQ_Aug!$A$2:$A$1079,0),MATCH(K$3&amp;"",PQ_Aug!$B$1:$AF$1&amp;"",0)),0)</f>
        <v>2</v>
      </c>
      <c r="L72" s="150" cm="1">
        <f t="array" ref="L72">IFERROR(INDEX(PQ_Aug!$B$2:$AF$1079,MATCH($C72,PQ_Aug!$A$2:$A$1079,0),MATCH(L$3&amp;"",PQ_Aug!$B$1:$AF$1&amp;"",0)),0)</f>
        <v>17</v>
      </c>
      <c r="M72" s="150" cm="1">
        <f t="array" ref="M72">IFERROR(INDEX(PQ_Aug!$B$2:$AF$1079,MATCH($C72,PQ_Aug!$A$2:$A$1079,0),MATCH(M$3&amp;"",PQ_Aug!$B$1:$AF$1&amp;"",0)),0)</f>
        <v>1</v>
      </c>
      <c r="N72" s="150" cm="1">
        <f t="array" ref="N72">IFERROR(INDEX(PQ_Aug!$B$2:$AF$1079,MATCH($C72,PQ_Aug!$A$2:$A$1079,0),MATCH(N$3&amp;"",PQ_Aug!$B$1:$AF$1&amp;"",0)),0)</f>
        <v>0</v>
      </c>
      <c r="O72" s="150" cm="1">
        <f t="array" ref="O72">IFERROR(INDEX(PQ_Aug!$B$2:$AF$1079,MATCH($C72,PQ_Aug!$A$2:$A$1079,0),MATCH(O$3&amp;"",PQ_Aug!$B$1:$AF$1&amp;"",0)),0)</f>
        <v>2</v>
      </c>
      <c r="P72" s="151"/>
      <c r="Q72" s="150" cm="1">
        <f t="array" ref="Q72">IFERROR(INDEX(PQ_Aug!$B$2:$AF$1079,MATCH($C72,PQ_Aug!$A$2:$A$1079,0),MATCH(Q$3&amp;"",PQ_Aug!$B$1:$AF$1&amp;"",0)),0)</f>
        <v>1</v>
      </c>
      <c r="R72" s="150" cm="1">
        <f t="array" ref="R72">IFERROR(INDEX(PQ_Aug!$B$2:$AF$1079,MATCH($C72,PQ_Aug!$A$2:$A$1079,0),MATCH(R$3&amp;"",PQ_Aug!$B$1:$AF$1&amp;"",0)),0)</f>
        <v>2</v>
      </c>
      <c r="S72" s="150" cm="1">
        <f t="array" ref="S72">IFERROR(INDEX(PQ_Aug!$B$2:$AF$1079,MATCH($C72,PQ_Aug!$A$2:$A$1079,0),MATCH(S$3&amp;"",PQ_Aug!$B$1:$AF$1&amp;"",0)),0)</f>
        <v>1</v>
      </c>
      <c r="T72" s="150" cm="1">
        <f t="array" ref="T72">IFERROR(INDEX(PQ_Aug!$B$2:$AF$1079,MATCH($C72,PQ_Aug!$A$2:$A$1079,0),MATCH(T$3&amp;"",PQ_Aug!$B$1:$AF$1&amp;"",0)),0)</f>
        <v>0</v>
      </c>
      <c r="U72" s="150" cm="1">
        <f t="array" ref="U72">IFERROR(INDEX(PQ_Aug!$B$2:$AF$1079,MATCH($C72,PQ_Aug!$A$2:$A$1079,0),MATCH(U$3&amp;"",PQ_Aug!$B$1:$AF$1&amp;"",0)),0)</f>
        <v>0</v>
      </c>
      <c r="V72" s="150" cm="1">
        <f t="array" ref="V72">IFERROR(INDEX(PQ_Aug!$B$2:$AF$1079,MATCH($C72,PQ_Aug!$A$2:$A$1079,0),MATCH(V$3&amp;"",PQ_Aug!$B$1:$AF$1&amp;"",0)),0)</f>
        <v>0</v>
      </c>
      <c r="W72" s="151"/>
      <c r="X72" s="151"/>
      <c r="Y72" s="150" cm="1">
        <f t="array" ref="Y72">IFERROR(INDEX(PQ_Aug!$B$2:$AF$1079,MATCH($C72,PQ_Aug!$A$2:$A$1079,0),MATCH(Y$3&amp;"",PQ_Aug!$B$1:$AF$1&amp;"",0)),0)</f>
        <v>5</v>
      </c>
      <c r="Z72" s="150" cm="1">
        <f t="array" ref="Z72">IFERROR(INDEX(PQ_Aug!$B$2:$AF$1079,MATCH($C72,PQ_Aug!$A$2:$A$1079,0),MATCH(Z$3&amp;"",PQ_Aug!$B$1:$AF$1&amp;"",0)),0)</f>
        <v>2</v>
      </c>
      <c r="AA72" s="150" cm="1">
        <f t="array" ref="AA72">IFERROR(INDEX(PQ_Aug!$B$2:$AF$1079,MATCH($C72,PQ_Aug!$A$2:$A$1079,0),MATCH(AA$3&amp;"",PQ_Aug!$B$1:$AF$1&amp;"",0)),0)</f>
        <v>2</v>
      </c>
      <c r="AB72" s="150" cm="1">
        <f t="array" ref="AB72">IFERROR(INDEX(PQ_Aug!$B$2:$AF$1079,MATCH($C72,PQ_Aug!$A$2:$A$1079,0),MATCH(AB$3&amp;"",PQ_Aug!$B$1:$AF$1&amp;"",0)),0)</f>
        <v>0</v>
      </c>
      <c r="AC72" s="150" cm="1">
        <f t="array" ref="AC72">IFERROR(INDEX(PQ_Aug!$B$2:$AF$1079,MATCH($C72,PQ_Aug!$A$2:$A$1079,0),MATCH(AC$3&amp;"",PQ_Aug!$B$1:$AF$1&amp;"",0)),0)</f>
        <v>1</v>
      </c>
      <c r="AD72" s="151"/>
      <c r="AE72" s="150" cm="1">
        <f t="array" ref="AE72">IFERROR(INDEX(PQ_Aug!$B$2:$AF$1079,MATCH($C72,PQ_Aug!$A$2:$A$1079,0),MATCH(AE$3&amp;"",PQ_Aug!$B$1:$AF$1&amp;"",0)),0)</f>
        <v>6</v>
      </c>
      <c r="AF72" s="151"/>
      <c r="AG72" s="150"/>
      <c r="AH72" s="150"/>
      <c r="AI72" s="150"/>
      <c r="AJ72" s="150"/>
      <c r="AK72" s="151"/>
      <c r="AL72" s="150"/>
      <c r="AM72" s="152">
        <v>30</v>
      </c>
      <c r="AN72" s="150">
        <f t="shared" si="12"/>
        <v>74</v>
      </c>
      <c r="AO72" s="153">
        <f t="shared" si="10"/>
        <v>103</v>
      </c>
      <c r="AP72" s="23">
        <v>160</v>
      </c>
      <c r="AQ72" s="210" t="s">
        <v>79</v>
      </c>
      <c r="AR72" s="172"/>
      <c r="AS72" s="173"/>
      <c r="AT72" s="172"/>
      <c r="AU72" s="173"/>
      <c r="AV72" s="172"/>
      <c r="AW72" s="174"/>
      <c r="AX72" s="153">
        <f t="shared" si="13"/>
        <v>0</v>
      </c>
      <c r="AY72" s="153">
        <f t="shared" si="14"/>
        <v>0</v>
      </c>
      <c r="AZ72" s="153">
        <f t="shared" si="15"/>
        <v>0</v>
      </c>
      <c r="BA72" s="153">
        <f t="shared" si="11"/>
        <v>103</v>
      </c>
      <c r="BB72" s="160"/>
      <c r="BC72" s="30"/>
      <c r="BD72" s="30"/>
      <c r="BE72" s="30"/>
      <c r="BF72" s="30"/>
    </row>
    <row r="73" spans="1:58" ht="22.5" customHeight="1">
      <c r="A73" s="233">
        <f t="shared" si="16"/>
        <v>375</v>
      </c>
      <c r="B73" s="234"/>
      <c r="C73" s="135" t="s">
        <v>59</v>
      </c>
      <c r="D73" s="75">
        <v>380</v>
      </c>
      <c r="E73" s="148" t="s">
        <v>29</v>
      </c>
      <c r="F73" s="148" t="s">
        <v>29</v>
      </c>
      <c r="G73" s="149">
        <f>Juli2026!AO73</f>
        <v>386</v>
      </c>
      <c r="H73" s="150" cm="1">
        <f t="array" ref="H73">IFERROR(INDEX(PQ_Aug!$B$2:$AF$1079,MATCH($C73,PQ_Aug!$A$2:$A$1079,0),MATCH(H$3&amp;"",PQ_Aug!$B$1:$AF$1&amp;"",0)),0)</f>
        <v>0</v>
      </c>
      <c r="I73" s="151"/>
      <c r="J73" s="150" cm="1">
        <f t="array" ref="J73">IFERROR(INDEX(PQ_Aug!$B$2:$AF$1079,MATCH($C73,PQ_Aug!$A$2:$A$1079,0),MATCH(J$3&amp;"",PQ_Aug!$B$1:$AF$1&amp;"",0)),0)</f>
        <v>0</v>
      </c>
      <c r="K73" s="150" cm="1">
        <f t="array" ref="K73">IFERROR(INDEX(PQ_Aug!$B$2:$AF$1079,MATCH($C73,PQ_Aug!$A$2:$A$1079,0),MATCH(K$3&amp;"",PQ_Aug!$B$1:$AF$1&amp;"",0)),0)</f>
        <v>0</v>
      </c>
      <c r="L73" s="150" cm="1">
        <f t="array" ref="L73">IFERROR(INDEX(PQ_Aug!$B$2:$AF$1079,MATCH($C73,PQ_Aug!$A$2:$A$1079,0),MATCH(L$3&amp;"",PQ_Aug!$B$1:$AF$1&amp;"",0)),0)</f>
        <v>1</v>
      </c>
      <c r="M73" s="150" cm="1">
        <f t="array" ref="M73">IFERROR(INDEX(PQ_Aug!$B$2:$AF$1079,MATCH($C73,PQ_Aug!$A$2:$A$1079,0),MATCH(M$3&amp;"",PQ_Aug!$B$1:$AF$1&amp;"",0)),0)</f>
        <v>0</v>
      </c>
      <c r="N73" s="150" cm="1">
        <f t="array" ref="N73">IFERROR(INDEX(PQ_Aug!$B$2:$AF$1079,MATCH($C73,PQ_Aug!$A$2:$A$1079,0),MATCH(N$3&amp;"",PQ_Aug!$B$1:$AF$1&amp;"",0)),0)</f>
        <v>0</v>
      </c>
      <c r="O73" s="150" cm="1">
        <f t="array" ref="O73">IFERROR(INDEX(PQ_Aug!$B$2:$AF$1079,MATCH($C73,PQ_Aug!$A$2:$A$1079,0),MATCH(O$3&amp;"",PQ_Aug!$B$1:$AF$1&amp;"",0)),0)</f>
        <v>0</v>
      </c>
      <c r="P73" s="151"/>
      <c r="Q73" s="150" cm="1">
        <f t="array" ref="Q73">IFERROR(INDEX(PQ_Aug!$B$2:$AF$1079,MATCH($C73,PQ_Aug!$A$2:$A$1079,0),MATCH(Q$3&amp;"",PQ_Aug!$B$1:$AF$1&amp;"",0)),0)</f>
        <v>1</v>
      </c>
      <c r="R73" s="150" cm="1">
        <f t="array" ref="R73">IFERROR(INDEX(PQ_Aug!$B$2:$AF$1079,MATCH($C73,PQ_Aug!$A$2:$A$1079,0),MATCH(R$3&amp;"",PQ_Aug!$B$1:$AF$1&amp;"",0)),0)</f>
        <v>0</v>
      </c>
      <c r="S73" s="150" cm="1">
        <f t="array" ref="S73">IFERROR(INDEX(PQ_Aug!$B$2:$AF$1079,MATCH($C73,PQ_Aug!$A$2:$A$1079,0),MATCH(S$3&amp;"",PQ_Aug!$B$1:$AF$1&amp;"",0)),0)</f>
        <v>1</v>
      </c>
      <c r="T73" s="150" cm="1">
        <f t="array" ref="T73">IFERROR(INDEX(PQ_Aug!$B$2:$AF$1079,MATCH($C73,PQ_Aug!$A$2:$A$1079,0),MATCH(T$3&amp;"",PQ_Aug!$B$1:$AF$1&amp;"",0)),0)</f>
        <v>0</v>
      </c>
      <c r="U73" s="150" cm="1">
        <f t="array" ref="U73">IFERROR(INDEX(PQ_Aug!$B$2:$AF$1079,MATCH($C73,PQ_Aug!$A$2:$A$1079,0),MATCH(U$3&amp;"",PQ_Aug!$B$1:$AF$1&amp;"",0)),0)</f>
        <v>0</v>
      </c>
      <c r="V73" s="150" cm="1">
        <f t="array" ref="V73">IFERROR(INDEX(PQ_Aug!$B$2:$AF$1079,MATCH($C73,PQ_Aug!$A$2:$A$1079,0),MATCH(V$3&amp;"",PQ_Aug!$B$1:$AF$1&amp;"",0)),0)</f>
        <v>0</v>
      </c>
      <c r="W73" s="151"/>
      <c r="X73" s="151"/>
      <c r="Y73" s="150" cm="1">
        <f t="array" ref="Y73">IFERROR(INDEX(PQ_Aug!$B$2:$AF$1079,MATCH($C73,PQ_Aug!$A$2:$A$1079,0),MATCH(Y$3&amp;"",PQ_Aug!$B$1:$AF$1&amp;"",0)),0)</f>
        <v>0</v>
      </c>
      <c r="Z73" s="150" cm="1">
        <f t="array" ref="Z73">IFERROR(INDEX(PQ_Aug!$B$2:$AF$1079,MATCH($C73,PQ_Aug!$A$2:$A$1079,0),MATCH(Z$3&amp;"",PQ_Aug!$B$1:$AF$1&amp;"",0)),0)</f>
        <v>0</v>
      </c>
      <c r="AA73" s="150" cm="1">
        <f t="array" ref="AA73">IFERROR(INDEX(PQ_Aug!$B$2:$AF$1079,MATCH($C73,PQ_Aug!$A$2:$A$1079,0),MATCH(AA$3&amp;"",PQ_Aug!$B$1:$AF$1&amp;"",0)),0)</f>
        <v>0</v>
      </c>
      <c r="AB73" s="150" cm="1">
        <f t="array" ref="AB73">IFERROR(INDEX(PQ_Aug!$B$2:$AF$1079,MATCH($C73,PQ_Aug!$A$2:$A$1079,0),MATCH(AB$3&amp;"",PQ_Aug!$B$1:$AF$1&amp;"",0)),0)</f>
        <v>0</v>
      </c>
      <c r="AC73" s="150" cm="1">
        <f t="array" ref="AC73">IFERROR(INDEX(PQ_Aug!$B$2:$AF$1079,MATCH($C73,PQ_Aug!$A$2:$A$1079,0),MATCH(AC$3&amp;"",PQ_Aug!$B$1:$AF$1&amp;"",0)),0)</f>
        <v>0</v>
      </c>
      <c r="AD73" s="151"/>
      <c r="AE73" s="150" cm="1">
        <f t="array" ref="AE73">IFERROR(INDEX(PQ_Aug!$B$2:$AF$1079,MATCH($C73,PQ_Aug!$A$2:$A$1079,0),MATCH(AE$3&amp;"",PQ_Aug!$B$1:$AF$1&amp;"",0)),0)</f>
        <v>0</v>
      </c>
      <c r="AF73" s="151"/>
      <c r="AG73" s="150"/>
      <c r="AH73" s="150"/>
      <c r="AI73" s="150"/>
      <c r="AJ73" s="150"/>
      <c r="AK73" s="151"/>
      <c r="AL73" s="150"/>
      <c r="AM73" s="152">
        <v>8</v>
      </c>
      <c r="AN73" s="150">
        <f t="shared" si="12"/>
        <v>11</v>
      </c>
      <c r="AO73" s="153">
        <f t="shared" si="10"/>
        <v>375</v>
      </c>
      <c r="AP73" s="23">
        <v>190</v>
      </c>
      <c r="AQ73" s="210" t="s">
        <v>79</v>
      </c>
      <c r="AR73" s="172"/>
      <c r="AS73" s="173"/>
      <c r="AT73" s="172"/>
      <c r="AU73" s="173"/>
      <c r="AV73" s="172"/>
      <c r="AW73" s="174"/>
      <c r="AX73" s="153">
        <f t="shared" si="13"/>
        <v>0</v>
      </c>
      <c r="AY73" s="153">
        <f t="shared" si="14"/>
        <v>0</v>
      </c>
      <c r="AZ73" s="153">
        <f t="shared" si="15"/>
        <v>0</v>
      </c>
      <c r="BA73" s="153">
        <f t="shared" si="11"/>
        <v>375</v>
      </c>
      <c r="BB73" s="160"/>
      <c r="BC73" s="30"/>
      <c r="BD73" s="30"/>
      <c r="BE73" s="30"/>
      <c r="BF73" s="30"/>
    </row>
    <row r="74" spans="1:58" ht="22.5" hidden="1" customHeight="1">
      <c r="A74" s="242" t="e">
        <f t="shared" si="16"/>
        <v>#REF!</v>
      </c>
      <c r="B74" s="243"/>
      <c r="C74" s="135" t="s">
        <v>55</v>
      </c>
      <c r="D74" s="148">
        <v>5</v>
      </c>
      <c r="E74" s="148" t="s">
        <v>29</v>
      </c>
      <c r="F74" s="148" t="s">
        <v>29</v>
      </c>
      <c r="G74" s="149" t="e">
        <f>Juli2026!AO74</f>
        <v>#REF!</v>
      </c>
      <c r="H74" s="150" cm="1">
        <f t="array" ref="H74">IFERROR(INDEX(PQ_Aug!$B$2:$AF$1079,MATCH($C74,PQ_Aug!$A$2:$A$1079,0),MATCH(H$3&amp;"",PQ_Aug!$B$1:$AF$1&amp;"",0)),0)</f>
        <v>0</v>
      </c>
      <c r="I74" s="151"/>
      <c r="J74" s="150" cm="1">
        <f t="array" ref="J74">IFERROR(INDEX(PQ_Aug!$B$2:$AF$1079,MATCH($C74,PQ_Aug!$A$2:$A$1079,0),MATCH(J$3&amp;"",PQ_Aug!$B$1:$AF$1&amp;"",0)),0)</f>
        <v>0</v>
      </c>
      <c r="K74" s="150" cm="1">
        <f t="array" ref="K74">IFERROR(INDEX(PQ_Aug!$B$2:$AF$1079,MATCH($C74,PQ_Aug!$A$2:$A$1079,0),MATCH(K$3&amp;"",PQ_Aug!$B$1:$AF$1&amp;"",0)),0)</f>
        <v>0</v>
      </c>
      <c r="L74" s="150" cm="1">
        <f t="array" ref="L74">IFERROR(INDEX(PQ_Aug!$B$2:$AF$1079,MATCH($C74,PQ_Aug!$A$2:$A$1079,0),MATCH(L$3&amp;"",PQ_Aug!$B$1:$AF$1&amp;"",0)),0)</f>
        <v>0</v>
      </c>
      <c r="M74" s="150" cm="1">
        <f t="array" ref="M74">IFERROR(INDEX(PQ_Aug!$B$2:$AF$1079,MATCH($C74,PQ_Aug!$A$2:$A$1079,0),MATCH(M$3&amp;"",PQ_Aug!$B$1:$AF$1&amp;"",0)),0)</f>
        <v>0</v>
      </c>
      <c r="N74" s="150" cm="1">
        <f t="array" ref="N74">IFERROR(INDEX(PQ_Aug!$B$2:$AF$1079,MATCH($C74,PQ_Aug!$A$2:$A$1079,0),MATCH(N$3&amp;"",PQ_Aug!$B$1:$AF$1&amp;"",0)),0)</f>
        <v>0</v>
      </c>
      <c r="O74" s="150" cm="1">
        <f t="array" ref="O74">IFERROR(INDEX(PQ_Aug!$B$2:$AF$1079,MATCH($C74,PQ_Aug!$A$2:$A$1079,0),MATCH(O$3&amp;"",PQ_Aug!$B$1:$AF$1&amp;"",0)),0)</f>
        <v>0</v>
      </c>
      <c r="P74" s="151"/>
      <c r="Q74" s="150" cm="1">
        <f t="array" ref="Q74">IFERROR(INDEX(PQ_Aug!$B$2:$AF$1079,MATCH($C74,PQ_Aug!$A$2:$A$1079,0),MATCH(Q$3&amp;"",PQ_Aug!$B$1:$AF$1&amp;"",0)),0)</f>
        <v>0</v>
      </c>
      <c r="R74" s="150" cm="1">
        <f t="array" ref="R74">IFERROR(INDEX(PQ_Aug!$B$2:$AF$1079,MATCH($C74,PQ_Aug!$A$2:$A$1079,0),MATCH(R$3&amp;"",PQ_Aug!$B$1:$AF$1&amp;"",0)),0)</f>
        <v>0</v>
      </c>
      <c r="S74" s="150" cm="1">
        <f t="array" ref="S74">IFERROR(INDEX(PQ_Aug!$B$2:$AF$1079,MATCH($C74,PQ_Aug!$A$2:$A$1079,0),MATCH(S$3&amp;"",PQ_Aug!$B$1:$AF$1&amp;"",0)),0)</f>
        <v>0</v>
      </c>
      <c r="T74" s="150" cm="1">
        <f t="array" ref="T74">IFERROR(INDEX(PQ_Aug!$B$2:$AF$1079,MATCH($C74,PQ_Aug!$A$2:$A$1079,0),MATCH(T$3&amp;"",PQ_Aug!$B$1:$AF$1&amp;"",0)),0)</f>
        <v>0</v>
      </c>
      <c r="U74" s="150" cm="1">
        <f t="array" ref="U74">IFERROR(INDEX(PQ_Aug!$B$2:$AF$1079,MATCH($C74,PQ_Aug!$A$2:$A$1079,0),MATCH(U$3&amp;"",PQ_Aug!$B$1:$AF$1&amp;"",0)),0)</f>
        <v>0</v>
      </c>
      <c r="V74" s="150" cm="1">
        <f t="array" ref="V74">IFERROR(INDEX(PQ_Aug!$B$2:$AF$1079,MATCH($C74,PQ_Aug!$A$2:$A$1079,0),MATCH(V$3&amp;"",PQ_Aug!$B$1:$AF$1&amp;"",0)),0)</f>
        <v>0</v>
      </c>
      <c r="W74" s="151"/>
      <c r="X74" s="151"/>
      <c r="Y74" s="150" cm="1">
        <f t="array" ref="Y74">IFERROR(INDEX(PQ_Aug!$B$2:$AF$1079,MATCH($C74,PQ_Aug!$A$2:$A$1079,0),MATCH(Y$3&amp;"",PQ_Aug!$B$1:$AF$1&amp;"",0)),0)</f>
        <v>0</v>
      </c>
      <c r="Z74" s="150" cm="1">
        <f t="array" ref="Z74">IFERROR(INDEX(PQ_Aug!$B$2:$AF$1079,MATCH($C74,PQ_Aug!$A$2:$A$1079,0),MATCH(Z$3&amp;"",PQ_Aug!$B$1:$AF$1&amp;"",0)),0)</f>
        <v>0</v>
      </c>
      <c r="AA74" s="150" cm="1">
        <f t="array" ref="AA74">IFERROR(INDEX(PQ_Aug!$B$2:$AF$1079,MATCH($C74,PQ_Aug!$A$2:$A$1079,0),MATCH(AA$3&amp;"",PQ_Aug!$B$1:$AF$1&amp;"",0)),0)</f>
        <v>0</v>
      </c>
      <c r="AB74" s="150" cm="1">
        <f t="array" ref="AB74">IFERROR(INDEX(PQ_Aug!$B$2:$AF$1079,MATCH($C74,PQ_Aug!$A$2:$A$1079,0),MATCH(AB$3&amp;"",PQ_Aug!$B$1:$AF$1&amp;"",0)),0)</f>
        <v>0</v>
      </c>
      <c r="AC74" s="150" cm="1">
        <f t="array" ref="AC74">IFERROR(INDEX(PQ_Aug!$B$2:$AF$1079,MATCH($C74,PQ_Aug!$A$2:$A$1079,0),MATCH(AC$3&amp;"",PQ_Aug!$B$1:$AF$1&amp;"",0)),0)</f>
        <v>0</v>
      </c>
      <c r="AD74" s="151"/>
      <c r="AE74" s="150" cm="1">
        <f t="array" ref="AE74">IFERROR(INDEX(PQ_Aug!$B$2:$AF$1079,MATCH($C74,PQ_Aug!$A$2:$A$1079,0),MATCH(AE$3&amp;"",PQ_Aug!$B$1:$AF$1&amp;"",0)),0)</f>
        <v>0</v>
      </c>
      <c r="AF74" s="151"/>
      <c r="AG74" s="150"/>
      <c r="AH74" s="150"/>
      <c r="AI74" s="150"/>
      <c r="AJ74" s="150"/>
      <c r="AK74" s="151"/>
      <c r="AL74" s="150"/>
      <c r="AM74" s="152"/>
      <c r="AN74" s="150">
        <f t="shared" si="12"/>
        <v>0</v>
      </c>
      <c r="AO74" s="153" t="e">
        <f t="shared" si="10"/>
        <v>#REF!</v>
      </c>
      <c r="AP74" s="167">
        <v>2</v>
      </c>
      <c r="AQ74" s="179" t="s">
        <v>31</v>
      </c>
      <c r="AR74" s="155"/>
      <c r="AS74" s="156"/>
      <c r="AT74" s="155"/>
      <c r="AU74" s="181"/>
      <c r="AV74" s="182"/>
      <c r="AW74" s="161"/>
      <c r="AX74" s="153">
        <f t="shared" si="13"/>
        <v>0</v>
      </c>
      <c r="AY74" s="153">
        <f t="shared" si="14"/>
        <v>0</v>
      </c>
      <c r="AZ74" s="153">
        <f t="shared" si="15"/>
        <v>0</v>
      </c>
      <c r="BA74" s="153" t="e">
        <f t="shared" si="11"/>
        <v>#REF!</v>
      </c>
      <c r="BB74" s="160"/>
      <c r="BC74" s="30"/>
      <c r="BD74" s="30"/>
      <c r="BE74" s="30"/>
      <c r="BF74" s="30"/>
    </row>
    <row r="75" spans="1:58" ht="22.5" hidden="1" customHeight="1">
      <c r="A75" s="233" t="e">
        <f t="shared" si="16"/>
        <v>#REF!</v>
      </c>
      <c r="B75" s="234"/>
      <c r="C75" s="135" t="s">
        <v>56</v>
      </c>
      <c r="D75" s="148">
        <v>10</v>
      </c>
      <c r="E75" s="148" t="s">
        <v>29</v>
      </c>
      <c r="F75" s="148" t="s">
        <v>29</v>
      </c>
      <c r="G75" s="149" t="e">
        <f>Juli2026!AO75</f>
        <v>#REF!</v>
      </c>
      <c r="H75" s="150" cm="1">
        <f t="array" ref="H75">IFERROR(INDEX(PQ_Aug!$B$2:$AF$1079,MATCH($C75,PQ_Aug!$A$2:$A$1079,0),MATCH(H$3&amp;"",PQ_Aug!$B$1:$AF$1&amp;"",0)),0)</f>
        <v>0</v>
      </c>
      <c r="I75" s="151"/>
      <c r="J75" s="150" cm="1">
        <f t="array" ref="J75">IFERROR(INDEX(PQ_Aug!$B$2:$AF$1079,MATCH($C75,PQ_Aug!$A$2:$A$1079,0),MATCH(J$3&amp;"",PQ_Aug!$B$1:$AF$1&amp;"",0)),0)</f>
        <v>0</v>
      </c>
      <c r="K75" s="150" cm="1">
        <f t="array" ref="K75">IFERROR(INDEX(PQ_Aug!$B$2:$AF$1079,MATCH($C75,PQ_Aug!$A$2:$A$1079,0),MATCH(K$3&amp;"",PQ_Aug!$B$1:$AF$1&amp;"",0)),0)</f>
        <v>0</v>
      </c>
      <c r="L75" s="150" cm="1">
        <f t="array" ref="L75">IFERROR(INDEX(PQ_Aug!$B$2:$AF$1079,MATCH($C75,PQ_Aug!$A$2:$A$1079,0),MATCH(L$3&amp;"",PQ_Aug!$B$1:$AF$1&amp;"",0)),0)</f>
        <v>0</v>
      </c>
      <c r="M75" s="150" cm="1">
        <f t="array" ref="M75">IFERROR(INDEX(PQ_Aug!$B$2:$AF$1079,MATCH($C75,PQ_Aug!$A$2:$A$1079,0),MATCH(M$3&amp;"",PQ_Aug!$B$1:$AF$1&amp;"",0)),0)</f>
        <v>0</v>
      </c>
      <c r="N75" s="150" cm="1">
        <f t="array" ref="N75">IFERROR(INDEX(PQ_Aug!$B$2:$AF$1079,MATCH($C75,PQ_Aug!$A$2:$A$1079,0),MATCH(N$3&amp;"",PQ_Aug!$B$1:$AF$1&amp;"",0)),0)</f>
        <v>0</v>
      </c>
      <c r="O75" s="150" cm="1">
        <f t="array" ref="O75">IFERROR(INDEX(PQ_Aug!$B$2:$AF$1079,MATCH($C75,PQ_Aug!$A$2:$A$1079,0),MATCH(O$3&amp;"",PQ_Aug!$B$1:$AF$1&amp;"",0)),0)</f>
        <v>0</v>
      </c>
      <c r="P75" s="151"/>
      <c r="Q75" s="150" cm="1">
        <f t="array" ref="Q75">IFERROR(INDEX(PQ_Aug!$B$2:$AF$1079,MATCH($C75,PQ_Aug!$A$2:$A$1079,0),MATCH(Q$3&amp;"",PQ_Aug!$B$1:$AF$1&amp;"",0)),0)</f>
        <v>0</v>
      </c>
      <c r="R75" s="150" cm="1">
        <f t="array" ref="R75">IFERROR(INDEX(PQ_Aug!$B$2:$AF$1079,MATCH($C75,PQ_Aug!$A$2:$A$1079,0),MATCH(R$3&amp;"",PQ_Aug!$B$1:$AF$1&amp;"",0)),0)</f>
        <v>0</v>
      </c>
      <c r="S75" s="150" cm="1">
        <f t="array" ref="S75">IFERROR(INDEX(PQ_Aug!$B$2:$AF$1079,MATCH($C75,PQ_Aug!$A$2:$A$1079,0),MATCH(S$3&amp;"",PQ_Aug!$B$1:$AF$1&amp;"",0)),0)</f>
        <v>0</v>
      </c>
      <c r="T75" s="150" cm="1">
        <f t="array" ref="T75">IFERROR(INDEX(PQ_Aug!$B$2:$AF$1079,MATCH($C75,PQ_Aug!$A$2:$A$1079,0),MATCH(T$3&amp;"",PQ_Aug!$B$1:$AF$1&amp;"",0)),0)</f>
        <v>0</v>
      </c>
      <c r="U75" s="150" cm="1">
        <f t="array" ref="U75">IFERROR(INDEX(PQ_Aug!$B$2:$AF$1079,MATCH($C75,PQ_Aug!$A$2:$A$1079,0),MATCH(U$3&amp;"",PQ_Aug!$B$1:$AF$1&amp;"",0)),0)</f>
        <v>0</v>
      </c>
      <c r="V75" s="150" cm="1">
        <f t="array" ref="V75">IFERROR(INDEX(PQ_Aug!$B$2:$AF$1079,MATCH($C75,PQ_Aug!$A$2:$A$1079,0),MATCH(V$3&amp;"",PQ_Aug!$B$1:$AF$1&amp;"",0)),0)</f>
        <v>0</v>
      </c>
      <c r="W75" s="151"/>
      <c r="X75" s="151"/>
      <c r="Y75" s="150" cm="1">
        <f t="array" ref="Y75">IFERROR(INDEX(PQ_Aug!$B$2:$AF$1079,MATCH($C75,PQ_Aug!$A$2:$A$1079,0),MATCH(Y$3&amp;"",PQ_Aug!$B$1:$AF$1&amp;"",0)),0)</f>
        <v>0</v>
      </c>
      <c r="Z75" s="150" cm="1">
        <f t="array" ref="Z75">IFERROR(INDEX(PQ_Aug!$B$2:$AF$1079,MATCH($C75,PQ_Aug!$A$2:$A$1079,0),MATCH(Z$3&amp;"",PQ_Aug!$B$1:$AF$1&amp;"",0)),0)</f>
        <v>0</v>
      </c>
      <c r="AA75" s="150" cm="1">
        <f t="array" ref="AA75">IFERROR(INDEX(PQ_Aug!$B$2:$AF$1079,MATCH($C75,PQ_Aug!$A$2:$A$1079,0),MATCH(AA$3&amp;"",PQ_Aug!$B$1:$AF$1&amp;"",0)),0)</f>
        <v>0</v>
      </c>
      <c r="AB75" s="150" cm="1">
        <f t="array" ref="AB75">IFERROR(INDEX(PQ_Aug!$B$2:$AF$1079,MATCH($C75,PQ_Aug!$A$2:$A$1079,0),MATCH(AB$3&amp;"",PQ_Aug!$B$1:$AF$1&amp;"",0)),0)</f>
        <v>0</v>
      </c>
      <c r="AC75" s="150" cm="1">
        <f t="array" ref="AC75">IFERROR(INDEX(PQ_Aug!$B$2:$AF$1079,MATCH($C75,PQ_Aug!$A$2:$A$1079,0),MATCH(AC$3&amp;"",PQ_Aug!$B$1:$AF$1&amp;"",0)),0)</f>
        <v>0</v>
      </c>
      <c r="AD75" s="151"/>
      <c r="AE75" s="150" cm="1">
        <f t="array" ref="AE75">IFERROR(INDEX(PQ_Aug!$B$2:$AF$1079,MATCH($C75,PQ_Aug!$A$2:$A$1079,0),MATCH(AE$3&amp;"",PQ_Aug!$B$1:$AF$1&amp;"",0)),0)</f>
        <v>0</v>
      </c>
      <c r="AF75" s="151"/>
      <c r="AG75" s="150"/>
      <c r="AH75" s="150"/>
      <c r="AI75" s="150"/>
      <c r="AJ75" s="150"/>
      <c r="AK75" s="151"/>
      <c r="AL75" s="150"/>
      <c r="AM75" s="152"/>
      <c r="AN75" s="150">
        <f t="shared" si="12"/>
        <v>0</v>
      </c>
      <c r="AO75" s="153" t="e">
        <f t="shared" si="10"/>
        <v>#REF!</v>
      </c>
      <c r="AP75" s="167">
        <v>2</v>
      </c>
      <c r="AQ75" s="179" t="s">
        <v>31</v>
      </c>
      <c r="AR75" s="161"/>
      <c r="AS75" s="153"/>
      <c r="AT75" s="161"/>
      <c r="AU75" s="153"/>
      <c r="AV75" s="161"/>
      <c r="AW75" s="161"/>
      <c r="AX75" s="153">
        <f t="shared" si="13"/>
        <v>0</v>
      </c>
      <c r="AY75" s="153">
        <f t="shared" si="14"/>
        <v>0</v>
      </c>
      <c r="AZ75" s="153">
        <f t="shared" si="15"/>
        <v>0</v>
      </c>
      <c r="BA75" s="153" t="e">
        <f t="shared" si="11"/>
        <v>#REF!</v>
      </c>
      <c r="BB75" s="160"/>
      <c r="BC75" s="30"/>
      <c r="BD75" s="30"/>
      <c r="BE75" s="30"/>
      <c r="BF75" s="30"/>
    </row>
    <row r="76" spans="1:58" ht="22.5" hidden="1" customHeight="1">
      <c r="A76" s="233" t="e">
        <f t="shared" si="16"/>
        <v>#REF!</v>
      </c>
      <c r="B76" s="234"/>
      <c r="C76" s="135" t="s">
        <v>57</v>
      </c>
      <c r="D76" s="148">
        <v>5</v>
      </c>
      <c r="E76" s="148" t="s">
        <v>29</v>
      </c>
      <c r="F76" s="148" t="s">
        <v>29</v>
      </c>
      <c r="G76" s="149" t="e">
        <f>Juli2026!AO76</f>
        <v>#REF!</v>
      </c>
      <c r="H76" s="150" cm="1">
        <f t="array" ref="H76">IFERROR(INDEX(PQ_Aug!$B$2:$AF$1079,MATCH($C76,PQ_Aug!$A$2:$A$1079,0),MATCH(H$3&amp;"",PQ_Aug!$B$1:$AF$1&amp;"",0)),0)</f>
        <v>0</v>
      </c>
      <c r="I76" s="151"/>
      <c r="J76" s="150" cm="1">
        <f t="array" ref="J76">IFERROR(INDEX(PQ_Aug!$B$2:$AF$1079,MATCH($C76,PQ_Aug!$A$2:$A$1079,0),MATCH(J$3&amp;"",PQ_Aug!$B$1:$AF$1&amp;"",0)),0)</f>
        <v>0</v>
      </c>
      <c r="K76" s="150" cm="1">
        <f t="array" ref="K76">IFERROR(INDEX(PQ_Aug!$B$2:$AF$1079,MATCH($C76,PQ_Aug!$A$2:$A$1079,0),MATCH(K$3&amp;"",PQ_Aug!$B$1:$AF$1&amp;"",0)),0)</f>
        <v>0</v>
      </c>
      <c r="L76" s="150" cm="1">
        <f t="array" ref="L76">IFERROR(INDEX(PQ_Aug!$B$2:$AF$1079,MATCH($C76,PQ_Aug!$A$2:$A$1079,0),MATCH(L$3&amp;"",PQ_Aug!$B$1:$AF$1&amp;"",0)),0)</f>
        <v>0</v>
      </c>
      <c r="M76" s="150" cm="1">
        <f t="array" ref="M76">IFERROR(INDEX(PQ_Aug!$B$2:$AF$1079,MATCH($C76,PQ_Aug!$A$2:$A$1079,0),MATCH(M$3&amp;"",PQ_Aug!$B$1:$AF$1&amp;"",0)),0)</f>
        <v>0</v>
      </c>
      <c r="N76" s="150" cm="1">
        <f t="array" ref="N76">IFERROR(INDEX(PQ_Aug!$B$2:$AF$1079,MATCH($C76,PQ_Aug!$A$2:$A$1079,0),MATCH(N$3&amp;"",PQ_Aug!$B$1:$AF$1&amp;"",0)),0)</f>
        <v>0</v>
      </c>
      <c r="O76" s="150" cm="1">
        <f t="array" ref="O76">IFERROR(INDEX(PQ_Aug!$B$2:$AF$1079,MATCH($C76,PQ_Aug!$A$2:$A$1079,0),MATCH(O$3&amp;"",PQ_Aug!$B$1:$AF$1&amp;"",0)),0)</f>
        <v>0</v>
      </c>
      <c r="P76" s="151"/>
      <c r="Q76" s="150" cm="1">
        <f t="array" ref="Q76">IFERROR(INDEX(PQ_Aug!$B$2:$AF$1079,MATCH($C76,PQ_Aug!$A$2:$A$1079,0),MATCH(Q$3&amp;"",PQ_Aug!$B$1:$AF$1&amp;"",0)),0)</f>
        <v>0</v>
      </c>
      <c r="R76" s="150" cm="1">
        <f t="array" ref="R76">IFERROR(INDEX(PQ_Aug!$B$2:$AF$1079,MATCH($C76,PQ_Aug!$A$2:$A$1079,0),MATCH(R$3&amp;"",PQ_Aug!$B$1:$AF$1&amp;"",0)),0)</f>
        <v>0</v>
      </c>
      <c r="S76" s="150" cm="1">
        <f t="array" ref="S76">IFERROR(INDEX(PQ_Aug!$B$2:$AF$1079,MATCH($C76,PQ_Aug!$A$2:$A$1079,0),MATCH(S$3&amp;"",PQ_Aug!$B$1:$AF$1&amp;"",0)),0)</f>
        <v>0</v>
      </c>
      <c r="T76" s="150" cm="1">
        <f t="array" ref="T76">IFERROR(INDEX(PQ_Aug!$B$2:$AF$1079,MATCH($C76,PQ_Aug!$A$2:$A$1079,0),MATCH(T$3&amp;"",PQ_Aug!$B$1:$AF$1&amp;"",0)),0)</f>
        <v>0</v>
      </c>
      <c r="U76" s="150" cm="1">
        <f t="array" ref="U76">IFERROR(INDEX(PQ_Aug!$B$2:$AF$1079,MATCH($C76,PQ_Aug!$A$2:$A$1079,0),MATCH(U$3&amp;"",PQ_Aug!$B$1:$AF$1&amp;"",0)),0)</f>
        <v>0</v>
      </c>
      <c r="V76" s="150" cm="1">
        <f t="array" ref="V76">IFERROR(INDEX(PQ_Aug!$B$2:$AF$1079,MATCH($C76,PQ_Aug!$A$2:$A$1079,0),MATCH(V$3&amp;"",PQ_Aug!$B$1:$AF$1&amp;"",0)),0)</f>
        <v>0</v>
      </c>
      <c r="W76" s="151"/>
      <c r="X76" s="151"/>
      <c r="Y76" s="150" cm="1">
        <f t="array" ref="Y76">IFERROR(INDEX(PQ_Aug!$B$2:$AF$1079,MATCH($C76,PQ_Aug!$A$2:$A$1079,0),MATCH(Y$3&amp;"",PQ_Aug!$B$1:$AF$1&amp;"",0)),0)</f>
        <v>0</v>
      </c>
      <c r="Z76" s="150" cm="1">
        <f t="array" ref="Z76">IFERROR(INDEX(PQ_Aug!$B$2:$AF$1079,MATCH($C76,PQ_Aug!$A$2:$A$1079,0),MATCH(Z$3&amp;"",PQ_Aug!$B$1:$AF$1&amp;"",0)),0)</f>
        <v>0</v>
      </c>
      <c r="AA76" s="150" cm="1">
        <f t="array" ref="AA76">IFERROR(INDEX(PQ_Aug!$B$2:$AF$1079,MATCH($C76,PQ_Aug!$A$2:$A$1079,0),MATCH(AA$3&amp;"",PQ_Aug!$B$1:$AF$1&amp;"",0)),0)</f>
        <v>0</v>
      </c>
      <c r="AB76" s="150" cm="1">
        <f t="array" ref="AB76">IFERROR(INDEX(PQ_Aug!$B$2:$AF$1079,MATCH($C76,PQ_Aug!$A$2:$A$1079,0),MATCH(AB$3&amp;"",PQ_Aug!$B$1:$AF$1&amp;"",0)),0)</f>
        <v>0</v>
      </c>
      <c r="AC76" s="150" cm="1">
        <f t="array" ref="AC76">IFERROR(INDEX(PQ_Aug!$B$2:$AF$1079,MATCH($C76,PQ_Aug!$A$2:$A$1079,0),MATCH(AC$3&amp;"",PQ_Aug!$B$1:$AF$1&amp;"",0)),0)</f>
        <v>0</v>
      </c>
      <c r="AD76" s="151"/>
      <c r="AE76" s="150" cm="1">
        <f t="array" ref="AE76">IFERROR(INDEX(PQ_Aug!$B$2:$AF$1079,MATCH($C76,PQ_Aug!$A$2:$A$1079,0),MATCH(AE$3&amp;"",PQ_Aug!$B$1:$AF$1&amp;"",0)),0)</f>
        <v>0</v>
      </c>
      <c r="AF76" s="151"/>
      <c r="AG76" s="150"/>
      <c r="AH76" s="150"/>
      <c r="AI76" s="150"/>
      <c r="AJ76" s="150"/>
      <c r="AK76" s="151"/>
      <c r="AL76" s="150"/>
      <c r="AM76" s="152"/>
      <c r="AN76" s="150">
        <f t="shared" si="12"/>
        <v>0</v>
      </c>
      <c r="AO76" s="153" t="e">
        <f t="shared" si="10"/>
        <v>#REF!</v>
      </c>
      <c r="AP76" s="167">
        <v>1</v>
      </c>
      <c r="AQ76" s="179" t="s">
        <v>31</v>
      </c>
      <c r="AR76" s="161"/>
      <c r="AS76" s="153"/>
      <c r="AT76" s="161"/>
      <c r="AU76" s="153"/>
      <c r="AV76" s="161"/>
      <c r="AW76" s="161"/>
      <c r="AX76" s="153">
        <f t="shared" si="13"/>
        <v>0</v>
      </c>
      <c r="AY76" s="153">
        <f t="shared" si="14"/>
        <v>0</v>
      </c>
      <c r="AZ76" s="153">
        <f t="shared" si="15"/>
        <v>0</v>
      </c>
      <c r="BA76" s="153" t="e">
        <f t="shared" si="11"/>
        <v>#REF!</v>
      </c>
      <c r="BB76" s="160"/>
      <c r="BC76" s="30"/>
      <c r="BD76" s="30"/>
      <c r="BE76" s="30"/>
      <c r="BF76" s="30"/>
    </row>
    <row r="77" spans="1:58" ht="22.5" customHeight="1">
      <c r="A77" s="242" t="e">
        <f t="shared" si="16"/>
        <v>#REF!</v>
      </c>
      <c r="B77" s="243"/>
      <c r="C77" s="133" t="s">
        <v>492</v>
      </c>
      <c r="D77" s="148">
        <v>100</v>
      </c>
      <c r="E77" s="148">
        <v>73</v>
      </c>
      <c r="F77" s="148">
        <v>29</v>
      </c>
      <c r="G77" s="149" t="e">
        <f>Juli2026!AO15</f>
        <v>#REF!</v>
      </c>
      <c r="H77" s="150" cm="1">
        <f t="array" ref="H77">IFERROR(INDEX(PQ_Aug!$B$2:$AF$1079,MATCH($C77,PQ_Aug!$A$2:$A$1079,0),MATCH(H$3&amp;"",PQ_Aug!$B$1:$AF$1&amp;"",0)),0)</f>
        <v>0</v>
      </c>
      <c r="I77" s="151"/>
      <c r="J77" s="150" cm="1">
        <f t="array" ref="J77">IFERROR(INDEX(PQ_Aug!$B$2:$AF$1079,MATCH($C77,PQ_Aug!$A$2:$A$1079,0),MATCH(J$3&amp;"",PQ_Aug!$B$1:$AF$1&amp;"",0)),0)</f>
        <v>0</v>
      </c>
      <c r="K77" s="150" cm="1">
        <f t="array" ref="K77">IFERROR(INDEX(PQ_Aug!$B$2:$AF$1079,MATCH($C77,PQ_Aug!$A$2:$A$1079,0),MATCH(K$3&amp;"",PQ_Aug!$B$1:$AF$1&amp;"",0)),0)</f>
        <v>0</v>
      </c>
      <c r="L77" s="150" cm="1">
        <f t="array" ref="L77">IFERROR(INDEX(PQ_Aug!$B$2:$AF$1079,MATCH($C77,PQ_Aug!$A$2:$A$1079,0),MATCH(L$3&amp;"",PQ_Aug!$B$1:$AF$1&amp;"",0)),0)</f>
        <v>0</v>
      </c>
      <c r="M77" s="150" cm="1">
        <f t="array" ref="M77">IFERROR(INDEX(PQ_Aug!$B$2:$AF$1079,MATCH($C77,PQ_Aug!$A$2:$A$1079,0),MATCH(M$3&amp;"",PQ_Aug!$B$1:$AF$1&amp;"",0)),0)</f>
        <v>0</v>
      </c>
      <c r="N77" s="150" cm="1">
        <f t="array" ref="N77">IFERROR(INDEX(PQ_Aug!$B$2:$AF$1079,MATCH($C77,PQ_Aug!$A$2:$A$1079,0),MATCH(N$3&amp;"",PQ_Aug!$B$1:$AF$1&amp;"",0)),0)</f>
        <v>0</v>
      </c>
      <c r="O77" s="150" cm="1">
        <f t="array" ref="O77">IFERROR(INDEX(PQ_Aug!$B$2:$AF$1079,MATCH($C77,PQ_Aug!$A$2:$A$1079,0),MATCH(O$3&amp;"",PQ_Aug!$B$1:$AF$1&amp;"",0)),0)</f>
        <v>1</v>
      </c>
      <c r="P77" s="151"/>
      <c r="Q77" s="150" cm="1">
        <f t="array" ref="Q77">IFERROR(INDEX(PQ_Aug!$B$2:$AF$1079,MATCH($C77,PQ_Aug!$A$2:$A$1079,0),MATCH(Q$3&amp;"",PQ_Aug!$B$1:$AF$1&amp;"",0)),0)</f>
        <v>1</v>
      </c>
      <c r="R77" s="150" cm="1">
        <f t="array" ref="R77">IFERROR(INDEX(PQ_Aug!$B$2:$AF$1079,MATCH($C77,PQ_Aug!$A$2:$A$1079,0),MATCH(R$3&amp;"",PQ_Aug!$B$1:$AF$1&amp;"",0)),0)</f>
        <v>0</v>
      </c>
      <c r="S77" s="150" cm="1">
        <f t="array" ref="S77">IFERROR(INDEX(PQ_Aug!$B$2:$AF$1079,MATCH($C77,PQ_Aug!$A$2:$A$1079,0),MATCH(S$3&amp;"",PQ_Aug!$B$1:$AF$1&amp;"",0)),0)</f>
        <v>1</v>
      </c>
      <c r="T77" s="150" cm="1">
        <f t="array" ref="T77">IFERROR(INDEX(PQ_Aug!$B$2:$AF$1079,MATCH($C77,PQ_Aug!$A$2:$A$1079,0),MATCH(T$3&amp;"",PQ_Aug!$B$1:$AF$1&amp;"",0)),0)</f>
        <v>1</v>
      </c>
      <c r="U77" s="150" cm="1">
        <f t="array" ref="U77">IFERROR(INDEX(PQ_Aug!$B$2:$AF$1079,MATCH($C77,PQ_Aug!$A$2:$A$1079,0),MATCH(U$3&amp;"",PQ_Aug!$B$1:$AF$1&amp;"",0)),0)</f>
        <v>0</v>
      </c>
      <c r="V77" s="150" cm="1">
        <f t="array" ref="V77">IFERROR(INDEX(PQ_Aug!$B$2:$AF$1079,MATCH($C77,PQ_Aug!$A$2:$A$1079,0),MATCH(V$3&amp;"",PQ_Aug!$B$1:$AF$1&amp;"",0)),0)</f>
        <v>0</v>
      </c>
      <c r="W77" s="151"/>
      <c r="X77" s="151"/>
      <c r="Y77" s="150" cm="1">
        <f t="array" ref="Y77">IFERROR(INDEX(PQ_Aug!$B$2:$AF$1079,MATCH($C77,PQ_Aug!$A$2:$A$1079,0),MATCH(Y$3&amp;"",PQ_Aug!$B$1:$AF$1&amp;"",0)),0)</f>
        <v>0</v>
      </c>
      <c r="Z77" s="150" cm="1">
        <f t="array" ref="Z77">IFERROR(INDEX(PQ_Aug!$B$2:$AF$1079,MATCH($C77,PQ_Aug!$A$2:$A$1079,0),MATCH(Z$3&amp;"",PQ_Aug!$B$1:$AF$1&amp;"",0)),0)</f>
        <v>1</v>
      </c>
      <c r="AA77" s="150" cm="1">
        <f t="array" ref="AA77">IFERROR(INDEX(PQ_Aug!$B$2:$AF$1079,MATCH($C77,PQ_Aug!$A$2:$A$1079,0),MATCH(AA$3&amp;"",PQ_Aug!$B$1:$AF$1&amp;"",0)),0)</f>
        <v>0</v>
      </c>
      <c r="AB77" s="150" cm="1">
        <f t="array" ref="AB77">IFERROR(INDEX(PQ_Aug!$B$2:$AF$1079,MATCH($C77,PQ_Aug!$A$2:$A$1079,0),MATCH(AB$3&amp;"",PQ_Aug!$B$1:$AF$1&amp;"",0)),0)</f>
        <v>0</v>
      </c>
      <c r="AC77" s="150" cm="1">
        <f t="array" ref="AC77">IFERROR(INDEX(PQ_Aug!$B$2:$AF$1079,MATCH($C77,PQ_Aug!$A$2:$A$1079,0),MATCH(AC$3&amp;"",PQ_Aug!$B$1:$AF$1&amp;"",0)),0)</f>
        <v>1</v>
      </c>
      <c r="AD77" s="151"/>
      <c r="AE77" s="150" cm="1">
        <f t="array" ref="AE77">IFERROR(INDEX(PQ_Aug!$B$2:$AF$1079,MATCH($C77,PQ_Aug!$A$2:$A$1079,0),MATCH(AE$3&amp;"",PQ_Aug!$B$1:$AF$1&amp;"",0)),0)</f>
        <v>2</v>
      </c>
      <c r="AF77" s="151"/>
      <c r="AG77" s="150"/>
      <c r="AH77" s="150"/>
      <c r="AI77" s="150"/>
      <c r="AJ77" s="150"/>
      <c r="AK77" s="151"/>
      <c r="AL77" s="150"/>
      <c r="AM77" s="152">
        <v>14</v>
      </c>
      <c r="AN77" s="150">
        <f>SUM(H77:AL77)+AM77</f>
        <v>22</v>
      </c>
      <c r="AO77" s="153" t="e">
        <f>(G77-AN77)+AZ77</f>
        <v>#REF!</v>
      </c>
      <c r="AP77" s="154">
        <v>30</v>
      </c>
      <c r="AQ77" s="154" t="s">
        <v>21</v>
      </c>
      <c r="AR77" s="161"/>
      <c r="AS77" s="153"/>
      <c r="AT77" s="161"/>
      <c r="AU77" s="153"/>
      <c r="AV77" s="161"/>
      <c r="AW77" s="161"/>
      <c r="AX77" s="153">
        <f>IFERROR(IF(AV77="",0,$D77*AS77),0)</f>
        <v>0</v>
      </c>
      <c r="AY77" s="153">
        <f>IFERROR(IF(AW77="",0,$D77*AU77),0)</f>
        <v>0</v>
      </c>
      <c r="AZ77" s="153">
        <f>AX77+AY77</f>
        <v>0</v>
      </c>
      <c r="BA77" s="153" t="e">
        <f t="shared" si="11"/>
        <v>#REF!</v>
      </c>
      <c r="BB77" s="160"/>
      <c r="BC77" s="30"/>
      <c r="BD77" s="30"/>
      <c r="BE77" s="40"/>
      <c r="BF77" s="30"/>
    </row>
    <row r="78" spans="1:58" ht="22.5" customHeight="1">
      <c r="A78" s="233" t="e">
        <f t="shared" si="16"/>
        <v>#REF!</v>
      </c>
      <c r="B78" s="234"/>
      <c r="C78" s="135" t="s">
        <v>493</v>
      </c>
      <c r="D78" s="148">
        <v>100</v>
      </c>
      <c r="E78" s="148" t="s">
        <v>29</v>
      </c>
      <c r="F78" s="148" t="s">
        <v>29</v>
      </c>
      <c r="G78" s="149" t="e">
        <f>Juli2026!AO77</f>
        <v>#REF!</v>
      </c>
      <c r="H78" s="150" cm="1">
        <f t="array" ref="H78">IFERROR(INDEX(PQ_Aug!$B$2:$AF$1079,MATCH($C78,PQ_Aug!$A$2:$A$1079,0),MATCH(H$3&amp;"",PQ_Aug!$B$1:$AF$1&amp;"",0)),0)</f>
        <v>7</v>
      </c>
      <c r="I78" s="151"/>
      <c r="J78" s="150" cm="1">
        <f t="array" ref="J78">IFERROR(INDEX(PQ_Aug!$B$2:$AF$1079,MATCH($C78,PQ_Aug!$A$2:$A$1079,0),MATCH(J$3&amp;"",PQ_Aug!$B$1:$AF$1&amp;"",0)),0)</f>
        <v>0</v>
      </c>
      <c r="K78" s="150" cm="1">
        <f t="array" ref="K78">IFERROR(INDEX(PQ_Aug!$B$2:$AF$1079,MATCH($C78,PQ_Aug!$A$2:$A$1079,0),MATCH(K$3&amp;"",PQ_Aug!$B$1:$AF$1&amp;"",0)),0)</f>
        <v>2</v>
      </c>
      <c r="L78" s="150" cm="1">
        <f t="array" ref="L78">IFERROR(INDEX(PQ_Aug!$B$2:$AF$1079,MATCH($C78,PQ_Aug!$A$2:$A$1079,0),MATCH(L$3&amp;"",PQ_Aug!$B$1:$AF$1&amp;"",0)),0)</f>
        <v>3</v>
      </c>
      <c r="M78" s="150" cm="1">
        <f t="array" ref="M78">IFERROR(INDEX(PQ_Aug!$B$2:$AF$1079,MATCH($C78,PQ_Aug!$A$2:$A$1079,0),MATCH(M$3&amp;"",PQ_Aug!$B$1:$AF$1&amp;"",0)),0)</f>
        <v>6</v>
      </c>
      <c r="N78" s="150" cm="1">
        <f t="array" ref="N78">IFERROR(INDEX(PQ_Aug!$B$2:$AF$1079,MATCH($C78,PQ_Aug!$A$2:$A$1079,0),MATCH(N$3&amp;"",PQ_Aug!$B$1:$AF$1&amp;"",0)),0)</f>
        <v>2</v>
      </c>
      <c r="O78" s="150" cm="1">
        <f t="array" ref="O78">IFERROR(INDEX(PQ_Aug!$B$2:$AF$1079,MATCH($C78,PQ_Aug!$A$2:$A$1079,0),MATCH(O$3&amp;"",PQ_Aug!$B$1:$AF$1&amp;"",0)),0)</f>
        <v>7</v>
      </c>
      <c r="P78" s="151"/>
      <c r="Q78" s="150" cm="1">
        <f t="array" ref="Q78">IFERROR(INDEX(PQ_Aug!$B$2:$AF$1079,MATCH($C78,PQ_Aug!$A$2:$A$1079,0),MATCH(Q$3&amp;"",PQ_Aug!$B$1:$AF$1&amp;"",0)),0)</f>
        <v>4</v>
      </c>
      <c r="R78" s="150" cm="1">
        <f t="array" ref="R78">IFERROR(INDEX(PQ_Aug!$B$2:$AF$1079,MATCH($C78,PQ_Aug!$A$2:$A$1079,0),MATCH(R$3&amp;"",PQ_Aug!$B$1:$AF$1&amp;"",0)),0)</f>
        <v>5</v>
      </c>
      <c r="S78" s="150" cm="1">
        <f t="array" ref="S78">IFERROR(INDEX(PQ_Aug!$B$2:$AF$1079,MATCH($C78,PQ_Aug!$A$2:$A$1079,0),MATCH(S$3&amp;"",PQ_Aug!$B$1:$AF$1&amp;"",0)),0)</f>
        <v>5</v>
      </c>
      <c r="T78" s="150" cm="1">
        <f t="array" ref="T78">IFERROR(INDEX(PQ_Aug!$B$2:$AF$1079,MATCH($C78,PQ_Aug!$A$2:$A$1079,0),MATCH(T$3&amp;"",PQ_Aug!$B$1:$AF$1&amp;"",0)),0)</f>
        <v>0</v>
      </c>
      <c r="U78" s="150" cm="1">
        <f t="array" ref="U78">IFERROR(INDEX(PQ_Aug!$B$2:$AF$1079,MATCH($C78,PQ_Aug!$A$2:$A$1079,0),MATCH(U$3&amp;"",PQ_Aug!$B$1:$AF$1&amp;"",0)),0)</f>
        <v>1</v>
      </c>
      <c r="V78" s="150" cm="1">
        <f t="array" ref="V78">IFERROR(INDEX(PQ_Aug!$B$2:$AF$1079,MATCH($C78,PQ_Aug!$A$2:$A$1079,0),MATCH(V$3&amp;"",PQ_Aug!$B$1:$AF$1&amp;"",0)),0)</f>
        <v>2</v>
      </c>
      <c r="W78" s="151"/>
      <c r="X78" s="151"/>
      <c r="Y78" s="150" cm="1">
        <f t="array" ref="Y78">IFERROR(INDEX(PQ_Aug!$B$2:$AF$1079,MATCH($C78,PQ_Aug!$A$2:$A$1079,0),MATCH(Y$3&amp;"",PQ_Aug!$B$1:$AF$1&amp;"",0)),0)</f>
        <v>1</v>
      </c>
      <c r="Z78" s="150" cm="1">
        <f t="array" ref="Z78">IFERROR(INDEX(PQ_Aug!$B$2:$AF$1079,MATCH($C78,PQ_Aug!$A$2:$A$1079,0),MATCH(Z$3&amp;"",PQ_Aug!$B$1:$AF$1&amp;"",0)),0)</f>
        <v>2</v>
      </c>
      <c r="AA78" s="150" cm="1">
        <f t="array" ref="AA78">IFERROR(INDEX(PQ_Aug!$B$2:$AF$1079,MATCH($C78,PQ_Aug!$A$2:$A$1079,0),MATCH(AA$3&amp;"",PQ_Aug!$B$1:$AF$1&amp;"",0)),0)</f>
        <v>3</v>
      </c>
      <c r="AB78" s="150" cm="1">
        <f t="array" ref="AB78">IFERROR(INDEX(PQ_Aug!$B$2:$AF$1079,MATCH($C78,PQ_Aug!$A$2:$A$1079,0),MATCH(AB$3&amp;"",PQ_Aug!$B$1:$AF$1&amp;"",0)),0)</f>
        <v>0</v>
      </c>
      <c r="AC78" s="150" cm="1">
        <f t="array" ref="AC78">IFERROR(INDEX(PQ_Aug!$B$2:$AF$1079,MATCH($C78,PQ_Aug!$A$2:$A$1079,0),MATCH(AC$3&amp;"",PQ_Aug!$B$1:$AF$1&amp;"",0)),0)</f>
        <v>1</v>
      </c>
      <c r="AD78" s="151"/>
      <c r="AE78" s="150" cm="1">
        <f t="array" ref="AE78">IFERROR(INDEX(PQ_Aug!$B$2:$AF$1079,MATCH($C78,PQ_Aug!$A$2:$A$1079,0),MATCH(AE$3&amp;"",PQ_Aug!$B$1:$AF$1&amp;"",0)),0)</f>
        <v>6</v>
      </c>
      <c r="AF78" s="151"/>
      <c r="AG78" s="150"/>
      <c r="AH78" s="150"/>
      <c r="AI78" s="150"/>
      <c r="AJ78" s="150"/>
      <c r="AK78" s="151"/>
      <c r="AL78" s="150"/>
      <c r="AM78" s="152">
        <v>42</v>
      </c>
      <c r="AN78" s="150">
        <f t="shared" si="12"/>
        <v>99</v>
      </c>
      <c r="AO78" s="153" t="e">
        <f t="shared" si="10"/>
        <v>#REF!</v>
      </c>
      <c r="AP78" s="167">
        <v>50</v>
      </c>
      <c r="AQ78" s="179" t="s">
        <v>79</v>
      </c>
      <c r="AR78" s="161"/>
      <c r="AS78" s="153"/>
      <c r="AT78" s="161"/>
      <c r="AU78" s="153"/>
      <c r="AV78" s="161"/>
      <c r="AW78" s="161"/>
      <c r="AX78" s="153">
        <f t="shared" si="13"/>
        <v>0</v>
      </c>
      <c r="AY78" s="153">
        <f t="shared" si="14"/>
        <v>0</v>
      </c>
      <c r="AZ78" s="153">
        <f t="shared" si="15"/>
        <v>0</v>
      </c>
      <c r="BA78" s="153" t="e">
        <f t="shared" si="11"/>
        <v>#REF!</v>
      </c>
      <c r="BB78" s="160"/>
      <c r="BC78" s="30"/>
      <c r="BD78" s="30"/>
      <c r="BE78" s="30"/>
      <c r="BF78" s="30"/>
    </row>
    <row r="79" spans="1:58" ht="22.5" customHeight="1">
      <c r="A79" s="233">
        <f t="shared" si="16"/>
        <v>17</v>
      </c>
      <c r="B79" s="234"/>
      <c r="C79" s="135" t="s">
        <v>494</v>
      </c>
      <c r="D79" s="148">
        <v>100</v>
      </c>
      <c r="E79" s="148"/>
      <c r="F79" s="148"/>
      <c r="G79" s="149">
        <v>17</v>
      </c>
      <c r="H79" s="150" cm="1">
        <f t="array" ref="H79">IFERROR(INDEX(PQ_Aug!$B$2:$AF$1079,MATCH($C79,PQ_Aug!$A$2:$A$1079,0),MATCH(H$3&amp;"",PQ_Aug!$B$1:$AF$1&amp;"",0)),0)</f>
        <v>0</v>
      </c>
      <c r="I79" s="151"/>
      <c r="J79" s="150" cm="1">
        <f t="array" ref="J79">IFERROR(INDEX(PQ_Aug!$B$2:$AF$1079,MATCH($C79,PQ_Aug!$A$2:$A$1079,0),MATCH(J$3&amp;"",PQ_Aug!$B$1:$AF$1&amp;"",0)),0)</f>
        <v>0</v>
      </c>
      <c r="K79" s="150" cm="1">
        <f t="array" ref="K79">IFERROR(INDEX(PQ_Aug!$B$2:$AF$1079,MATCH($C79,PQ_Aug!$A$2:$A$1079,0),MATCH(K$3&amp;"",PQ_Aug!$B$1:$AF$1&amp;"",0)),0)</f>
        <v>0</v>
      </c>
      <c r="L79" s="150" cm="1">
        <f t="array" ref="L79">IFERROR(INDEX(PQ_Aug!$B$2:$AF$1079,MATCH($C79,PQ_Aug!$A$2:$A$1079,0),MATCH(L$3&amp;"",PQ_Aug!$B$1:$AF$1&amp;"",0)),0)</f>
        <v>0</v>
      </c>
      <c r="M79" s="150" cm="1">
        <f t="array" ref="M79">IFERROR(INDEX(PQ_Aug!$B$2:$AF$1079,MATCH($C79,PQ_Aug!$A$2:$A$1079,0),MATCH(M$3&amp;"",PQ_Aug!$B$1:$AF$1&amp;"",0)),0)</f>
        <v>0</v>
      </c>
      <c r="N79" s="150" cm="1">
        <f t="array" ref="N79">IFERROR(INDEX(PQ_Aug!$B$2:$AF$1079,MATCH($C79,PQ_Aug!$A$2:$A$1079,0),MATCH(N$3&amp;"",PQ_Aug!$B$1:$AF$1&amp;"",0)),0)</f>
        <v>0</v>
      </c>
      <c r="O79" s="150" cm="1">
        <f t="array" ref="O79">IFERROR(INDEX(PQ_Aug!$B$2:$AF$1079,MATCH($C79,PQ_Aug!$A$2:$A$1079,0),MATCH(O$3&amp;"",PQ_Aug!$B$1:$AF$1&amp;"",0)),0)</f>
        <v>0</v>
      </c>
      <c r="P79" s="151"/>
      <c r="Q79" s="150" cm="1">
        <f t="array" ref="Q79">IFERROR(INDEX(PQ_Aug!$B$2:$AF$1079,MATCH($C79,PQ_Aug!$A$2:$A$1079,0),MATCH(Q$3&amp;"",PQ_Aug!$B$1:$AF$1&amp;"",0)),0)</f>
        <v>0</v>
      </c>
      <c r="R79" s="150" cm="1">
        <f t="array" ref="R79">IFERROR(INDEX(PQ_Aug!$B$2:$AF$1079,MATCH($C79,PQ_Aug!$A$2:$A$1079,0),MATCH(R$3&amp;"",PQ_Aug!$B$1:$AF$1&amp;"",0)),0)</f>
        <v>0</v>
      </c>
      <c r="S79" s="150" cm="1">
        <f t="array" ref="S79">IFERROR(INDEX(PQ_Aug!$B$2:$AF$1079,MATCH($C79,PQ_Aug!$A$2:$A$1079,0),MATCH(S$3&amp;"",PQ_Aug!$B$1:$AF$1&amp;"",0)),0)</f>
        <v>0</v>
      </c>
      <c r="T79" s="150" cm="1">
        <f t="array" ref="T79">IFERROR(INDEX(PQ_Aug!$B$2:$AF$1079,MATCH($C79,PQ_Aug!$A$2:$A$1079,0),MATCH(T$3&amp;"",PQ_Aug!$B$1:$AF$1&amp;"",0)),0)</f>
        <v>0</v>
      </c>
      <c r="U79" s="150" cm="1">
        <f t="array" ref="U79">IFERROR(INDEX(PQ_Aug!$B$2:$AF$1079,MATCH($C79,PQ_Aug!$A$2:$A$1079,0),MATCH(U$3&amp;"",PQ_Aug!$B$1:$AF$1&amp;"",0)),0)</f>
        <v>0</v>
      </c>
      <c r="V79" s="150" cm="1">
        <f t="array" ref="V79">IFERROR(INDEX(PQ_Aug!$B$2:$AF$1079,MATCH($C79,PQ_Aug!$A$2:$A$1079,0),MATCH(V$3&amp;"",PQ_Aug!$B$1:$AF$1&amp;"",0)),0)</f>
        <v>0</v>
      </c>
      <c r="W79" s="151"/>
      <c r="X79" s="151"/>
      <c r="Y79" s="150" cm="1">
        <f t="array" ref="Y79">IFERROR(INDEX(PQ_Aug!$B$2:$AF$1079,MATCH($C79,PQ_Aug!$A$2:$A$1079,0),MATCH(Y$3&amp;"",PQ_Aug!$B$1:$AF$1&amp;"",0)),0)</f>
        <v>0</v>
      </c>
      <c r="Z79" s="150" cm="1">
        <f t="array" ref="Z79">IFERROR(INDEX(PQ_Aug!$B$2:$AF$1079,MATCH($C79,PQ_Aug!$A$2:$A$1079,0),MATCH(Z$3&amp;"",PQ_Aug!$B$1:$AF$1&amp;"",0)),0)</f>
        <v>0</v>
      </c>
      <c r="AA79" s="150" cm="1">
        <f t="array" ref="AA79">IFERROR(INDEX(PQ_Aug!$B$2:$AF$1079,MATCH($C79,PQ_Aug!$A$2:$A$1079,0),MATCH(AA$3&amp;"",PQ_Aug!$B$1:$AF$1&amp;"",0)),0)</f>
        <v>0</v>
      </c>
      <c r="AB79" s="150" cm="1">
        <f t="array" ref="AB79">IFERROR(INDEX(PQ_Aug!$B$2:$AF$1079,MATCH($C79,PQ_Aug!$A$2:$A$1079,0),MATCH(AB$3&amp;"",PQ_Aug!$B$1:$AF$1&amp;"",0)),0)</f>
        <v>0</v>
      </c>
      <c r="AC79" s="150" cm="1">
        <f t="array" ref="AC79">IFERROR(INDEX(PQ_Aug!$B$2:$AF$1079,MATCH($C79,PQ_Aug!$A$2:$A$1079,0),MATCH(AC$3&amp;"",PQ_Aug!$B$1:$AF$1&amp;"",0)),0)</f>
        <v>0</v>
      </c>
      <c r="AD79" s="151"/>
      <c r="AE79" s="150" cm="1">
        <f t="array" ref="AE79">IFERROR(INDEX(PQ_Aug!$B$2:$AF$1079,MATCH($C79,PQ_Aug!$A$2:$A$1079,0),MATCH(AE$3&amp;"",PQ_Aug!$B$1:$AF$1&amp;"",0)),0)</f>
        <v>0</v>
      </c>
      <c r="AF79" s="151"/>
      <c r="AG79" s="150"/>
      <c r="AH79" s="150"/>
      <c r="AI79" s="150"/>
      <c r="AJ79" s="150"/>
      <c r="AK79" s="151"/>
      <c r="AL79" s="150"/>
      <c r="AM79" s="152"/>
      <c r="AN79" s="150">
        <f t="shared" ref="AN79" si="17">SUM(H79:AL79)+AM79</f>
        <v>0</v>
      </c>
      <c r="AO79" s="153">
        <f t="shared" ref="AO79" si="18">(G79-AN79)+AZ79</f>
        <v>17</v>
      </c>
      <c r="AP79" s="167">
        <v>15</v>
      </c>
      <c r="AQ79" s="179" t="s">
        <v>79</v>
      </c>
      <c r="AR79" s="161"/>
      <c r="AS79" s="153"/>
      <c r="AT79" s="161"/>
      <c r="AU79" s="153"/>
      <c r="AV79" s="161"/>
      <c r="AW79" s="161"/>
      <c r="AX79" s="153">
        <f t="shared" si="13"/>
        <v>0</v>
      </c>
      <c r="AY79" s="153">
        <f t="shared" si="14"/>
        <v>0</v>
      </c>
      <c r="AZ79" s="153">
        <f t="shared" si="15"/>
        <v>0</v>
      </c>
      <c r="BA79" s="153">
        <f t="shared" si="11"/>
        <v>17</v>
      </c>
      <c r="BB79" s="160"/>
      <c r="BC79" s="30"/>
      <c r="BD79" s="30"/>
      <c r="BE79" s="30"/>
      <c r="BF79" s="30"/>
    </row>
    <row r="80" spans="1:58" ht="22.5" customHeight="1">
      <c r="A80" s="242" t="e">
        <f t="shared" si="16"/>
        <v>#REF!</v>
      </c>
      <c r="B80" s="243"/>
      <c r="C80" s="135" t="s">
        <v>495</v>
      </c>
      <c r="D80" s="148">
        <v>100</v>
      </c>
      <c r="E80" s="148"/>
      <c r="F80" s="148"/>
      <c r="G80" s="149" t="e">
        <f>Juli2026!AO78</f>
        <v>#REF!</v>
      </c>
      <c r="H80" s="150" cm="1">
        <f t="array" ref="H80">IFERROR(INDEX(PQ_Aug!$B$2:$AF$1079,MATCH($C80,PQ_Aug!$A$2:$A$1079,0),MATCH(H$3&amp;"",PQ_Aug!$B$1:$AF$1&amp;"",0)),0)</f>
        <v>0</v>
      </c>
      <c r="I80" s="151"/>
      <c r="J80" s="150" cm="1">
        <f t="array" ref="J80">IFERROR(INDEX(PQ_Aug!$B$2:$AF$1079,MATCH($C80,PQ_Aug!$A$2:$A$1079,0),MATCH(J$3&amp;"",PQ_Aug!$B$1:$AF$1&amp;"",0)),0)</f>
        <v>0</v>
      </c>
      <c r="K80" s="150" cm="1">
        <f t="array" ref="K80">IFERROR(INDEX(PQ_Aug!$B$2:$AF$1079,MATCH($C80,PQ_Aug!$A$2:$A$1079,0),MATCH(K$3&amp;"",PQ_Aug!$B$1:$AF$1&amp;"",0)),0)</f>
        <v>0</v>
      </c>
      <c r="L80" s="150" cm="1">
        <f t="array" ref="L80">IFERROR(INDEX(PQ_Aug!$B$2:$AF$1079,MATCH($C80,PQ_Aug!$A$2:$A$1079,0),MATCH(L$3&amp;"",PQ_Aug!$B$1:$AF$1&amp;"",0)),0)</f>
        <v>0</v>
      </c>
      <c r="M80" s="150" cm="1">
        <f t="array" ref="M80">IFERROR(INDEX(PQ_Aug!$B$2:$AF$1079,MATCH($C80,PQ_Aug!$A$2:$A$1079,0),MATCH(M$3&amp;"",PQ_Aug!$B$1:$AF$1&amp;"",0)),0)</f>
        <v>0</v>
      </c>
      <c r="N80" s="150" cm="1">
        <f t="array" ref="N80">IFERROR(INDEX(PQ_Aug!$B$2:$AF$1079,MATCH($C80,PQ_Aug!$A$2:$A$1079,0),MATCH(N$3&amp;"",PQ_Aug!$B$1:$AF$1&amp;"",0)),0)</f>
        <v>0</v>
      </c>
      <c r="O80" s="150" cm="1">
        <f t="array" ref="O80">IFERROR(INDEX(PQ_Aug!$B$2:$AF$1079,MATCH($C80,PQ_Aug!$A$2:$A$1079,0),MATCH(O$3&amp;"",PQ_Aug!$B$1:$AF$1&amp;"",0)),0)</f>
        <v>0</v>
      </c>
      <c r="P80" s="151"/>
      <c r="Q80" s="150" cm="1">
        <f t="array" ref="Q80">IFERROR(INDEX(PQ_Aug!$B$2:$AF$1079,MATCH($C80,PQ_Aug!$A$2:$A$1079,0),MATCH(Q$3&amp;"",PQ_Aug!$B$1:$AF$1&amp;"",0)),0)</f>
        <v>0</v>
      </c>
      <c r="R80" s="150" cm="1">
        <f t="array" ref="R80">IFERROR(INDEX(PQ_Aug!$B$2:$AF$1079,MATCH($C80,PQ_Aug!$A$2:$A$1079,0),MATCH(R$3&amp;"",PQ_Aug!$B$1:$AF$1&amp;"",0)),0)</f>
        <v>0</v>
      </c>
      <c r="S80" s="150" cm="1">
        <f t="array" ref="S80">IFERROR(INDEX(PQ_Aug!$B$2:$AF$1079,MATCH($C80,PQ_Aug!$A$2:$A$1079,0),MATCH(S$3&amp;"",PQ_Aug!$B$1:$AF$1&amp;"",0)),0)</f>
        <v>2</v>
      </c>
      <c r="T80" s="150" cm="1">
        <f t="array" ref="T80">IFERROR(INDEX(PQ_Aug!$B$2:$AF$1079,MATCH($C80,PQ_Aug!$A$2:$A$1079,0),MATCH(T$3&amp;"",PQ_Aug!$B$1:$AF$1&amp;"",0)),0)</f>
        <v>0</v>
      </c>
      <c r="U80" s="150" cm="1">
        <f t="array" ref="U80">IFERROR(INDEX(PQ_Aug!$B$2:$AF$1079,MATCH($C80,PQ_Aug!$A$2:$A$1079,0),MATCH(U$3&amp;"",PQ_Aug!$B$1:$AF$1&amp;"",0)),0)</f>
        <v>1</v>
      </c>
      <c r="V80" s="150" cm="1">
        <f t="array" ref="V80">IFERROR(INDEX(PQ_Aug!$B$2:$AF$1079,MATCH($C80,PQ_Aug!$A$2:$A$1079,0),MATCH(V$3&amp;"",PQ_Aug!$B$1:$AF$1&amp;"",0)),0)</f>
        <v>1</v>
      </c>
      <c r="W80" s="151"/>
      <c r="X80" s="151"/>
      <c r="Y80" s="150" cm="1">
        <f t="array" ref="Y80">IFERROR(INDEX(PQ_Aug!$B$2:$AF$1079,MATCH($C80,PQ_Aug!$A$2:$A$1079,0),MATCH(Y$3&amp;"",PQ_Aug!$B$1:$AF$1&amp;"",0)),0)</f>
        <v>0</v>
      </c>
      <c r="Z80" s="150" cm="1">
        <f t="array" ref="Z80">IFERROR(INDEX(PQ_Aug!$B$2:$AF$1079,MATCH($C80,PQ_Aug!$A$2:$A$1079,0),MATCH(Z$3&amp;"",PQ_Aug!$B$1:$AF$1&amp;"",0)),0)</f>
        <v>0</v>
      </c>
      <c r="AA80" s="150" cm="1">
        <f t="array" ref="AA80">IFERROR(INDEX(PQ_Aug!$B$2:$AF$1079,MATCH($C80,PQ_Aug!$A$2:$A$1079,0),MATCH(AA$3&amp;"",PQ_Aug!$B$1:$AF$1&amp;"",0)),0)</f>
        <v>0</v>
      </c>
      <c r="AB80" s="150" cm="1">
        <f t="array" ref="AB80">IFERROR(INDEX(PQ_Aug!$B$2:$AF$1079,MATCH($C80,PQ_Aug!$A$2:$A$1079,0),MATCH(AB$3&amp;"",PQ_Aug!$B$1:$AF$1&amp;"",0)),0)</f>
        <v>0</v>
      </c>
      <c r="AC80" s="150" cm="1">
        <f t="array" ref="AC80">IFERROR(INDEX(PQ_Aug!$B$2:$AF$1079,MATCH($C80,PQ_Aug!$A$2:$A$1079,0),MATCH(AC$3&amp;"",PQ_Aug!$B$1:$AF$1&amp;"",0)),0)</f>
        <v>1</v>
      </c>
      <c r="AD80" s="151"/>
      <c r="AE80" s="150" cm="1">
        <f t="array" ref="AE80">IFERROR(INDEX(PQ_Aug!$B$2:$AF$1079,MATCH($C80,PQ_Aug!$A$2:$A$1079,0),MATCH(AE$3&amp;"",PQ_Aug!$B$1:$AF$1&amp;"",0)),0)</f>
        <v>0</v>
      </c>
      <c r="AF80" s="151"/>
      <c r="AG80" s="150"/>
      <c r="AH80" s="150"/>
      <c r="AI80" s="150"/>
      <c r="AJ80" s="150"/>
      <c r="AK80" s="151"/>
      <c r="AL80" s="150"/>
      <c r="AM80" s="152">
        <v>8</v>
      </c>
      <c r="AN80" s="150">
        <f t="shared" si="12"/>
        <v>13</v>
      </c>
      <c r="AO80" s="153" t="e">
        <f t="shared" si="10"/>
        <v>#REF!</v>
      </c>
      <c r="AP80" s="167">
        <v>20</v>
      </c>
      <c r="AQ80" s="179" t="s">
        <v>79</v>
      </c>
      <c r="AR80" s="161"/>
      <c r="AS80" s="153"/>
      <c r="AT80" s="161"/>
      <c r="AU80" s="153"/>
      <c r="AV80" s="161"/>
      <c r="AW80" s="161"/>
      <c r="AX80" s="153">
        <f t="shared" si="13"/>
        <v>0</v>
      </c>
      <c r="AY80" s="153">
        <f t="shared" si="14"/>
        <v>0</v>
      </c>
      <c r="AZ80" s="153">
        <f t="shared" si="15"/>
        <v>0</v>
      </c>
      <c r="BA80" s="153" t="e">
        <f t="shared" si="11"/>
        <v>#REF!</v>
      </c>
      <c r="BB80" s="160"/>
      <c r="BC80" s="30"/>
      <c r="BD80" s="30"/>
      <c r="BE80" s="30"/>
      <c r="BF80" s="30"/>
    </row>
    <row r="81" spans="1:58" ht="22.5" customHeight="1">
      <c r="A81" s="233">
        <f t="shared" si="16"/>
        <v>11</v>
      </c>
      <c r="B81" s="234"/>
      <c r="C81" s="135" t="s">
        <v>477</v>
      </c>
      <c r="D81" s="148">
        <v>30</v>
      </c>
      <c r="E81" s="148"/>
      <c r="F81" s="148"/>
      <c r="G81" s="149">
        <v>20</v>
      </c>
      <c r="H81" s="150" cm="1">
        <f t="array" ref="H81">IFERROR(INDEX(PQ_Aug!$B$2:$AF$1079,MATCH($C81,PQ_Aug!$A$2:$A$1079,0),MATCH(H$3&amp;"",PQ_Aug!$B$1:$AF$1&amp;"",0)),0)</f>
        <v>1</v>
      </c>
      <c r="I81" s="151"/>
      <c r="J81" s="150" cm="1">
        <f t="array" ref="J81">IFERROR(INDEX(PQ_Aug!$B$2:$AF$1079,MATCH($C81,PQ_Aug!$A$2:$A$1079,0),MATCH(J$3&amp;"",PQ_Aug!$B$1:$AF$1&amp;"",0)),0)</f>
        <v>0</v>
      </c>
      <c r="K81" s="150" cm="1">
        <f t="array" ref="K81">IFERROR(INDEX(PQ_Aug!$B$2:$AF$1079,MATCH($C81,PQ_Aug!$A$2:$A$1079,0),MATCH(K$3&amp;"",PQ_Aug!$B$1:$AF$1&amp;"",0)),0)</f>
        <v>0</v>
      </c>
      <c r="L81" s="150" cm="1">
        <f t="array" ref="L81">IFERROR(INDEX(PQ_Aug!$B$2:$AF$1079,MATCH($C81,PQ_Aug!$A$2:$A$1079,0),MATCH(L$3&amp;"",PQ_Aug!$B$1:$AF$1&amp;"",0)),0)</f>
        <v>0</v>
      </c>
      <c r="M81" s="150" cm="1">
        <f t="array" ref="M81">IFERROR(INDEX(PQ_Aug!$B$2:$AF$1079,MATCH($C81,PQ_Aug!$A$2:$A$1079,0),MATCH(M$3&amp;"",PQ_Aug!$B$1:$AF$1&amp;"",0)),0)</f>
        <v>0</v>
      </c>
      <c r="N81" s="150" cm="1">
        <f t="array" ref="N81">IFERROR(INDEX(PQ_Aug!$B$2:$AF$1079,MATCH($C81,PQ_Aug!$A$2:$A$1079,0),MATCH(N$3&amp;"",PQ_Aug!$B$1:$AF$1&amp;"",0)),0)</f>
        <v>0</v>
      </c>
      <c r="O81" s="150" cm="1">
        <f t="array" ref="O81">IFERROR(INDEX(PQ_Aug!$B$2:$AF$1079,MATCH($C81,PQ_Aug!$A$2:$A$1079,0),MATCH(O$3&amp;"",PQ_Aug!$B$1:$AF$1&amp;"",0)),0)</f>
        <v>0</v>
      </c>
      <c r="P81" s="151"/>
      <c r="Q81" s="150" cm="1">
        <f t="array" ref="Q81">IFERROR(INDEX(PQ_Aug!$B$2:$AF$1079,MATCH($C81,PQ_Aug!$A$2:$A$1079,0),MATCH(Q$3&amp;"",PQ_Aug!$B$1:$AF$1&amp;"",0)),0)</f>
        <v>0</v>
      </c>
      <c r="R81" s="150" cm="1">
        <f t="array" ref="R81">IFERROR(INDEX(PQ_Aug!$B$2:$AF$1079,MATCH($C81,PQ_Aug!$A$2:$A$1079,0),MATCH(R$3&amp;"",PQ_Aug!$B$1:$AF$1&amp;"",0)),0)</f>
        <v>0</v>
      </c>
      <c r="S81" s="150" cm="1">
        <f t="array" ref="S81">IFERROR(INDEX(PQ_Aug!$B$2:$AF$1079,MATCH($C81,PQ_Aug!$A$2:$A$1079,0),MATCH(S$3&amp;"",PQ_Aug!$B$1:$AF$1&amp;"",0)),0)</f>
        <v>0</v>
      </c>
      <c r="T81" s="150" cm="1">
        <f t="array" ref="T81">IFERROR(INDEX(PQ_Aug!$B$2:$AF$1079,MATCH($C81,PQ_Aug!$A$2:$A$1079,0),MATCH(T$3&amp;"",PQ_Aug!$B$1:$AF$1&amp;"",0)),0)</f>
        <v>0</v>
      </c>
      <c r="U81" s="150" cm="1">
        <f t="array" ref="U81">IFERROR(INDEX(PQ_Aug!$B$2:$AF$1079,MATCH($C81,PQ_Aug!$A$2:$A$1079,0),MATCH(U$3&amp;"",PQ_Aug!$B$1:$AF$1&amp;"",0)),0)</f>
        <v>0</v>
      </c>
      <c r="V81" s="150" cm="1">
        <f t="array" ref="V81">IFERROR(INDEX(PQ_Aug!$B$2:$AF$1079,MATCH($C81,PQ_Aug!$A$2:$A$1079,0),MATCH(V$3&amp;"",PQ_Aug!$B$1:$AF$1&amp;"",0)),0)</f>
        <v>0</v>
      </c>
      <c r="W81" s="151"/>
      <c r="X81" s="151"/>
      <c r="Y81" s="150" cm="1">
        <f t="array" ref="Y81">IFERROR(INDEX(PQ_Aug!$B$2:$AF$1079,MATCH($C81,PQ_Aug!$A$2:$A$1079,0),MATCH(Y$3&amp;"",PQ_Aug!$B$1:$AF$1&amp;"",0)),0)</f>
        <v>0</v>
      </c>
      <c r="Z81" s="150" cm="1">
        <f t="array" ref="Z81">IFERROR(INDEX(PQ_Aug!$B$2:$AF$1079,MATCH($C81,PQ_Aug!$A$2:$A$1079,0),MATCH(Z$3&amp;"",PQ_Aug!$B$1:$AF$1&amp;"",0)),0)</f>
        <v>0</v>
      </c>
      <c r="AA81" s="150" cm="1">
        <f t="array" ref="AA81">IFERROR(INDEX(PQ_Aug!$B$2:$AF$1079,MATCH($C81,PQ_Aug!$A$2:$A$1079,0),MATCH(AA$3&amp;"",PQ_Aug!$B$1:$AF$1&amp;"",0)),0)</f>
        <v>0</v>
      </c>
      <c r="AB81" s="150" cm="1">
        <f t="array" ref="AB81">IFERROR(INDEX(PQ_Aug!$B$2:$AF$1079,MATCH($C81,PQ_Aug!$A$2:$A$1079,0),MATCH(AB$3&amp;"",PQ_Aug!$B$1:$AF$1&amp;"",0)),0)</f>
        <v>1</v>
      </c>
      <c r="AC81" s="150" cm="1">
        <f t="array" ref="AC81">IFERROR(INDEX(PQ_Aug!$B$2:$AF$1079,MATCH($C81,PQ_Aug!$A$2:$A$1079,0),MATCH(AC$3&amp;"",PQ_Aug!$B$1:$AF$1&amp;"",0)),0)</f>
        <v>0</v>
      </c>
      <c r="AD81" s="151"/>
      <c r="AE81" s="150" cm="1">
        <f t="array" ref="AE81">IFERROR(INDEX(PQ_Aug!$B$2:$AF$1079,MATCH($C81,PQ_Aug!$A$2:$A$1079,0),MATCH(AE$3&amp;"",PQ_Aug!$B$1:$AF$1&amp;"",0)),0)</f>
        <v>1</v>
      </c>
      <c r="AF81" s="151"/>
      <c r="AG81" s="150"/>
      <c r="AH81" s="150"/>
      <c r="AI81" s="150"/>
      <c r="AJ81" s="150"/>
      <c r="AK81" s="151"/>
      <c r="AL81" s="150"/>
      <c r="AM81" s="152">
        <v>6</v>
      </c>
      <c r="AN81" s="150">
        <f t="shared" ref="AN81" si="19">SUM(H81:AL81)+AM81</f>
        <v>9</v>
      </c>
      <c r="AO81" s="153">
        <f t="shared" ref="AO81" si="20">(G81-AN81)+AZ81</f>
        <v>11</v>
      </c>
      <c r="AP81" s="167">
        <v>15</v>
      </c>
      <c r="AQ81" s="179" t="s">
        <v>79</v>
      </c>
      <c r="AR81" s="161"/>
      <c r="AS81" s="153"/>
      <c r="AT81" s="161"/>
      <c r="AU81" s="153"/>
      <c r="AV81" s="161"/>
      <c r="AW81" s="161"/>
      <c r="AX81" s="153">
        <f t="shared" si="13"/>
        <v>0</v>
      </c>
      <c r="AY81" s="153">
        <f t="shared" si="14"/>
        <v>0</v>
      </c>
      <c r="AZ81" s="153">
        <f t="shared" si="15"/>
        <v>0</v>
      </c>
      <c r="BA81" s="153">
        <f t="shared" si="11"/>
        <v>11</v>
      </c>
      <c r="BB81" s="160"/>
      <c r="BC81" s="30"/>
      <c r="BD81" s="30"/>
      <c r="BE81" s="30"/>
      <c r="BF81" s="30"/>
    </row>
    <row r="82" spans="1:58" ht="22.5" customHeight="1">
      <c r="A82" s="233">
        <f t="shared" si="16"/>
        <v>33</v>
      </c>
      <c r="B82" s="234"/>
      <c r="C82" s="133" t="s">
        <v>478</v>
      </c>
      <c r="D82" s="148">
        <v>50</v>
      </c>
      <c r="E82" s="148">
        <v>5</v>
      </c>
      <c r="F82" s="148">
        <v>4</v>
      </c>
      <c r="G82" s="149">
        <f>Juli2026!AO79</f>
        <v>52</v>
      </c>
      <c r="H82" s="150" cm="1">
        <f t="array" ref="H82">IFERROR(INDEX(PQ_Aug!$B$2:$AF$1079,MATCH($C82,PQ_Aug!$A$2:$A$1079,0),MATCH(H$3&amp;"",PQ_Aug!$B$1:$AF$1&amp;"",0)),0)</f>
        <v>1</v>
      </c>
      <c r="I82" s="151"/>
      <c r="J82" s="150" cm="1">
        <f t="array" ref="J82">IFERROR(INDEX(PQ_Aug!$B$2:$AF$1079,MATCH($C82,PQ_Aug!$A$2:$A$1079,0),MATCH(J$3&amp;"",PQ_Aug!$B$1:$AF$1&amp;"",0)),0)</f>
        <v>1</v>
      </c>
      <c r="K82" s="150" cm="1">
        <f t="array" ref="K82">IFERROR(INDEX(PQ_Aug!$B$2:$AF$1079,MATCH($C82,PQ_Aug!$A$2:$A$1079,0),MATCH(K$3&amp;"",PQ_Aug!$B$1:$AF$1&amp;"",0)),0)</f>
        <v>2</v>
      </c>
      <c r="L82" s="150" cm="1">
        <f t="array" ref="L82">IFERROR(INDEX(PQ_Aug!$B$2:$AF$1079,MATCH($C82,PQ_Aug!$A$2:$A$1079,0),MATCH(L$3&amp;"",PQ_Aug!$B$1:$AF$1&amp;"",0)),0)</f>
        <v>1</v>
      </c>
      <c r="M82" s="150" cm="1">
        <f t="array" ref="M82">IFERROR(INDEX(PQ_Aug!$B$2:$AF$1079,MATCH($C82,PQ_Aug!$A$2:$A$1079,0),MATCH(M$3&amp;"",PQ_Aug!$B$1:$AF$1&amp;"",0)),0)</f>
        <v>0</v>
      </c>
      <c r="N82" s="150" cm="1">
        <f t="array" ref="N82">IFERROR(INDEX(PQ_Aug!$B$2:$AF$1079,MATCH($C82,PQ_Aug!$A$2:$A$1079,0),MATCH(N$3&amp;"",PQ_Aug!$B$1:$AF$1&amp;"",0)),0)</f>
        <v>0</v>
      </c>
      <c r="O82" s="150" cm="1">
        <f t="array" ref="O82">IFERROR(INDEX(PQ_Aug!$B$2:$AF$1079,MATCH($C82,PQ_Aug!$A$2:$A$1079,0),MATCH(O$3&amp;"",PQ_Aug!$B$1:$AF$1&amp;"",0)),0)</f>
        <v>2</v>
      </c>
      <c r="P82" s="151"/>
      <c r="Q82" s="150" cm="1">
        <f t="array" ref="Q82">IFERROR(INDEX(PQ_Aug!$B$2:$AF$1079,MATCH($C82,PQ_Aug!$A$2:$A$1079,0),MATCH(Q$3&amp;"",PQ_Aug!$B$1:$AF$1&amp;"",0)),0)</f>
        <v>1</v>
      </c>
      <c r="R82" s="150" cm="1">
        <f t="array" ref="R82">IFERROR(INDEX(PQ_Aug!$B$2:$AF$1079,MATCH($C82,PQ_Aug!$A$2:$A$1079,0),MATCH(R$3&amp;"",PQ_Aug!$B$1:$AF$1&amp;"",0)),0)</f>
        <v>0</v>
      </c>
      <c r="S82" s="150" cm="1">
        <f t="array" ref="S82">IFERROR(INDEX(PQ_Aug!$B$2:$AF$1079,MATCH($C82,PQ_Aug!$A$2:$A$1079,0),MATCH(S$3&amp;"",PQ_Aug!$B$1:$AF$1&amp;"",0)),0)</f>
        <v>0</v>
      </c>
      <c r="T82" s="150" cm="1">
        <f t="array" ref="T82">IFERROR(INDEX(PQ_Aug!$B$2:$AF$1079,MATCH($C82,PQ_Aug!$A$2:$A$1079,0),MATCH(T$3&amp;"",PQ_Aug!$B$1:$AF$1&amp;"",0)),0)</f>
        <v>0</v>
      </c>
      <c r="U82" s="150" cm="1">
        <f t="array" ref="U82">IFERROR(INDEX(PQ_Aug!$B$2:$AF$1079,MATCH($C82,PQ_Aug!$A$2:$A$1079,0),MATCH(U$3&amp;"",PQ_Aug!$B$1:$AF$1&amp;"",0)),0)</f>
        <v>0</v>
      </c>
      <c r="V82" s="150" cm="1">
        <f t="array" ref="V82">IFERROR(INDEX(PQ_Aug!$B$2:$AF$1079,MATCH($C82,PQ_Aug!$A$2:$A$1079,0),MATCH(V$3&amp;"",PQ_Aug!$B$1:$AF$1&amp;"",0)),0)</f>
        <v>0</v>
      </c>
      <c r="W82" s="151"/>
      <c r="X82" s="151"/>
      <c r="Y82" s="150" cm="1">
        <f t="array" ref="Y82">IFERROR(INDEX(PQ_Aug!$B$2:$AF$1079,MATCH($C82,PQ_Aug!$A$2:$A$1079,0),MATCH(Y$3&amp;"",PQ_Aug!$B$1:$AF$1&amp;"",0)),0)</f>
        <v>5</v>
      </c>
      <c r="Z82" s="150" cm="1">
        <f t="array" ref="Z82">IFERROR(INDEX(PQ_Aug!$B$2:$AF$1079,MATCH($C82,PQ_Aug!$A$2:$A$1079,0),MATCH(Z$3&amp;"",PQ_Aug!$B$1:$AF$1&amp;"",0)),0)</f>
        <v>0</v>
      </c>
      <c r="AA82" s="150" cm="1">
        <f t="array" ref="AA82">IFERROR(INDEX(PQ_Aug!$B$2:$AF$1079,MATCH($C82,PQ_Aug!$A$2:$A$1079,0),MATCH(AA$3&amp;"",PQ_Aug!$B$1:$AF$1&amp;"",0)),0)</f>
        <v>0</v>
      </c>
      <c r="AB82" s="150" cm="1">
        <f t="array" ref="AB82">IFERROR(INDEX(PQ_Aug!$B$2:$AF$1079,MATCH($C82,PQ_Aug!$A$2:$A$1079,0),MATCH(AB$3&amp;"",PQ_Aug!$B$1:$AF$1&amp;"",0)),0)</f>
        <v>0</v>
      </c>
      <c r="AC82" s="150" cm="1">
        <f t="array" ref="AC82">IFERROR(INDEX(PQ_Aug!$B$2:$AF$1079,MATCH($C82,PQ_Aug!$A$2:$A$1079,0),MATCH(AC$3&amp;"",PQ_Aug!$B$1:$AF$1&amp;"",0)),0)</f>
        <v>0</v>
      </c>
      <c r="AD82" s="151"/>
      <c r="AE82" s="150" cm="1">
        <f t="array" ref="AE82">IFERROR(INDEX(PQ_Aug!$B$2:$AF$1079,MATCH($C82,PQ_Aug!$A$2:$A$1079,0),MATCH(AE$3&amp;"",PQ_Aug!$B$1:$AF$1&amp;"",0)),0)</f>
        <v>6</v>
      </c>
      <c r="AF82" s="151"/>
      <c r="AG82" s="150"/>
      <c r="AH82" s="150"/>
      <c r="AI82" s="150"/>
      <c r="AJ82" s="150"/>
      <c r="AK82" s="151"/>
      <c r="AL82" s="150"/>
      <c r="AM82" s="152"/>
      <c r="AN82" s="150">
        <f t="shared" si="12"/>
        <v>19</v>
      </c>
      <c r="AO82" s="153">
        <f t="shared" si="10"/>
        <v>33</v>
      </c>
      <c r="AP82" s="167">
        <v>10</v>
      </c>
      <c r="AQ82" s="167" t="s">
        <v>79</v>
      </c>
      <c r="AR82" s="161"/>
      <c r="AS82" s="153"/>
      <c r="AT82" s="161"/>
      <c r="AU82" s="153"/>
      <c r="AV82" s="161"/>
      <c r="AW82" s="161"/>
      <c r="AX82" s="153">
        <f t="shared" si="13"/>
        <v>0</v>
      </c>
      <c r="AY82" s="153">
        <f t="shared" si="14"/>
        <v>0</v>
      </c>
      <c r="AZ82" s="153">
        <f t="shared" si="15"/>
        <v>0</v>
      </c>
      <c r="BA82" s="153">
        <f t="shared" si="11"/>
        <v>33</v>
      </c>
      <c r="BB82" s="160"/>
      <c r="BC82" s="30"/>
      <c r="BD82" s="30"/>
      <c r="BE82" s="30"/>
      <c r="BF82" s="30"/>
    </row>
    <row r="83" spans="1:58" ht="22.5" customHeight="1">
      <c r="A83" s="242" t="e">
        <f t="shared" si="16"/>
        <v>#REF!</v>
      </c>
      <c r="B83" s="243"/>
      <c r="C83" s="133" t="s">
        <v>97</v>
      </c>
      <c r="D83" s="148">
        <v>10</v>
      </c>
      <c r="E83" s="148">
        <v>9</v>
      </c>
      <c r="F83" s="148">
        <v>11</v>
      </c>
      <c r="G83" s="149" t="e">
        <f>Juli2026!AO80</f>
        <v>#REF!</v>
      </c>
      <c r="H83" s="150" cm="1">
        <f t="array" ref="H83">IFERROR(INDEX(PQ_Aug!$B$2:$AF$1079,MATCH($C83,PQ_Aug!$A$2:$A$1079,0),MATCH(H$3&amp;"",PQ_Aug!$B$1:$AF$1&amp;"",0)),0)</f>
        <v>0</v>
      </c>
      <c r="I83" s="151"/>
      <c r="J83" s="150" cm="1">
        <f t="array" ref="J83">IFERROR(INDEX(PQ_Aug!$B$2:$AF$1079,MATCH($C83,PQ_Aug!$A$2:$A$1079,0),MATCH(J$3&amp;"",PQ_Aug!$B$1:$AF$1&amp;"",0)),0)</f>
        <v>0</v>
      </c>
      <c r="K83" s="150" cm="1">
        <f t="array" ref="K83">IFERROR(INDEX(PQ_Aug!$B$2:$AF$1079,MATCH($C83,PQ_Aug!$A$2:$A$1079,0),MATCH(K$3&amp;"",PQ_Aug!$B$1:$AF$1&amp;"",0)),0)</f>
        <v>0</v>
      </c>
      <c r="L83" s="150" cm="1">
        <f t="array" ref="L83">IFERROR(INDEX(PQ_Aug!$B$2:$AF$1079,MATCH($C83,PQ_Aug!$A$2:$A$1079,0),MATCH(L$3&amp;"",PQ_Aug!$B$1:$AF$1&amp;"",0)),0)</f>
        <v>0</v>
      </c>
      <c r="M83" s="150" cm="1">
        <f t="array" ref="M83">IFERROR(INDEX(PQ_Aug!$B$2:$AF$1079,MATCH($C83,PQ_Aug!$A$2:$A$1079,0),MATCH(M$3&amp;"",PQ_Aug!$B$1:$AF$1&amp;"",0)),0)</f>
        <v>1</v>
      </c>
      <c r="N83" s="150" cm="1">
        <f t="array" ref="N83">IFERROR(INDEX(PQ_Aug!$B$2:$AF$1079,MATCH($C83,PQ_Aug!$A$2:$A$1079,0),MATCH(N$3&amp;"",PQ_Aug!$B$1:$AF$1&amp;"",0)),0)</f>
        <v>0</v>
      </c>
      <c r="O83" s="150" cm="1">
        <f t="array" ref="O83">IFERROR(INDEX(PQ_Aug!$B$2:$AF$1079,MATCH($C83,PQ_Aug!$A$2:$A$1079,0),MATCH(O$3&amp;"",PQ_Aug!$B$1:$AF$1&amp;"",0)),0)</f>
        <v>0</v>
      </c>
      <c r="P83" s="151"/>
      <c r="Q83" s="150" cm="1">
        <f t="array" ref="Q83">IFERROR(INDEX(PQ_Aug!$B$2:$AF$1079,MATCH($C83,PQ_Aug!$A$2:$A$1079,0),MATCH(Q$3&amp;"",PQ_Aug!$B$1:$AF$1&amp;"",0)),0)</f>
        <v>0</v>
      </c>
      <c r="R83" s="150" cm="1">
        <f t="array" ref="R83">IFERROR(INDEX(PQ_Aug!$B$2:$AF$1079,MATCH($C83,PQ_Aug!$A$2:$A$1079,0),MATCH(R$3&amp;"",PQ_Aug!$B$1:$AF$1&amp;"",0)),0)</f>
        <v>0</v>
      </c>
      <c r="S83" s="150" cm="1">
        <f t="array" ref="S83">IFERROR(INDEX(PQ_Aug!$B$2:$AF$1079,MATCH($C83,PQ_Aug!$A$2:$A$1079,0),MATCH(S$3&amp;"",PQ_Aug!$B$1:$AF$1&amp;"",0)),0)</f>
        <v>0</v>
      </c>
      <c r="T83" s="150" cm="1">
        <f t="array" ref="T83">IFERROR(INDEX(PQ_Aug!$B$2:$AF$1079,MATCH($C83,PQ_Aug!$A$2:$A$1079,0),MATCH(T$3&amp;"",PQ_Aug!$B$1:$AF$1&amp;"",0)),0)</f>
        <v>0</v>
      </c>
      <c r="U83" s="150" cm="1">
        <f t="array" ref="U83">IFERROR(INDEX(PQ_Aug!$B$2:$AF$1079,MATCH($C83,PQ_Aug!$A$2:$A$1079,0),MATCH(U$3&amp;"",PQ_Aug!$B$1:$AF$1&amp;"",0)),0)</f>
        <v>0</v>
      </c>
      <c r="V83" s="150" cm="1">
        <f t="array" ref="V83">IFERROR(INDEX(PQ_Aug!$B$2:$AF$1079,MATCH($C83,PQ_Aug!$A$2:$A$1079,0),MATCH(V$3&amp;"",PQ_Aug!$B$1:$AF$1&amp;"",0)),0)</f>
        <v>0</v>
      </c>
      <c r="W83" s="151"/>
      <c r="X83" s="151"/>
      <c r="Y83" s="150" cm="1">
        <f t="array" ref="Y83">IFERROR(INDEX(PQ_Aug!$B$2:$AF$1079,MATCH($C83,PQ_Aug!$A$2:$A$1079,0),MATCH(Y$3&amp;"",PQ_Aug!$B$1:$AF$1&amp;"",0)),0)</f>
        <v>0</v>
      </c>
      <c r="Z83" s="150" cm="1">
        <f t="array" ref="Z83">IFERROR(INDEX(PQ_Aug!$B$2:$AF$1079,MATCH($C83,PQ_Aug!$A$2:$A$1079,0),MATCH(Z$3&amp;"",PQ_Aug!$B$1:$AF$1&amp;"",0)),0)</f>
        <v>0</v>
      </c>
      <c r="AA83" s="150" cm="1">
        <f t="array" ref="AA83">IFERROR(INDEX(PQ_Aug!$B$2:$AF$1079,MATCH($C83,PQ_Aug!$A$2:$A$1079,0),MATCH(AA$3&amp;"",PQ_Aug!$B$1:$AF$1&amp;"",0)),0)</f>
        <v>0</v>
      </c>
      <c r="AB83" s="150" cm="1">
        <f t="array" ref="AB83">IFERROR(INDEX(PQ_Aug!$B$2:$AF$1079,MATCH($C83,PQ_Aug!$A$2:$A$1079,0),MATCH(AB$3&amp;"",PQ_Aug!$B$1:$AF$1&amp;"",0)),0)</f>
        <v>0</v>
      </c>
      <c r="AC83" s="150" cm="1">
        <f t="array" ref="AC83">IFERROR(INDEX(PQ_Aug!$B$2:$AF$1079,MATCH($C83,PQ_Aug!$A$2:$A$1079,0),MATCH(AC$3&amp;"",PQ_Aug!$B$1:$AF$1&amp;"",0)),0)</f>
        <v>0</v>
      </c>
      <c r="AD83" s="151"/>
      <c r="AE83" s="150" cm="1">
        <f t="array" ref="AE83">IFERROR(INDEX(PQ_Aug!$B$2:$AF$1079,MATCH($C83,PQ_Aug!$A$2:$A$1079,0),MATCH(AE$3&amp;"",PQ_Aug!$B$1:$AF$1&amp;"",0)),0)</f>
        <v>0</v>
      </c>
      <c r="AF83" s="151"/>
      <c r="AG83" s="150"/>
      <c r="AH83" s="150"/>
      <c r="AI83" s="150"/>
      <c r="AJ83" s="150"/>
      <c r="AK83" s="151"/>
      <c r="AL83" s="150"/>
      <c r="AM83" s="152"/>
      <c r="AN83" s="150">
        <f t="shared" si="12"/>
        <v>1</v>
      </c>
      <c r="AO83" s="153" t="e">
        <f t="shared" si="10"/>
        <v>#REF!</v>
      </c>
      <c r="AP83" s="167">
        <v>5</v>
      </c>
      <c r="AQ83" s="167" t="s">
        <v>79</v>
      </c>
      <c r="AR83" s="161"/>
      <c r="AS83" s="153"/>
      <c r="AT83" s="161"/>
      <c r="AU83" s="153"/>
      <c r="AV83" s="161"/>
      <c r="AW83" s="161"/>
      <c r="AX83" s="153">
        <f t="shared" si="13"/>
        <v>0</v>
      </c>
      <c r="AY83" s="153">
        <f t="shared" si="14"/>
        <v>0</v>
      </c>
      <c r="AZ83" s="153">
        <f t="shared" si="15"/>
        <v>0</v>
      </c>
      <c r="BA83" s="153" t="e">
        <f t="shared" si="11"/>
        <v>#REF!</v>
      </c>
      <c r="BB83" s="160"/>
      <c r="BC83" s="30"/>
      <c r="BD83" s="30"/>
      <c r="BE83" s="30"/>
      <c r="BF83" s="30"/>
    </row>
    <row r="84" spans="1:58" ht="22.5" customHeight="1">
      <c r="A84" s="233" t="e">
        <f t="shared" si="16"/>
        <v>#REF!</v>
      </c>
      <c r="B84" s="234"/>
      <c r="C84" s="135" t="s">
        <v>479</v>
      </c>
      <c r="D84" s="148">
        <v>60</v>
      </c>
      <c r="E84" s="148">
        <v>38</v>
      </c>
      <c r="F84" s="148">
        <v>38</v>
      </c>
      <c r="G84" s="149" t="e">
        <f>Juli2026!AO81</f>
        <v>#REF!</v>
      </c>
      <c r="H84" s="150" cm="1">
        <f t="array" ref="H84">IFERROR(INDEX(PQ_Aug!$B$2:$AF$1079,MATCH($C84,PQ_Aug!$A$2:$A$1079,0),MATCH(H$3&amp;"",PQ_Aug!$B$1:$AF$1&amp;"",0)),0)</f>
        <v>1</v>
      </c>
      <c r="I84" s="151"/>
      <c r="J84" s="150" cm="1">
        <f t="array" ref="J84">IFERROR(INDEX(PQ_Aug!$B$2:$AF$1079,MATCH($C84,PQ_Aug!$A$2:$A$1079,0),MATCH(J$3&amp;"",PQ_Aug!$B$1:$AF$1&amp;"",0)),0)</f>
        <v>0</v>
      </c>
      <c r="K84" s="150" cm="1">
        <f t="array" ref="K84">IFERROR(INDEX(PQ_Aug!$B$2:$AF$1079,MATCH($C84,PQ_Aug!$A$2:$A$1079,0),MATCH(K$3&amp;"",PQ_Aug!$B$1:$AF$1&amp;"",0)),0)</f>
        <v>0</v>
      </c>
      <c r="L84" s="150" cm="1">
        <f t="array" ref="L84">IFERROR(INDEX(PQ_Aug!$B$2:$AF$1079,MATCH($C84,PQ_Aug!$A$2:$A$1079,0),MATCH(L$3&amp;"",PQ_Aug!$B$1:$AF$1&amp;"",0)),0)</f>
        <v>1</v>
      </c>
      <c r="M84" s="150" cm="1">
        <f t="array" ref="M84">IFERROR(INDEX(PQ_Aug!$B$2:$AF$1079,MATCH($C84,PQ_Aug!$A$2:$A$1079,0),MATCH(M$3&amp;"",PQ_Aug!$B$1:$AF$1&amp;"",0)),0)</f>
        <v>0</v>
      </c>
      <c r="N84" s="150" cm="1">
        <f t="array" ref="N84">IFERROR(INDEX(PQ_Aug!$B$2:$AF$1079,MATCH($C84,PQ_Aug!$A$2:$A$1079,0),MATCH(N$3&amp;"",PQ_Aug!$B$1:$AF$1&amp;"",0)),0)</f>
        <v>1</v>
      </c>
      <c r="O84" s="150" cm="1">
        <f t="array" ref="O84">IFERROR(INDEX(PQ_Aug!$B$2:$AF$1079,MATCH($C84,PQ_Aug!$A$2:$A$1079,0),MATCH(O$3&amp;"",PQ_Aug!$B$1:$AF$1&amp;"",0)),0)</f>
        <v>0</v>
      </c>
      <c r="P84" s="151"/>
      <c r="Q84" s="150" cm="1">
        <f t="array" ref="Q84">IFERROR(INDEX(PQ_Aug!$B$2:$AF$1079,MATCH($C84,PQ_Aug!$A$2:$A$1079,0),MATCH(Q$3&amp;"",PQ_Aug!$B$1:$AF$1&amp;"",0)),0)</f>
        <v>8</v>
      </c>
      <c r="R84" s="150" cm="1">
        <f t="array" ref="R84">IFERROR(INDEX(PQ_Aug!$B$2:$AF$1079,MATCH($C84,PQ_Aug!$A$2:$A$1079,0),MATCH(R$3&amp;"",PQ_Aug!$B$1:$AF$1&amp;"",0)),0)</f>
        <v>1</v>
      </c>
      <c r="S84" s="150" cm="1">
        <f t="array" ref="S84">IFERROR(INDEX(PQ_Aug!$B$2:$AF$1079,MATCH($C84,PQ_Aug!$A$2:$A$1079,0),MATCH(S$3&amp;"",PQ_Aug!$B$1:$AF$1&amp;"",0)),0)</f>
        <v>0</v>
      </c>
      <c r="T84" s="150" cm="1">
        <f t="array" ref="T84">IFERROR(INDEX(PQ_Aug!$B$2:$AF$1079,MATCH($C84,PQ_Aug!$A$2:$A$1079,0),MATCH(T$3&amp;"",PQ_Aug!$B$1:$AF$1&amp;"",0)),0)</f>
        <v>0</v>
      </c>
      <c r="U84" s="150" cm="1">
        <f t="array" ref="U84">IFERROR(INDEX(PQ_Aug!$B$2:$AF$1079,MATCH($C84,PQ_Aug!$A$2:$A$1079,0),MATCH(U$3&amp;"",PQ_Aug!$B$1:$AF$1&amp;"",0)),0)</f>
        <v>4</v>
      </c>
      <c r="V84" s="150" cm="1">
        <f t="array" ref="V84">IFERROR(INDEX(PQ_Aug!$B$2:$AF$1079,MATCH($C84,PQ_Aug!$A$2:$A$1079,0),MATCH(V$3&amp;"",PQ_Aug!$B$1:$AF$1&amp;"",0)),0)</f>
        <v>0</v>
      </c>
      <c r="W84" s="151"/>
      <c r="X84" s="151"/>
      <c r="Y84" s="150" cm="1">
        <f t="array" ref="Y84">IFERROR(INDEX(PQ_Aug!$B$2:$AF$1079,MATCH($C84,PQ_Aug!$A$2:$A$1079,0),MATCH(Y$3&amp;"",PQ_Aug!$B$1:$AF$1&amp;"",0)),0)</f>
        <v>1</v>
      </c>
      <c r="Z84" s="150" cm="1">
        <f t="array" ref="Z84">IFERROR(INDEX(PQ_Aug!$B$2:$AF$1079,MATCH($C84,PQ_Aug!$A$2:$A$1079,0),MATCH(Z$3&amp;"",PQ_Aug!$B$1:$AF$1&amp;"",0)),0)</f>
        <v>1</v>
      </c>
      <c r="AA84" s="150" cm="1">
        <f t="array" ref="AA84">IFERROR(INDEX(PQ_Aug!$B$2:$AF$1079,MATCH($C84,PQ_Aug!$A$2:$A$1079,0),MATCH(AA$3&amp;"",PQ_Aug!$B$1:$AF$1&amp;"",0)),0)</f>
        <v>1</v>
      </c>
      <c r="AB84" s="150" cm="1">
        <f t="array" ref="AB84">IFERROR(INDEX(PQ_Aug!$B$2:$AF$1079,MATCH($C84,PQ_Aug!$A$2:$A$1079,0),MATCH(AB$3&amp;"",PQ_Aug!$B$1:$AF$1&amp;"",0)),0)</f>
        <v>1</v>
      </c>
      <c r="AC84" s="150" cm="1">
        <f t="array" ref="AC84">IFERROR(INDEX(PQ_Aug!$B$2:$AF$1079,MATCH($C84,PQ_Aug!$A$2:$A$1079,0),MATCH(AC$3&amp;"",PQ_Aug!$B$1:$AF$1&amp;"",0)),0)</f>
        <v>0</v>
      </c>
      <c r="AD84" s="151"/>
      <c r="AE84" s="150" cm="1">
        <f t="array" ref="AE84">IFERROR(INDEX(PQ_Aug!$B$2:$AF$1079,MATCH($C84,PQ_Aug!$A$2:$A$1079,0),MATCH(AE$3&amp;"",PQ_Aug!$B$1:$AF$1&amp;"",0)),0)</f>
        <v>3</v>
      </c>
      <c r="AF84" s="151"/>
      <c r="AG84" s="150"/>
      <c r="AH84" s="150"/>
      <c r="AI84" s="150"/>
      <c r="AJ84" s="150"/>
      <c r="AK84" s="151"/>
      <c r="AL84" s="150"/>
      <c r="AM84" s="152">
        <v>4</v>
      </c>
      <c r="AN84" s="150">
        <f t="shared" si="12"/>
        <v>27</v>
      </c>
      <c r="AO84" s="153" t="e">
        <f t="shared" si="10"/>
        <v>#REF!</v>
      </c>
      <c r="AP84" s="167">
        <v>20</v>
      </c>
      <c r="AQ84" s="167" t="s">
        <v>21</v>
      </c>
      <c r="AR84" s="161">
        <v>46238</v>
      </c>
      <c r="AS84" s="153">
        <v>1</v>
      </c>
      <c r="AT84" s="161"/>
      <c r="AU84" s="153"/>
      <c r="AV84" s="161">
        <v>46245</v>
      </c>
      <c r="AW84" s="161"/>
      <c r="AX84" s="153">
        <f t="shared" si="13"/>
        <v>60</v>
      </c>
      <c r="AY84" s="153">
        <f t="shared" si="14"/>
        <v>0</v>
      </c>
      <c r="AZ84" s="153">
        <f t="shared" si="15"/>
        <v>60</v>
      </c>
      <c r="BA84" s="153" t="e">
        <f t="shared" si="11"/>
        <v>#REF!</v>
      </c>
      <c r="BB84" s="160"/>
      <c r="BC84" s="30"/>
      <c r="BD84" s="30"/>
      <c r="BE84" s="30"/>
      <c r="BF84" s="30"/>
    </row>
    <row r="85" spans="1:58" ht="22.5" customHeight="1">
      <c r="A85" s="233" t="e">
        <f t="shared" si="16"/>
        <v>#REF!</v>
      </c>
      <c r="B85" s="234"/>
      <c r="C85" s="135" t="s">
        <v>480</v>
      </c>
      <c r="D85" s="148">
        <v>60</v>
      </c>
      <c r="E85" s="148">
        <v>90</v>
      </c>
      <c r="F85" s="148">
        <v>20</v>
      </c>
      <c r="G85" s="149" t="e">
        <f>Juli2026!AO82</f>
        <v>#REF!</v>
      </c>
      <c r="H85" s="150" cm="1">
        <f t="array" ref="H85">IFERROR(INDEX(PQ_Aug!$B$2:$AF$1079,MATCH($C85,PQ_Aug!$A$2:$A$1079,0),MATCH(H$3&amp;"",PQ_Aug!$B$1:$AF$1&amp;"",0)),0)</f>
        <v>1</v>
      </c>
      <c r="I85" s="151"/>
      <c r="J85" s="150" cm="1">
        <f t="array" ref="J85">IFERROR(INDEX(PQ_Aug!$B$2:$AF$1079,MATCH($C85,PQ_Aug!$A$2:$A$1079,0),MATCH(J$3&amp;"",PQ_Aug!$B$1:$AF$1&amp;"",0)),0)</f>
        <v>0</v>
      </c>
      <c r="K85" s="150" cm="1">
        <f t="array" ref="K85">IFERROR(INDEX(PQ_Aug!$B$2:$AF$1079,MATCH($C85,PQ_Aug!$A$2:$A$1079,0),MATCH(K$3&amp;"",PQ_Aug!$B$1:$AF$1&amp;"",0)),0)</f>
        <v>0</v>
      </c>
      <c r="L85" s="150" cm="1">
        <f t="array" ref="L85">IFERROR(INDEX(PQ_Aug!$B$2:$AF$1079,MATCH($C85,PQ_Aug!$A$2:$A$1079,0),MATCH(L$3&amp;"",PQ_Aug!$B$1:$AF$1&amp;"",0)),0)</f>
        <v>0</v>
      </c>
      <c r="M85" s="150" cm="1">
        <f t="array" ref="M85">IFERROR(INDEX(PQ_Aug!$B$2:$AF$1079,MATCH($C85,PQ_Aug!$A$2:$A$1079,0),MATCH(M$3&amp;"",PQ_Aug!$B$1:$AF$1&amp;"",0)),0)</f>
        <v>0</v>
      </c>
      <c r="N85" s="150" cm="1">
        <f t="array" ref="N85">IFERROR(INDEX(PQ_Aug!$B$2:$AF$1079,MATCH($C85,PQ_Aug!$A$2:$A$1079,0),MATCH(N$3&amp;"",PQ_Aug!$B$1:$AF$1&amp;"",0)),0)</f>
        <v>0</v>
      </c>
      <c r="O85" s="150" cm="1">
        <f t="array" ref="O85">IFERROR(INDEX(PQ_Aug!$B$2:$AF$1079,MATCH($C85,PQ_Aug!$A$2:$A$1079,0),MATCH(O$3&amp;"",PQ_Aug!$B$1:$AF$1&amp;"",0)),0)</f>
        <v>1</v>
      </c>
      <c r="P85" s="151"/>
      <c r="Q85" s="150" cm="1">
        <f t="array" ref="Q85">IFERROR(INDEX(PQ_Aug!$B$2:$AF$1079,MATCH($C85,PQ_Aug!$A$2:$A$1079,0),MATCH(Q$3&amp;"",PQ_Aug!$B$1:$AF$1&amp;"",0)),0)</f>
        <v>0</v>
      </c>
      <c r="R85" s="150" cm="1">
        <f t="array" ref="R85">IFERROR(INDEX(PQ_Aug!$B$2:$AF$1079,MATCH($C85,PQ_Aug!$A$2:$A$1079,0),MATCH(R$3&amp;"",PQ_Aug!$B$1:$AF$1&amp;"",0)),0)</f>
        <v>1</v>
      </c>
      <c r="S85" s="150" cm="1">
        <f t="array" ref="S85">IFERROR(INDEX(PQ_Aug!$B$2:$AF$1079,MATCH($C85,PQ_Aug!$A$2:$A$1079,0),MATCH(S$3&amp;"",PQ_Aug!$B$1:$AF$1&amp;"",0)),0)</f>
        <v>0</v>
      </c>
      <c r="T85" s="150" cm="1">
        <f t="array" ref="T85">IFERROR(INDEX(PQ_Aug!$B$2:$AF$1079,MATCH($C85,PQ_Aug!$A$2:$A$1079,0),MATCH(T$3&amp;"",PQ_Aug!$B$1:$AF$1&amp;"",0)),0)</f>
        <v>0</v>
      </c>
      <c r="U85" s="150" cm="1">
        <f t="array" ref="U85">IFERROR(INDEX(PQ_Aug!$B$2:$AF$1079,MATCH($C85,PQ_Aug!$A$2:$A$1079,0),MATCH(U$3&amp;"",PQ_Aug!$B$1:$AF$1&amp;"",0)),0)</f>
        <v>0</v>
      </c>
      <c r="V85" s="150" cm="1">
        <f t="array" ref="V85">IFERROR(INDEX(PQ_Aug!$B$2:$AF$1079,MATCH($C85,PQ_Aug!$A$2:$A$1079,0),MATCH(V$3&amp;"",PQ_Aug!$B$1:$AF$1&amp;"",0)),0)</f>
        <v>0</v>
      </c>
      <c r="W85" s="151"/>
      <c r="X85" s="151"/>
      <c r="Y85" s="150" cm="1">
        <f t="array" ref="Y85">IFERROR(INDEX(PQ_Aug!$B$2:$AF$1079,MATCH($C85,PQ_Aug!$A$2:$A$1079,0),MATCH(Y$3&amp;"",PQ_Aug!$B$1:$AF$1&amp;"",0)),0)</f>
        <v>0</v>
      </c>
      <c r="Z85" s="150" cm="1">
        <f t="array" ref="Z85">IFERROR(INDEX(PQ_Aug!$B$2:$AF$1079,MATCH($C85,PQ_Aug!$A$2:$A$1079,0),MATCH(Z$3&amp;"",PQ_Aug!$B$1:$AF$1&amp;"",0)),0)</f>
        <v>1</v>
      </c>
      <c r="AA85" s="150" cm="1">
        <f t="array" ref="AA85">IFERROR(INDEX(PQ_Aug!$B$2:$AF$1079,MATCH($C85,PQ_Aug!$A$2:$A$1079,0),MATCH(AA$3&amp;"",PQ_Aug!$B$1:$AF$1&amp;"",0)),0)</f>
        <v>0</v>
      </c>
      <c r="AB85" s="150" cm="1">
        <f t="array" ref="AB85">IFERROR(INDEX(PQ_Aug!$B$2:$AF$1079,MATCH($C85,PQ_Aug!$A$2:$A$1079,0),MATCH(AB$3&amp;"",PQ_Aug!$B$1:$AF$1&amp;"",0)),0)</f>
        <v>0</v>
      </c>
      <c r="AC85" s="150" cm="1">
        <f t="array" ref="AC85">IFERROR(INDEX(PQ_Aug!$B$2:$AF$1079,MATCH($C85,PQ_Aug!$A$2:$A$1079,0),MATCH(AC$3&amp;"",PQ_Aug!$B$1:$AF$1&amp;"",0)),0)</f>
        <v>0</v>
      </c>
      <c r="AD85" s="151"/>
      <c r="AE85" s="150" cm="1">
        <f t="array" ref="AE85">IFERROR(INDEX(PQ_Aug!$B$2:$AF$1079,MATCH($C85,PQ_Aug!$A$2:$A$1079,0),MATCH(AE$3&amp;"",PQ_Aug!$B$1:$AF$1&amp;"",0)),0)</f>
        <v>0</v>
      </c>
      <c r="AF85" s="151"/>
      <c r="AG85" s="150"/>
      <c r="AH85" s="150"/>
      <c r="AI85" s="150"/>
      <c r="AJ85" s="150"/>
      <c r="AK85" s="151"/>
      <c r="AL85" s="150"/>
      <c r="AM85" s="152">
        <v>5</v>
      </c>
      <c r="AN85" s="150">
        <f t="shared" si="12"/>
        <v>9</v>
      </c>
      <c r="AO85" s="153" t="e">
        <f t="shared" si="10"/>
        <v>#REF!</v>
      </c>
      <c r="AP85" s="167">
        <v>20</v>
      </c>
      <c r="AQ85" s="167" t="s">
        <v>21</v>
      </c>
      <c r="AR85" s="161">
        <v>46238</v>
      </c>
      <c r="AS85" s="153">
        <v>1</v>
      </c>
      <c r="AT85" s="161"/>
      <c r="AU85" s="153"/>
      <c r="AV85" s="161">
        <v>46245</v>
      </c>
      <c r="AW85" s="161"/>
      <c r="AX85" s="153">
        <f t="shared" si="13"/>
        <v>60</v>
      </c>
      <c r="AY85" s="153">
        <f t="shared" si="14"/>
        <v>0</v>
      </c>
      <c r="AZ85" s="153">
        <f t="shared" si="15"/>
        <v>60</v>
      </c>
      <c r="BA85" s="153" t="e">
        <f t="shared" si="11"/>
        <v>#REF!</v>
      </c>
      <c r="BB85" s="160"/>
      <c r="BC85" s="30"/>
      <c r="BD85" s="30"/>
      <c r="BE85" s="30"/>
      <c r="BF85" s="30"/>
    </row>
    <row r="86" spans="1:58" ht="22.5" customHeight="1">
      <c r="A86" s="242" t="e">
        <f t="shared" si="16"/>
        <v>#REF!</v>
      </c>
      <c r="B86" s="243"/>
      <c r="C86" s="135" t="s">
        <v>481</v>
      </c>
      <c r="D86" s="148">
        <v>60</v>
      </c>
      <c r="E86" s="148">
        <v>3</v>
      </c>
      <c r="F86" s="148">
        <v>3</v>
      </c>
      <c r="G86" s="149" t="e">
        <f>Juli2026!AO83</f>
        <v>#REF!</v>
      </c>
      <c r="H86" s="150" cm="1">
        <f t="array" ref="H86">IFERROR(INDEX(PQ_Aug!$B$2:$AF$1079,MATCH($C86,PQ_Aug!$A$2:$A$1079,0),MATCH(H$3&amp;"",PQ_Aug!$B$1:$AF$1&amp;"",0)),0)</f>
        <v>1</v>
      </c>
      <c r="I86" s="151"/>
      <c r="J86" s="150" cm="1">
        <f t="array" ref="J86">IFERROR(INDEX(PQ_Aug!$B$2:$AF$1079,MATCH($C86,PQ_Aug!$A$2:$A$1079,0),MATCH(J$3&amp;"",PQ_Aug!$B$1:$AF$1&amp;"",0)),0)</f>
        <v>1</v>
      </c>
      <c r="K86" s="150" cm="1">
        <f t="array" ref="K86">IFERROR(INDEX(PQ_Aug!$B$2:$AF$1079,MATCH($C86,PQ_Aug!$A$2:$A$1079,0),MATCH(K$3&amp;"",PQ_Aug!$B$1:$AF$1&amp;"",0)),0)</f>
        <v>2</v>
      </c>
      <c r="L86" s="150" cm="1">
        <f t="array" ref="L86">IFERROR(INDEX(PQ_Aug!$B$2:$AF$1079,MATCH($C86,PQ_Aug!$A$2:$A$1079,0),MATCH(L$3&amp;"",PQ_Aug!$B$1:$AF$1&amp;"",0)),0)</f>
        <v>1</v>
      </c>
      <c r="M86" s="150" cm="1">
        <f t="array" ref="M86">IFERROR(INDEX(PQ_Aug!$B$2:$AF$1079,MATCH($C86,PQ_Aug!$A$2:$A$1079,0),MATCH(M$3&amp;"",PQ_Aug!$B$1:$AF$1&amp;"",0)),0)</f>
        <v>0</v>
      </c>
      <c r="N86" s="150" cm="1">
        <f t="array" ref="N86">IFERROR(INDEX(PQ_Aug!$B$2:$AF$1079,MATCH($C86,PQ_Aug!$A$2:$A$1079,0),MATCH(N$3&amp;"",PQ_Aug!$B$1:$AF$1&amp;"",0)),0)</f>
        <v>1</v>
      </c>
      <c r="O86" s="150" cm="1">
        <f t="array" ref="O86">IFERROR(INDEX(PQ_Aug!$B$2:$AF$1079,MATCH($C86,PQ_Aug!$A$2:$A$1079,0),MATCH(O$3&amp;"",PQ_Aug!$B$1:$AF$1&amp;"",0)),0)</f>
        <v>2</v>
      </c>
      <c r="P86" s="151"/>
      <c r="Q86" s="150" cm="1">
        <f t="array" ref="Q86">IFERROR(INDEX(PQ_Aug!$B$2:$AF$1079,MATCH($C86,PQ_Aug!$A$2:$A$1079,0),MATCH(Q$3&amp;"",PQ_Aug!$B$1:$AF$1&amp;"",0)),0)</f>
        <v>1</v>
      </c>
      <c r="R86" s="150" cm="1">
        <f t="array" ref="R86">IFERROR(INDEX(PQ_Aug!$B$2:$AF$1079,MATCH($C86,PQ_Aug!$A$2:$A$1079,0),MATCH(R$3&amp;"",PQ_Aug!$B$1:$AF$1&amp;"",0)),0)</f>
        <v>1</v>
      </c>
      <c r="S86" s="150" cm="1">
        <f t="array" ref="S86">IFERROR(INDEX(PQ_Aug!$B$2:$AF$1079,MATCH($C86,PQ_Aug!$A$2:$A$1079,0),MATCH(S$3&amp;"",PQ_Aug!$B$1:$AF$1&amp;"",0)),0)</f>
        <v>1</v>
      </c>
      <c r="T86" s="150" cm="1">
        <f t="array" ref="T86">IFERROR(INDEX(PQ_Aug!$B$2:$AF$1079,MATCH($C86,PQ_Aug!$A$2:$A$1079,0),MATCH(T$3&amp;"",PQ_Aug!$B$1:$AF$1&amp;"",0)),0)</f>
        <v>0</v>
      </c>
      <c r="U86" s="150" cm="1">
        <f t="array" ref="U86">IFERROR(INDEX(PQ_Aug!$B$2:$AF$1079,MATCH($C86,PQ_Aug!$A$2:$A$1079,0),MATCH(U$3&amp;"",PQ_Aug!$B$1:$AF$1&amp;"",0)),0)</f>
        <v>0</v>
      </c>
      <c r="V86" s="150" cm="1">
        <f t="array" ref="V86">IFERROR(INDEX(PQ_Aug!$B$2:$AF$1079,MATCH($C86,PQ_Aug!$A$2:$A$1079,0),MATCH(V$3&amp;"",PQ_Aug!$B$1:$AF$1&amp;"",0)),0)</f>
        <v>0</v>
      </c>
      <c r="W86" s="151"/>
      <c r="X86" s="151"/>
      <c r="Y86" s="150" cm="1">
        <f t="array" ref="Y86">IFERROR(INDEX(PQ_Aug!$B$2:$AF$1079,MATCH($C86,PQ_Aug!$A$2:$A$1079,0),MATCH(Y$3&amp;"",PQ_Aug!$B$1:$AF$1&amp;"",0)),0)</f>
        <v>6</v>
      </c>
      <c r="Z86" s="150" cm="1">
        <f t="array" ref="Z86">IFERROR(INDEX(PQ_Aug!$B$2:$AF$1079,MATCH($C86,PQ_Aug!$A$2:$A$1079,0),MATCH(Z$3&amp;"",PQ_Aug!$B$1:$AF$1&amp;"",0)),0)</f>
        <v>1</v>
      </c>
      <c r="AA86" s="150" cm="1">
        <f t="array" ref="AA86">IFERROR(INDEX(PQ_Aug!$B$2:$AF$1079,MATCH($C86,PQ_Aug!$A$2:$A$1079,0),MATCH(AA$3&amp;"",PQ_Aug!$B$1:$AF$1&amp;"",0)),0)</f>
        <v>0</v>
      </c>
      <c r="AB86" s="150" cm="1">
        <f t="array" ref="AB86">IFERROR(INDEX(PQ_Aug!$B$2:$AF$1079,MATCH($C86,PQ_Aug!$A$2:$A$1079,0),MATCH(AB$3&amp;"",PQ_Aug!$B$1:$AF$1&amp;"",0)),0)</f>
        <v>0</v>
      </c>
      <c r="AC86" s="150" cm="1">
        <f t="array" ref="AC86">IFERROR(INDEX(PQ_Aug!$B$2:$AF$1079,MATCH($C86,PQ_Aug!$A$2:$A$1079,0),MATCH(AC$3&amp;"",PQ_Aug!$B$1:$AF$1&amp;"",0)),0)</f>
        <v>0</v>
      </c>
      <c r="AD86" s="151"/>
      <c r="AE86" s="150" cm="1">
        <f t="array" ref="AE86">IFERROR(INDEX(PQ_Aug!$B$2:$AF$1079,MATCH($C86,PQ_Aug!$A$2:$A$1079,0),MATCH(AE$3&amp;"",PQ_Aug!$B$1:$AF$1&amp;"",0)),0)</f>
        <v>6</v>
      </c>
      <c r="AF86" s="151"/>
      <c r="AG86" s="150"/>
      <c r="AH86" s="150"/>
      <c r="AI86" s="150"/>
      <c r="AJ86" s="150"/>
      <c r="AK86" s="151"/>
      <c r="AL86" s="150"/>
      <c r="AM86" s="152"/>
      <c r="AN86" s="150">
        <f t="shared" si="12"/>
        <v>24</v>
      </c>
      <c r="AO86" s="153" t="e">
        <f t="shared" si="10"/>
        <v>#REF!</v>
      </c>
      <c r="AP86" s="167">
        <v>25</v>
      </c>
      <c r="AQ86" s="167" t="s">
        <v>21</v>
      </c>
      <c r="AR86" s="161"/>
      <c r="AS86" s="153"/>
      <c r="AT86" s="161"/>
      <c r="AU86" s="153"/>
      <c r="AV86" s="161"/>
      <c r="AW86" s="161"/>
      <c r="AX86" s="153">
        <f t="shared" si="13"/>
        <v>0</v>
      </c>
      <c r="AY86" s="153">
        <f t="shared" si="14"/>
        <v>0</v>
      </c>
      <c r="AZ86" s="153">
        <f t="shared" si="15"/>
        <v>0</v>
      </c>
      <c r="BA86" s="153" t="e">
        <f t="shared" si="11"/>
        <v>#REF!</v>
      </c>
      <c r="BB86" s="160"/>
      <c r="BC86" s="30"/>
      <c r="BD86" s="30"/>
      <c r="BE86" s="30"/>
      <c r="BF86" s="30"/>
    </row>
    <row r="87" spans="1:58" ht="22.5" customHeight="1">
      <c r="A87" s="233">
        <f t="shared" si="16"/>
        <v>80</v>
      </c>
      <c r="B87" s="234"/>
      <c r="C87" s="135" t="s">
        <v>473</v>
      </c>
      <c r="D87" s="148">
        <v>20</v>
      </c>
      <c r="E87" s="148"/>
      <c r="F87" s="148"/>
      <c r="G87" s="149">
        <v>0</v>
      </c>
      <c r="H87" s="245" t="s">
        <v>476</v>
      </c>
      <c r="I87" s="246"/>
      <c r="J87" s="246"/>
      <c r="K87" s="246"/>
      <c r="L87" s="246"/>
      <c r="M87" s="246"/>
      <c r="N87" s="246"/>
      <c r="O87" s="247"/>
      <c r="P87" s="151"/>
      <c r="Q87" s="150" cm="1">
        <f t="array" ref="Q87">IFERROR(INDEX(PQ_Aug!$B$2:$AF$1079,MATCH($C87,PQ_Aug!$A$2:$A$1079,0),MATCH(Q$3&amp;"",PQ_Aug!$B$1:$AF$1&amp;"",0)),0)</f>
        <v>1</v>
      </c>
      <c r="R87" s="150" cm="1">
        <f t="array" ref="R87">IFERROR(INDEX(PQ_Aug!$B$2:$AF$1079,MATCH($C87,PQ_Aug!$A$2:$A$1079,0),MATCH(R$3&amp;"",PQ_Aug!$B$1:$AF$1&amp;"",0)),0)</f>
        <v>2</v>
      </c>
      <c r="S87" s="150" cm="1">
        <f t="array" ref="S87">IFERROR(INDEX(PQ_Aug!$B$2:$AF$1079,MATCH($C87,PQ_Aug!$A$2:$A$1079,0),MATCH(S$3&amp;"",PQ_Aug!$B$1:$AF$1&amp;"",0)),0)</f>
        <v>1</v>
      </c>
      <c r="T87" s="150" cm="1">
        <f t="array" ref="T87">IFERROR(INDEX(PQ_Aug!$B$2:$AF$1079,MATCH($C87,PQ_Aug!$A$2:$A$1079,0),MATCH(T$3&amp;"",PQ_Aug!$B$1:$AF$1&amp;"",0)),0)</f>
        <v>0</v>
      </c>
      <c r="U87" s="150" cm="1">
        <f t="array" ref="U87">IFERROR(INDEX(PQ_Aug!$B$2:$AF$1079,MATCH($C87,PQ_Aug!$A$2:$A$1079,0),MATCH(U$3&amp;"",PQ_Aug!$B$1:$AF$1&amp;"",0)),0)</f>
        <v>0</v>
      </c>
      <c r="V87" s="150" cm="1">
        <f t="array" ref="V87">IFERROR(INDEX(PQ_Aug!$B$2:$AF$1079,MATCH($C87,PQ_Aug!$A$2:$A$1079,0),MATCH(V$3&amp;"",PQ_Aug!$B$1:$AF$1&amp;"",0)),0)</f>
        <v>0</v>
      </c>
      <c r="W87" s="151"/>
      <c r="X87" s="151"/>
      <c r="Y87" s="150" cm="1">
        <f t="array" ref="Y87">IFERROR(INDEX(PQ_Aug!$B$2:$AF$1079,MATCH($C87,PQ_Aug!$A$2:$A$1079,0),MATCH(Y$3&amp;"",PQ_Aug!$B$1:$AF$1&amp;"",0)),0)</f>
        <v>5</v>
      </c>
      <c r="Z87" s="150" cm="1">
        <f t="array" ref="Z87">IFERROR(INDEX(PQ_Aug!$B$2:$AF$1079,MATCH($C87,PQ_Aug!$A$2:$A$1079,0),MATCH(Z$3&amp;"",PQ_Aug!$B$1:$AF$1&amp;"",0)),0)</f>
        <v>2</v>
      </c>
      <c r="AA87" s="150" cm="1">
        <f t="array" ref="AA87">IFERROR(INDEX(PQ_Aug!$B$2:$AF$1079,MATCH($C87,PQ_Aug!$A$2:$A$1079,0),MATCH(AA$3&amp;"",PQ_Aug!$B$1:$AF$1&amp;"",0)),0)</f>
        <v>2</v>
      </c>
      <c r="AB87" s="150" cm="1">
        <f t="array" ref="AB87">IFERROR(INDEX(PQ_Aug!$B$2:$AF$1079,MATCH($C87,PQ_Aug!$A$2:$A$1079,0),MATCH(AB$3&amp;"",PQ_Aug!$B$1:$AF$1&amp;"",0)),0)</f>
        <v>0</v>
      </c>
      <c r="AC87" s="150" cm="1">
        <f t="array" ref="AC87">IFERROR(INDEX(PQ_Aug!$B$2:$AF$1079,MATCH($C87,PQ_Aug!$A$2:$A$1079,0),MATCH(AC$3&amp;"",PQ_Aug!$B$1:$AF$1&amp;"",0)),0)</f>
        <v>1</v>
      </c>
      <c r="AD87" s="151"/>
      <c r="AE87" s="150" cm="1">
        <f t="array" ref="AE87">IFERROR(INDEX(PQ_Aug!$B$2:$AF$1079,MATCH($C87,PQ_Aug!$A$2:$A$1079,0),MATCH(AE$3&amp;"",PQ_Aug!$B$1:$AF$1&amp;"",0)),0)</f>
        <v>6</v>
      </c>
      <c r="AF87" s="151"/>
      <c r="AG87" s="150"/>
      <c r="AH87" s="150"/>
      <c r="AI87" s="150"/>
      <c r="AJ87" s="150"/>
      <c r="AK87" s="151"/>
      <c r="AL87" s="150"/>
      <c r="AM87" s="152"/>
      <c r="AN87" s="150">
        <f t="shared" ref="AN87" si="21">SUM(H87:AL87)+AM87</f>
        <v>20</v>
      </c>
      <c r="AO87" s="153">
        <f t="shared" ref="AO87" si="22">(G87-AN87)+AZ87</f>
        <v>80</v>
      </c>
      <c r="AP87" s="167">
        <v>20</v>
      </c>
      <c r="AQ87" s="167" t="s">
        <v>21</v>
      </c>
      <c r="AR87" s="161">
        <v>46238</v>
      </c>
      <c r="AS87" s="153">
        <v>5</v>
      </c>
      <c r="AT87" s="161"/>
      <c r="AU87" s="153"/>
      <c r="AV87" s="161">
        <v>46245</v>
      </c>
      <c r="AW87" s="161"/>
      <c r="AX87" s="153">
        <f t="shared" si="13"/>
        <v>100</v>
      </c>
      <c r="AY87" s="153">
        <f t="shared" si="14"/>
        <v>0</v>
      </c>
      <c r="AZ87" s="153">
        <f t="shared" si="15"/>
        <v>100</v>
      </c>
      <c r="BA87" s="153">
        <f t="shared" si="11"/>
        <v>80</v>
      </c>
      <c r="BB87" s="160"/>
      <c r="BC87" s="30"/>
      <c r="BD87" s="30"/>
      <c r="BE87" s="30"/>
      <c r="BF87" s="30"/>
    </row>
    <row r="88" spans="1:58" ht="22.5" customHeight="1">
      <c r="A88" s="233" t="e">
        <f t="shared" si="16"/>
        <v>#REF!</v>
      </c>
      <c r="B88" s="234"/>
      <c r="C88" s="135" t="s">
        <v>62</v>
      </c>
      <c r="D88" s="148">
        <v>25</v>
      </c>
      <c r="E88" s="148">
        <v>2</v>
      </c>
      <c r="F88" s="148">
        <v>1</v>
      </c>
      <c r="G88" s="149" t="e">
        <f>Juli2026!AO84</f>
        <v>#REF!</v>
      </c>
      <c r="H88" s="150" cm="1">
        <f t="array" ref="H88">IFERROR(INDEX(PQ_Aug!$B$2:$AF$1079,MATCH($C88,PQ_Aug!$A$2:$A$1079,0),MATCH(H$3&amp;"",PQ_Aug!$B$1:$AF$1&amp;"",0)),0)</f>
        <v>0</v>
      </c>
      <c r="I88" s="151"/>
      <c r="J88" s="150" cm="1">
        <f t="array" ref="J88">IFERROR(INDEX(PQ_Aug!$B$2:$AF$1079,MATCH($C88,PQ_Aug!$A$2:$A$1079,0),MATCH(J$3&amp;"",PQ_Aug!$B$1:$AF$1&amp;"",0)),0)</f>
        <v>0</v>
      </c>
      <c r="K88" s="150" cm="1">
        <f t="array" ref="K88">IFERROR(INDEX(PQ_Aug!$B$2:$AF$1079,MATCH($C88,PQ_Aug!$A$2:$A$1079,0),MATCH(K$3&amp;"",PQ_Aug!$B$1:$AF$1&amp;"",0)),0)</f>
        <v>0</v>
      </c>
      <c r="L88" s="150" cm="1">
        <f t="array" ref="L88">IFERROR(INDEX(PQ_Aug!$B$2:$AF$1079,MATCH($C88,PQ_Aug!$A$2:$A$1079,0),MATCH(L$3&amp;"",PQ_Aug!$B$1:$AF$1&amp;"",0)),0)</f>
        <v>0</v>
      </c>
      <c r="M88" s="150" cm="1">
        <f t="array" ref="M88">IFERROR(INDEX(PQ_Aug!$B$2:$AF$1079,MATCH($C88,PQ_Aug!$A$2:$A$1079,0),MATCH(M$3&amp;"",PQ_Aug!$B$1:$AF$1&amp;"",0)),0)</f>
        <v>0</v>
      </c>
      <c r="N88" s="150" cm="1">
        <f t="array" ref="N88">IFERROR(INDEX(PQ_Aug!$B$2:$AF$1079,MATCH($C88,PQ_Aug!$A$2:$A$1079,0),MATCH(N$3&amp;"",PQ_Aug!$B$1:$AF$1&amp;"",0)),0)</f>
        <v>0</v>
      </c>
      <c r="O88" s="150" cm="1">
        <f t="array" ref="O88">IFERROR(INDEX(PQ_Aug!$B$2:$AF$1079,MATCH($C88,PQ_Aug!$A$2:$A$1079,0),MATCH(O$3&amp;"",PQ_Aug!$B$1:$AF$1&amp;"",0)),0)</f>
        <v>0</v>
      </c>
      <c r="P88" s="151"/>
      <c r="Q88" s="150" cm="1">
        <f t="array" ref="Q88">IFERROR(INDEX(PQ_Aug!$B$2:$AF$1079,MATCH($C88,PQ_Aug!$A$2:$A$1079,0),MATCH(Q$3&amp;"",PQ_Aug!$B$1:$AF$1&amp;"",0)),0)</f>
        <v>2</v>
      </c>
      <c r="R88" s="150" cm="1">
        <f t="array" ref="R88">IFERROR(INDEX(PQ_Aug!$B$2:$AF$1079,MATCH($C88,PQ_Aug!$A$2:$A$1079,0),MATCH(R$3&amp;"",PQ_Aug!$B$1:$AF$1&amp;"",0)),0)</f>
        <v>2</v>
      </c>
      <c r="S88" s="150" cm="1">
        <f t="array" ref="S88">IFERROR(INDEX(PQ_Aug!$B$2:$AF$1079,MATCH($C88,PQ_Aug!$A$2:$A$1079,0),MATCH(S$3&amp;"",PQ_Aug!$B$1:$AF$1&amp;"",0)),0)</f>
        <v>0</v>
      </c>
      <c r="T88" s="150" cm="1">
        <f t="array" ref="T88">IFERROR(INDEX(PQ_Aug!$B$2:$AF$1079,MATCH($C88,PQ_Aug!$A$2:$A$1079,0),MATCH(T$3&amp;"",PQ_Aug!$B$1:$AF$1&amp;"",0)),0)</f>
        <v>0</v>
      </c>
      <c r="U88" s="150" cm="1">
        <f t="array" ref="U88">IFERROR(INDEX(PQ_Aug!$B$2:$AF$1079,MATCH($C88,PQ_Aug!$A$2:$A$1079,0),MATCH(U$3&amp;"",PQ_Aug!$B$1:$AF$1&amp;"",0)),0)</f>
        <v>0</v>
      </c>
      <c r="V88" s="150" cm="1">
        <f t="array" ref="V88">IFERROR(INDEX(PQ_Aug!$B$2:$AF$1079,MATCH($C88,PQ_Aug!$A$2:$A$1079,0),MATCH(V$3&amp;"",PQ_Aug!$B$1:$AF$1&amp;"",0)),0)</f>
        <v>0</v>
      </c>
      <c r="W88" s="151"/>
      <c r="X88" s="151"/>
      <c r="Y88" s="150" cm="1">
        <f t="array" ref="Y88">IFERROR(INDEX(PQ_Aug!$B$2:$AF$1079,MATCH($C88,PQ_Aug!$A$2:$A$1079,0),MATCH(Y$3&amp;"",PQ_Aug!$B$1:$AF$1&amp;"",0)),0)</f>
        <v>0</v>
      </c>
      <c r="Z88" s="150" cm="1">
        <f t="array" ref="Z88">IFERROR(INDEX(PQ_Aug!$B$2:$AF$1079,MATCH($C88,PQ_Aug!$A$2:$A$1079,0),MATCH(Z$3&amp;"",PQ_Aug!$B$1:$AF$1&amp;"",0)),0)</f>
        <v>1</v>
      </c>
      <c r="AA88" s="150" cm="1">
        <f t="array" ref="AA88">IFERROR(INDEX(PQ_Aug!$B$2:$AF$1079,MATCH($C88,PQ_Aug!$A$2:$A$1079,0),MATCH(AA$3&amp;"",PQ_Aug!$B$1:$AF$1&amp;"",0)),0)</f>
        <v>0</v>
      </c>
      <c r="AB88" s="150" cm="1">
        <f t="array" ref="AB88">IFERROR(INDEX(PQ_Aug!$B$2:$AF$1079,MATCH($C88,PQ_Aug!$A$2:$A$1079,0),MATCH(AB$3&amp;"",PQ_Aug!$B$1:$AF$1&amp;"",0)),0)</f>
        <v>0</v>
      </c>
      <c r="AC88" s="150" cm="1">
        <f t="array" ref="AC88">IFERROR(INDEX(PQ_Aug!$B$2:$AF$1079,MATCH($C88,PQ_Aug!$A$2:$A$1079,0),MATCH(AC$3&amp;"",PQ_Aug!$B$1:$AF$1&amp;"",0)),0)</f>
        <v>1</v>
      </c>
      <c r="AD88" s="151"/>
      <c r="AE88" s="150" cm="1">
        <f t="array" ref="AE88">IFERROR(INDEX(PQ_Aug!$B$2:$AF$1079,MATCH($C88,PQ_Aug!$A$2:$A$1079,0),MATCH(AE$3&amp;"",PQ_Aug!$B$1:$AF$1&amp;"",0)),0)</f>
        <v>1</v>
      </c>
      <c r="AF88" s="151"/>
      <c r="AG88" s="150"/>
      <c r="AH88" s="150"/>
      <c r="AI88" s="150"/>
      <c r="AJ88" s="150"/>
      <c r="AK88" s="151"/>
      <c r="AL88" s="150"/>
      <c r="AM88" s="152"/>
      <c r="AN88" s="150">
        <f t="shared" si="12"/>
        <v>7</v>
      </c>
      <c r="AO88" s="153" t="e">
        <f t="shared" si="10"/>
        <v>#REF!</v>
      </c>
      <c r="AP88" s="167">
        <v>10</v>
      </c>
      <c r="AQ88" s="167" t="s">
        <v>21</v>
      </c>
      <c r="AR88" s="161"/>
      <c r="AS88" s="153"/>
      <c r="AT88" s="161"/>
      <c r="AU88" s="153"/>
      <c r="AV88" s="161"/>
      <c r="AW88" s="161"/>
      <c r="AX88" s="153">
        <f t="shared" si="13"/>
        <v>0</v>
      </c>
      <c r="AY88" s="153">
        <f t="shared" si="14"/>
        <v>0</v>
      </c>
      <c r="AZ88" s="153">
        <f t="shared" si="15"/>
        <v>0</v>
      </c>
      <c r="BA88" s="153" t="e">
        <f t="shared" si="11"/>
        <v>#REF!</v>
      </c>
      <c r="BB88" s="160"/>
      <c r="BC88" s="30"/>
      <c r="BD88" s="30"/>
      <c r="BE88" s="30"/>
      <c r="BF88" s="30"/>
    </row>
    <row r="89" spans="1:58" ht="22.5" customHeight="1">
      <c r="A89" s="242" t="e">
        <f t="shared" si="16"/>
        <v>#REF!</v>
      </c>
      <c r="B89" s="243"/>
      <c r="C89" s="135" t="s">
        <v>83</v>
      </c>
      <c r="D89" s="148">
        <v>25</v>
      </c>
      <c r="E89" s="148">
        <v>5</v>
      </c>
      <c r="F89" s="148"/>
      <c r="G89" s="149" t="e">
        <f>Juli2026!AO85</f>
        <v>#REF!</v>
      </c>
      <c r="H89" s="150" cm="1">
        <f t="array" ref="H89">IFERROR(INDEX(PQ_Aug!$B$2:$AF$1079,MATCH($C89,PQ_Aug!$A$2:$A$1079,0),MATCH(H$3&amp;"",PQ_Aug!$B$1:$AF$1&amp;"",0)),0)</f>
        <v>0</v>
      </c>
      <c r="I89" s="151"/>
      <c r="J89" s="150" cm="1">
        <f t="array" ref="J89">IFERROR(INDEX(PQ_Aug!$B$2:$AF$1079,MATCH($C89,PQ_Aug!$A$2:$A$1079,0),MATCH(J$3&amp;"",PQ_Aug!$B$1:$AF$1&amp;"",0)),0)</f>
        <v>0</v>
      </c>
      <c r="K89" s="150" cm="1">
        <f t="array" ref="K89">IFERROR(INDEX(PQ_Aug!$B$2:$AF$1079,MATCH($C89,PQ_Aug!$A$2:$A$1079,0),MATCH(K$3&amp;"",PQ_Aug!$B$1:$AF$1&amp;"",0)),0)</f>
        <v>0</v>
      </c>
      <c r="L89" s="150" cm="1">
        <f t="array" ref="L89">IFERROR(INDEX(PQ_Aug!$B$2:$AF$1079,MATCH($C89,PQ_Aug!$A$2:$A$1079,0),MATCH(L$3&amp;"",PQ_Aug!$B$1:$AF$1&amp;"",0)),0)</f>
        <v>0</v>
      </c>
      <c r="M89" s="150" cm="1">
        <f t="array" ref="M89">IFERROR(INDEX(PQ_Aug!$B$2:$AF$1079,MATCH($C89,PQ_Aug!$A$2:$A$1079,0),MATCH(M$3&amp;"",PQ_Aug!$B$1:$AF$1&amp;"",0)),0)</f>
        <v>0</v>
      </c>
      <c r="N89" s="150" cm="1">
        <f t="array" ref="N89">IFERROR(INDEX(PQ_Aug!$B$2:$AF$1079,MATCH($C89,PQ_Aug!$A$2:$A$1079,0),MATCH(N$3&amp;"",PQ_Aug!$B$1:$AF$1&amp;"",0)),0)</f>
        <v>0</v>
      </c>
      <c r="O89" s="150" cm="1">
        <f t="array" ref="O89">IFERROR(INDEX(PQ_Aug!$B$2:$AF$1079,MATCH($C89,PQ_Aug!$A$2:$A$1079,0),MATCH(O$3&amp;"",PQ_Aug!$B$1:$AF$1&amp;"",0)),0)</f>
        <v>0</v>
      </c>
      <c r="P89" s="151"/>
      <c r="Q89" s="150" cm="1">
        <f t="array" ref="Q89">IFERROR(INDEX(PQ_Aug!$B$2:$AF$1079,MATCH($C89,PQ_Aug!$A$2:$A$1079,0),MATCH(Q$3&amp;"",PQ_Aug!$B$1:$AF$1&amp;"",0)),0)</f>
        <v>0</v>
      </c>
      <c r="R89" s="150" cm="1">
        <f t="array" ref="R89">IFERROR(INDEX(PQ_Aug!$B$2:$AF$1079,MATCH($C89,PQ_Aug!$A$2:$A$1079,0),MATCH(R$3&amp;"",PQ_Aug!$B$1:$AF$1&amp;"",0)),0)</f>
        <v>0</v>
      </c>
      <c r="S89" s="150" cm="1">
        <f t="array" ref="S89">IFERROR(INDEX(PQ_Aug!$B$2:$AF$1079,MATCH($C89,PQ_Aug!$A$2:$A$1079,0),MATCH(S$3&amp;"",PQ_Aug!$B$1:$AF$1&amp;"",0)),0)</f>
        <v>0</v>
      </c>
      <c r="T89" s="150" cm="1">
        <f t="array" ref="T89">IFERROR(INDEX(PQ_Aug!$B$2:$AF$1079,MATCH($C89,PQ_Aug!$A$2:$A$1079,0),MATCH(T$3&amp;"",PQ_Aug!$B$1:$AF$1&amp;"",0)),0)</f>
        <v>0</v>
      </c>
      <c r="U89" s="150" cm="1">
        <f t="array" ref="U89">IFERROR(INDEX(PQ_Aug!$B$2:$AF$1079,MATCH($C89,PQ_Aug!$A$2:$A$1079,0),MATCH(U$3&amp;"",PQ_Aug!$B$1:$AF$1&amp;"",0)),0)</f>
        <v>0</v>
      </c>
      <c r="V89" s="150" cm="1">
        <f t="array" ref="V89">IFERROR(INDEX(PQ_Aug!$B$2:$AF$1079,MATCH($C89,PQ_Aug!$A$2:$A$1079,0),MATCH(V$3&amp;"",PQ_Aug!$B$1:$AF$1&amp;"",0)),0)</f>
        <v>0</v>
      </c>
      <c r="W89" s="151"/>
      <c r="X89" s="151"/>
      <c r="Y89" s="150" cm="1">
        <f t="array" ref="Y89">IFERROR(INDEX(PQ_Aug!$B$2:$AF$1079,MATCH($C89,PQ_Aug!$A$2:$A$1079,0),MATCH(Y$3&amp;"",PQ_Aug!$B$1:$AF$1&amp;"",0)),0)</f>
        <v>1</v>
      </c>
      <c r="Z89" s="150" cm="1">
        <f t="array" ref="Z89">IFERROR(INDEX(PQ_Aug!$B$2:$AF$1079,MATCH($C89,PQ_Aug!$A$2:$A$1079,0),MATCH(Z$3&amp;"",PQ_Aug!$B$1:$AF$1&amp;"",0)),0)</f>
        <v>0</v>
      </c>
      <c r="AA89" s="150" cm="1">
        <f t="array" ref="AA89">IFERROR(INDEX(PQ_Aug!$B$2:$AF$1079,MATCH($C89,PQ_Aug!$A$2:$A$1079,0),MATCH(AA$3&amp;"",PQ_Aug!$B$1:$AF$1&amp;"",0)),0)</f>
        <v>0</v>
      </c>
      <c r="AB89" s="150" cm="1">
        <f t="array" ref="AB89">IFERROR(INDEX(PQ_Aug!$B$2:$AF$1079,MATCH($C89,PQ_Aug!$A$2:$A$1079,0),MATCH(AB$3&amp;"",PQ_Aug!$B$1:$AF$1&amp;"",0)),0)</f>
        <v>0</v>
      </c>
      <c r="AC89" s="150" cm="1">
        <f t="array" ref="AC89">IFERROR(INDEX(PQ_Aug!$B$2:$AF$1079,MATCH($C89,PQ_Aug!$A$2:$A$1079,0),MATCH(AC$3&amp;"",PQ_Aug!$B$1:$AF$1&amp;"",0)),0)</f>
        <v>0</v>
      </c>
      <c r="AD89" s="151"/>
      <c r="AE89" s="150" cm="1">
        <f t="array" ref="AE89">IFERROR(INDEX(PQ_Aug!$B$2:$AF$1079,MATCH($C89,PQ_Aug!$A$2:$A$1079,0),MATCH(AE$3&amp;"",PQ_Aug!$B$1:$AF$1&amp;"",0)),0)</f>
        <v>0</v>
      </c>
      <c r="AF89" s="151"/>
      <c r="AG89" s="150"/>
      <c r="AH89" s="150"/>
      <c r="AI89" s="150"/>
      <c r="AJ89" s="150"/>
      <c r="AK89" s="151"/>
      <c r="AL89" s="150"/>
      <c r="AM89" s="152"/>
      <c r="AN89" s="150">
        <f t="shared" si="12"/>
        <v>1</v>
      </c>
      <c r="AO89" s="153" t="e">
        <f t="shared" si="10"/>
        <v>#REF!</v>
      </c>
      <c r="AP89" s="167">
        <v>10</v>
      </c>
      <c r="AQ89" s="167" t="s">
        <v>21</v>
      </c>
      <c r="AR89" s="161"/>
      <c r="AS89" s="153"/>
      <c r="AT89" s="161"/>
      <c r="AU89" s="153"/>
      <c r="AV89" s="161"/>
      <c r="AW89" s="161"/>
      <c r="AX89" s="153">
        <f t="shared" si="13"/>
        <v>0</v>
      </c>
      <c r="AY89" s="153">
        <f t="shared" si="14"/>
        <v>0</v>
      </c>
      <c r="AZ89" s="153">
        <f t="shared" si="15"/>
        <v>0</v>
      </c>
      <c r="BA89" s="153" t="e">
        <f t="shared" si="11"/>
        <v>#REF!</v>
      </c>
      <c r="BB89" s="160"/>
      <c r="BC89" s="30"/>
      <c r="BD89" s="30"/>
      <c r="BE89" s="30"/>
      <c r="BF89" s="30"/>
    </row>
    <row r="90" spans="1:58" ht="22.5" customHeight="1">
      <c r="A90" s="233" t="e">
        <f t="shared" si="16"/>
        <v>#REF!</v>
      </c>
      <c r="B90" s="234"/>
      <c r="C90" s="135" t="s">
        <v>497</v>
      </c>
      <c r="D90" s="148">
        <v>25</v>
      </c>
      <c r="E90" s="148"/>
      <c r="F90" s="148"/>
      <c r="G90" s="149" t="e">
        <f>Juli2026!AO86</f>
        <v>#REF!</v>
      </c>
      <c r="H90" s="150" cm="1">
        <f t="array" ref="H90">IFERROR(INDEX(PQ_Aug!$B$2:$AF$1079,MATCH($C90,PQ_Aug!$A$2:$A$1079,0),MATCH(H$3&amp;"",PQ_Aug!$B$1:$AF$1&amp;"",0)),0)</f>
        <v>0</v>
      </c>
      <c r="I90" s="151"/>
      <c r="J90" s="150" cm="1">
        <f t="array" ref="J90">IFERROR(INDEX(PQ_Aug!$B$2:$AF$1079,MATCH($C90,PQ_Aug!$A$2:$A$1079,0),MATCH(J$3&amp;"",PQ_Aug!$B$1:$AF$1&amp;"",0)),0)</f>
        <v>0</v>
      </c>
      <c r="K90" s="150" cm="1">
        <f t="array" ref="K90">IFERROR(INDEX(PQ_Aug!$B$2:$AF$1079,MATCH($C90,PQ_Aug!$A$2:$A$1079,0),MATCH(K$3&amp;"",PQ_Aug!$B$1:$AF$1&amp;"",0)),0)</f>
        <v>0</v>
      </c>
      <c r="L90" s="150" cm="1">
        <f t="array" ref="L90">IFERROR(INDEX(PQ_Aug!$B$2:$AF$1079,MATCH($C90,PQ_Aug!$A$2:$A$1079,0),MATCH(L$3&amp;"",PQ_Aug!$B$1:$AF$1&amp;"",0)),0)</f>
        <v>0</v>
      </c>
      <c r="M90" s="150" cm="1">
        <f t="array" ref="M90">IFERROR(INDEX(PQ_Aug!$B$2:$AF$1079,MATCH($C90,PQ_Aug!$A$2:$A$1079,0),MATCH(M$3&amp;"",PQ_Aug!$B$1:$AF$1&amp;"",0)),0)</f>
        <v>0</v>
      </c>
      <c r="N90" s="150" cm="1">
        <f t="array" ref="N90">IFERROR(INDEX(PQ_Aug!$B$2:$AF$1079,MATCH($C90,PQ_Aug!$A$2:$A$1079,0),MATCH(N$3&amp;"",PQ_Aug!$B$1:$AF$1&amp;"",0)),0)</f>
        <v>0</v>
      </c>
      <c r="O90" s="150" cm="1">
        <f t="array" ref="O90">IFERROR(INDEX(PQ_Aug!$B$2:$AF$1079,MATCH($C90,PQ_Aug!$A$2:$A$1079,0),MATCH(O$3&amp;"",PQ_Aug!$B$1:$AF$1&amp;"",0)),0)</f>
        <v>0</v>
      </c>
      <c r="P90" s="151"/>
      <c r="Q90" s="150" cm="1">
        <f t="array" ref="Q90">IFERROR(INDEX(PQ_Aug!$B$2:$AF$1079,MATCH($C90,PQ_Aug!$A$2:$A$1079,0),MATCH(Q$3&amp;"",PQ_Aug!$B$1:$AF$1&amp;"",0)),0)</f>
        <v>0</v>
      </c>
      <c r="R90" s="150" cm="1">
        <f t="array" ref="R90">IFERROR(INDEX(PQ_Aug!$B$2:$AF$1079,MATCH($C90,PQ_Aug!$A$2:$A$1079,0),MATCH(R$3&amp;"",PQ_Aug!$B$1:$AF$1&amp;"",0)),0)</f>
        <v>0</v>
      </c>
      <c r="S90" s="150" cm="1">
        <f t="array" ref="S90">IFERROR(INDEX(PQ_Aug!$B$2:$AF$1079,MATCH($C90,PQ_Aug!$A$2:$A$1079,0),MATCH(S$3&amp;"",PQ_Aug!$B$1:$AF$1&amp;"",0)),0)</f>
        <v>0</v>
      </c>
      <c r="T90" s="150" cm="1">
        <f t="array" ref="T90">IFERROR(INDEX(PQ_Aug!$B$2:$AF$1079,MATCH($C90,PQ_Aug!$A$2:$A$1079,0),MATCH(T$3&amp;"",PQ_Aug!$B$1:$AF$1&amp;"",0)),0)</f>
        <v>0</v>
      </c>
      <c r="U90" s="150" cm="1">
        <f t="array" ref="U90">IFERROR(INDEX(PQ_Aug!$B$2:$AF$1079,MATCH($C90,PQ_Aug!$A$2:$A$1079,0),MATCH(U$3&amp;"",PQ_Aug!$B$1:$AF$1&amp;"",0)),0)</f>
        <v>0</v>
      </c>
      <c r="V90" s="150" cm="1">
        <f t="array" ref="V90">IFERROR(INDEX(PQ_Aug!$B$2:$AF$1079,MATCH($C90,PQ_Aug!$A$2:$A$1079,0),MATCH(V$3&amp;"",PQ_Aug!$B$1:$AF$1&amp;"",0)),0)</f>
        <v>0</v>
      </c>
      <c r="W90" s="151"/>
      <c r="X90" s="151"/>
      <c r="Y90" s="150" cm="1">
        <f t="array" ref="Y90">IFERROR(INDEX(PQ_Aug!$B$2:$AF$1079,MATCH($C90,PQ_Aug!$A$2:$A$1079,0),MATCH(Y$3&amp;"",PQ_Aug!$B$1:$AF$1&amp;"",0)),0)</f>
        <v>0</v>
      </c>
      <c r="Z90" s="150" cm="1">
        <f t="array" ref="Z90">IFERROR(INDEX(PQ_Aug!$B$2:$AF$1079,MATCH($C90,PQ_Aug!$A$2:$A$1079,0),MATCH(Z$3&amp;"",PQ_Aug!$B$1:$AF$1&amp;"",0)),0)</f>
        <v>0</v>
      </c>
      <c r="AA90" s="150" cm="1">
        <f t="array" ref="AA90">IFERROR(INDEX(PQ_Aug!$B$2:$AF$1079,MATCH($C90,PQ_Aug!$A$2:$A$1079,0),MATCH(AA$3&amp;"",PQ_Aug!$B$1:$AF$1&amp;"",0)),0)</f>
        <v>0</v>
      </c>
      <c r="AB90" s="150" cm="1">
        <f t="array" ref="AB90">IFERROR(INDEX(PQ_Aug!$B$2:$AF$1079,MATCH($C90,PQ_Aug!$A$2:$A$1079,0),MATCH(AB$3&amp;"",PQ_Aug!$B$1:$AF$1&amp;"",0)),0)</f>
        <v>0</v>
      </c>
      <c r="AC90" s="150" cm="1">
        <f t="array" ref="AC90">IFERROR(INDEX(PQ_Aug!$B$2:$AF$1079,MATCH($C90,PQ_Aug!$A$2:$A$1079,0),MATCH(AC$3&amp;"",PQ_Aug!$B$1:$AF$1&amp;"",0)),0)</f>
        <v>0</v>
      </c>
      <c r="AD90" s="151"/>
      <c r="AE90" s="150" cm="1">
        <f t="array" ref="AE90">IFERROR(INDEX(PQ_Aug!$B$2:$AF$1079,MATCH($C90,PQ_Aug!$A$2:$A$1079,0),MATCH(AE$3&amp;"",PQ_Aug!$B$1:$AF$1&amp;"",0)),0)</f>
        <v>0</v>
      </c>
      <c r="AF90" s="151"/>
      <c r="AG90" s="150"/>
      <c r="AH90" s="150"/>
      <c r="AI90" s="150"/>
      <c r="AJ90" s="150"/>
      <c r="AK90" s="151"/>
      <c r="AL90" s="150"/>
      <c r="AM90" s="152"/>
      <c r="AN90" s="150">
        <f t="shared" si="12"/>
        <v>0</v>
      </c>
      <c r="AO90" s="153" t="e">
        <f t="shared" si="10"/>
        <v>#REF!</v>
      </c>
      <c r="AP90" s="167">
        <v>10</v>
      </c>
      <c r="AQ90" s="167" t="s">
        <v>21</v>
      </c>
      <c r="AR90" s="161"/>
      <c r="AS90" s="153"/>
      <c r="AT90" s="161"/>
      <c r="AU90" s="153"/>
      <c r="AV90" s="161"/>
      <c r="AW90" s="161"/>
      <c r="AX90" s="153">
        <f t="shared" si="13"/>
        <v>0</v>
      </c>
      <c r="AY90" s="153">
        <f t="shared" si="14"/>
        <v>0</v>
      </c>
      <c r="AZ90" s="153">
        <f t="shared" si="15"/>
        <v>0</v>
      </c>
      <c r="BA90" s="153" t="e">
        <f t="shared" si="11"/>
        <v>#REF!</v>
      </c>
      <c r="BB90" s="160"/>
      <c r="BC90" s="30"/>
      <c r="BD90" s="30"/>
      <c r="BE90" s="30"/>
      <c r="BF90" s="30"/>
    </row>
    <row r="91" spans="1:58" ht="22.5" customHeight="1">
      <c r="A91" s="233" t="e">
        <f t="shared" si="16"/>
        <v>#REF!</v>
      </c>
      <c r="B91" s="234"/>
      <c r="C91" s="135" t="s">
        <v>496</v>
      </c>
      <c r="D91" s="148">
        <v>25</v>
      </c>
      <c r="E91" s="148"/>
      <c r="F91" s="148"/>
      <c r="G91" s="149" t="e">
        <f>Juli2026!AO87</f>
        <v>#REF!</v>
      </c>
      <c r="H91" s="150" cm="1">
        <f t="array" ref="H91">IFERROR(INDEX(PQ_Aug!$B$2:$AF$1079,MATCH($C91,PQ_Aug!$A$2:$A$1079,0),MATCH(H$3&amp;"",PQ_Aug!$B$1:$AF$1&amp;"",0)),0)</f>
        <v>0</v>
      </c>
      <c r="I91" s="151"/>
      <c r="J91" s="150" cm="1">
        <f t="array" ref="J91">IFERROR(INDEX(PQ_Aug!$B$2:$AF$1079,MATCH($C91,PQ_Aug!$A$2:$A$1079,0),MATCH(J$3&amp;"",PQ_Aug!$B$1:$AF$1&amp;"",0)),0)</f>
        <v>0</v>
      </c>
      <c r="K91" s="150" cm="1">
        <f t="array" ref="K91">IFERROR(INDEX(PQ_Aug!$B$2:$AF$1079,MATCH($C91,PQ_Aug!$A$2:$A$1079,0),MATCH(K$3&amp;"",PQ_Aug!$B$1:$AF$1&amp;"",0)),0)</f>
        <v>0</v>
      </c>
      <c r="L91" s="150" cm="1">
        <f t="array" ref="L91">IFERROR(INDEX(PQ_Aug!$B$2:$AF$1079,MATCH($C91,PQ_Aug!$A$2:$A$1079,0),MATCH(L$3&amp;"",PQ_Aug!$B$1:$AF$1&amp;"",0)),0)</f>
        <v>0</v>
      </c>
      <c r="M91" s="150" cm="1">
        <f t="array" ref="M91">IFERROR(INDEX(PQ_Aug!$B$2:$AF$1079,MATCH($C91,PQ_Aug!$A$2:$A$1079,0),MATCH(M$3&amp;"",PQ_Aug!$B$1:$AF$1&amp;"",0)),0)</f>
        <v>0</v>
      </c>
      <c r="N91" s="150" cm="1">
        <f t="array" ref="N91">IFERROR(INDEX(PQ_Aug!$B$2:$AF$1079,MATCH($C91,PQ_Aug!$A$2:$A$1079,0),MATCH(N$3&amp;"",PQ_Aug!$B$1:$AF$1&amp;"",0)),0)</f>
        <v>0</v>
      </c>
      <c r="O91" s="150" cm="1">
        <f t="array" ref="O91">IFERROR(INDEX(PQ_Aug!$B$2:$AF$1079,MATCH($C91,PQ_Aug!$A$2:$A$1079,0),MATCH(O$3&amp;"",PQ_Aug!$B$1:$AF$1&amp;"",0)),0)</f>
        <v>0</v>
      </c>
      <c r="P91" s="151"/>
      <c r="Q91" s="150" cm="1">
        <f t="array" ref="Q91">IFERROR(INDEX(PQ_Aug!$B$2:$AF$1079,MATCH($C91,PQ_Aug!$A$2:$A$1079,0),MATCH(Q$3&amp;"",PQ_Aug!$B$1:$AF$1&amp;"",0)),0)</f>
        <v>0</v>
      </c>
      <c r="R91" s="150" cm="1">
        <f t="array" ref="R91">IFERROR(INDEX(PQ_Aug!$B$2:$AF$1079,MATCH($C91,PQ_Aug!$A$2:$A$1079,0),MATCH(R$3&amp;"",PQ_Aug!$B$1:$AF$1&amp;"",0)),0)</f>
        <v>0</v>
      </c>
      <c r="S91" s="150" cm="1">
        <f t="array" ref="S91">IFERROR(INDEX(PQ_Aug!$B$2:$AF$1079,MATCH($C91,PQ_Aug!$A$2:$A$1079,0),MATCH(S$3&amp;"",PQ_Aug!$B$1:$AF$1&amp;"",0)),0)</f>
        <v>0</v>
      </c>
      <c r="T91" s="150" cm="1">
        <f t="array" ref="T91">IFERROR(INDEX(PQ_Aug!$B$2:$AF$1079,MATCH($C91,PQ_Aug!$A$2:$A$1079,0),MATCH(T$3&amp;"",PQ_Aug!$B$1:$AF$1&amp;"",0)),0)</f>
        <v>0</v>
      </c>
      <c r="U91" s="150" cm="1">
        <f t="array" ref="U91">IFERROR(INDEX(PQ_Aug!$B$2:$AF$1079,MATCH($C91,PQ_Aug!$A$2:$A$1079,0),MATCH(U$3&amp;"",PQ_Aug!$B$1:$AF$1&amp;"",0)),0)</f>
        <v>0</v>
      </c>
      <c r="V91" s="150" cm="1">
        <f t="array" ref="V91">IFERROR(INDEX(PQ_Aug!$B$2:$AF$1079,MATCH($C91,PQ_Aug!$A$2:$A$1079,0),MATCH(V$3&amp;"",PQ_Aug!$B$1:$AF$1&amp;"",0)),0)</f>
        <v>0</v>
      </c>
      <c r="W91" s="151"/>
      <c r="X91" s="151"/>
      <c r="Y91" s="150" cm="1">
        <f t="array" ref="Y91">IFERROR(INDEX(PQ_Aug!$B$2:$AF$1079,MATCH($C91,PQ_Aug!$A$2:$A$1079,0),MATCH(Y$3&amp;"",PQ_Aug!$B$1:$AF$1&amp;"",0)),0)</f>
        <v>0</v>
      </c>
      <c r="Z91" s="150" cm="1">
        <f t="array" ref="Z91">IFERROR(INDEX(PQ_Aug!$B$2:$AF$1079,MATCH($C91,PQ_Aug!$A$2:$A$1079,0),MATCH(Z$3&amp;"",PQ_Aug!$B$1:$AF$1&amp;"",0)),0)</f>
        <v>0</v>
      </c>
      <c r="AA91" s="150" cm="1">
        <f t="array" ref="AA91">IFERROR(INDEX(PQ_Aug!$B$2:$AF$1079,MATCH($C91,PQ_Aug!$A$2:$A$1079,0),MATCH(AA$3&amp;"",PQ_Aug!$B$1:$AF$1&amp;"",0)),0)</f>
        <v>0</v>
      </c>
      <c r="AB91" s="150" cm="1">
        <f t="array" ref="AB91">IFERROR(INDEX(PQ_Aug!$B$2:$AF$1079,MATCH($C91,PQ_Aug!$A$2:$A$1079,0),MATCH(AB$3&amp;"",PQ_Aug!$B$1:$AF$1&amp;"",0)),0)</f>
        <v>0</v>
      </c>
      <c r="AC91" s="150" cm="1">
        <f t="array" ref="AC91">IFERROR(INDEX(PQ_Aug!$B$2:$AF$1079,MATCH($C91,PQ_Aug!$A$2:$A$1079,0),MATCH(AC$3&amp;"",PQ_Aug!$B$1:$AF$1&amp;"",0)),0)</f>
        <v>0</v>
      </c>
      <c r="AD91" s="151"/>
      <c r="AE91" s="150" cm="1">
        <f t="array" ref="AE91">IFERROR(INDEX(PQ_Aug!$B$2:$AF$1079,MATCH($C91,PQ_Aug!$A$2:$A$1079,0),MATCH(AE$3&amp;"",PQ_Aug!$B$1:$AF$1&amp;"",0)),0)</f>
        <v>0</v>
      </c>
      <c r="AF91" s="151"/>
      <c r="AG91" s="150"/>
      <c r="AH91" s="150"/>
      <c r="AI91" s="150"/>
      <c r="AJ91" s="150"/>
      <c r="AK91" s="151"/>
      <c r="AL91" s="150"/>
      <c r="AM91" s="152"/>
      <c r="AN91" s="150">
        <f t="shared" si="12"/>
        <v>0</v>
      </c>
      <c r="AO91" s="153" t="e">
        <f t="shared" si="10"/>
        <v>#REF!</v>
      </c>
      <c r="AP91" s="167">
        <v>10</v>
      </c>
      <c r="AQ91" s="167" t="s">
        <v>21</v>
      </c>
      <c r="AR91" s="161"/>
      <c r="AS91" s="153"/>
      <c r="AT91" s="161"/>
      <c r="AU91" s="153"/>
      <c r="AV91" s="161"/>
      <c r="AW91" s="161"/>
      <c r="AX91" s="153">
        <f t="shared" si="13"/>
        <v>0</v>
      </c>
      <c r="AY91" s="153">
        <f t="shared" si="14"/>
        <v>0</v>
      </c>
      <c r="AZ91" s="153">
        <f t="shared" si="15"/>
        <v>0</v>
      </c>
      <c r="BA91" s="153" t="e">
        <f t="shared" si="11"/>
        <v>#REF!</v>
      </c>
      <c r="BB91" s="160"/>
      <c r="BC91" s="30"/>
      <c r="BD91" s="30"/>
      <c r="BE91" s="30"/>
      <c r="BF91" s="30"/>
    </row>
    <row r="92" spans="1:58" ht="22.5" customHeight="1">
      <c r="A92" s="242" t="e">
        <f t="shared" si="16"/>
        <v>#REF!</v>
      </c>
      <c r="B92" s="243"/>
      <c r="C92" s="136" t="s">
        <v>467</v>
      </c>
      <c r="D92" s="148">
        <v>25</v>
      </c>
      <c r="E92" s="148"/>
      <c r="F92" s="148"/>
      <c r="G92" s="149" t="e">
        <f>Juli2026!AO88</f>
        <v>#REF!</v>
      </c>
      <c r="H92" s="150" cm="1">
        <f t="array" ref="H92">IFERROR(INDEX(PQ_Aug!$B$2:$AF$1079,MATCH($C92,PQ_Aug!$A$2:$A$1079,0),MATCH(H$3&amp;"",PQ_Aug!$B$1:$AF$1&amp;"",0)),0)</f>
        <v>2</v>
      </c>
      <c r="I92" s="151"/>
      <c r="J92" s="150" cm="1">
        <f t="array" ref="J92">IFERROR(INDEX(PQ_Aug!$B$2:$AF$1079,MATCH($C92,PQ_Aug!$A$2:$A$1079,0),MATCH(J$3&amp;"",PQ_Aug!$B$1:$AF$1&amp;"",0)),0)</f>
        <v>0</v>
      </c>
      <c r="K92" s="150" cm="1">
        <f t="array" ref="K92">IFERROR(INDEX(PQ_Aug!$B$2:$AF$1079,MATCH($C92,PQ_Aug!$A$2:$A$1079,0),MATCH(K$3&amp;"",PQ_Aug!$B$1:$AF$1&amp;"",0)),0)</f>
        <v>0</v>
      </c>
      <c r="L92" s="150" cm="1">
        <f t="array" ref="L92">IFERROR(INDEX(PQ_Aug!$B$2:$AF$1079,MATCH($C92,PQ_Aug!$A$2:$A$1079,0),MATCH(L$3&amp;"",PQ_Aug!$B$1:$AF$1&amp;"",0)),0)</f>
        <v>1</v>
      </c>
      <c r="M92" s="150" cm="1">
        <f t="array" ref="M92">IFERROR(INDEX(PQ_Aug!$B$2:$AF$1079,MATCH($C92,PQ_Aug!$A$2:$A$1079,0),MATCH(M$3&amp;"",PQ_Aug!$B$1:$AF$1&amp;"",0)),0)</f>
        <v>0</v>
      </c>
      <c r="N92" s="150" cm="1">
        <f t="array" ref="N92">IFERROR(INDEX(PQ_Aug!$B$2:$AF$1079,MATCH($C92,PQ_Aug!$A$2:$A$1079,0),MATCH(N$3&amp;"",PQ_Aug!$B$1:$AF$1&amp;"",0)),0)</f>
        <v>0</v>
      </c>
      <c r="O92" s="150" cm="1">
        <f t="array" ref="O92">IFERROR(INDEX(PQ_Aug!$B$2:$AF$1079,MATCH($C92,PQ_Aug!$A$2:$A$1079,0),MATCH(O$3&amp;"",PQ_Aug!$B$1:$AF$1&amp;"",0)),0)</f>
        <v>5</v>
      </c>
      <c r="P92" s="151"/>
      <c r="Q92" s="150" cm="1">
        <f t="array" ref="Q92">IFERROR(INDEX(PQ_Aug!$B$2:$AF$1079,MATCH($C92,PQ_Aug!$A$2:$A$1079,0),MATCH(Q$3&amp;"",PQ_Aug!$B$1:$AF$1&amp;"",0)),0)</f>
        <v>2</v>
      </c>
      <c r="R92" s="150" cm="1">
        <f t="array" ref="R92">IFERROR(INDEX(PQ_Aug!$B$2:$AF$1079,MATCH($C92,PQ_Aug!$A$2:$A$1079,0),MATCH(R$3&amp;"",PQ_Aug!$B$1:$AF$1&amp;"",0)),0)</f>
        <v>3</v>
      </c>
      <c r="S92" s="150" cm="1">
        <f t="array" ref="S92">IFERROR(INDEX(PQ_Aug!$B$2:$AF$1079,MATCH($C92,PQ_Aug!$A$2:$A$1079,0),MATCH(S$3&amp;"",PQ_Aug!$B$1:$AF$1&amp;"",0)),0)</f>
        <v>3</v>
      </c>
      <c r="T92" s="150" cm="1">
        <f t="array" ref="T92">IFERROR(INDEX(PQ_Aug!$B$2:$AF$1079,MATCH($C92,PQ_Aug!$A$2:$A$1079,0),MATCH(T$3&amp;"",PQ_Aug!$B$1:$AF$1&amp;"",0)),0)</f>
        <v>0</v>
      </c>
      <c r="U92" s="150" cm="1">
        <f t="array" ref="U92">IFERROR(INDEX(PQ_Aug!$B$2:$AF$1079,MATCH($C92,PQ_Aug!$A$2:$A$1079,0),MATCH(U$3&amp;"",PQ_Aug!$B$1:$AF$1&amp;"",0)),0)</f>
        <v>0</v>
      </c>
      <c r="V92" s="150" cm="1">
        <f t="array" ref="V92">IFERROR(INDEX(PQ_Aug!$B$2:$AF$1079,MATCH($C92,PQ_Aug!$A$2:$A$1079,0),MATCH(V$3&amp;"",PQ_Aug!$B$1:$AF$1&amp;"",0)),0)</f>
        <v>0</v>
      </c>
      <c r="W92" s="151"/>
      <c r="X92" s="151"/>
      <c r="Y92" s="150" cm="1">
        <f t="array" ref="Y92">IFERROR(INDEX(PQ_Aug!$B$2:$AF$1079,MATCH($C92,PQ_Aug!$A$2:$A$1079,0),MATCH(Y$3&amp;"",PQ_Aug!$B$1:$AF$1&amp;"",0)),0)</f>
        <v>1</v>
      </c>
      <c r="Z92" s="150" cm="1">
        <f t="array" ref="Z92">IFERROR(INDEX(PQ_Aug!$B$2:$AF$1079,MATCH($C92,PQ_Aug!$A$2:$A$1079,0),MATCH(Z$3&amp;"",PQ_Aug!$B$1:$AF$1&amp;"",0)),0)</f>
        <v>2</v>
      </c>
      <c r="AA92" s="150" cm="1">
        <f t="array" ref="AA92">IFERROR(INDEX(PQ_Aug!$B$2:$AF$1079,MATCH($C92,PQ_Aug!$A$2:$A$1079,0),MATCH(AA$3&amp;"",PQ_Aug!$B$1:$AF$1&amp;"",0)),0)</f>
        <v>1</v>
      </c>
      <c r="AB92" s="150" cm="1">
        <f t="array" ref="AB92">IFERROR(INDEX(PQ_Aug!$B$2:$AF$1079,MATCH($C92,PQ_Aug!$A$2:$A$1079,0),MATCH(AB$3&amp;"",PQ_Aug!$B$1:$AF$1&amp;"",0)),0)</f>
        <v>0</v>
      </c>
      <c r="AC92" s="150" cm="1">
        <f t="array" ref="AC92">IFERROR(INDEX(PQ_Aug!$B$2:$AF$1079,MATCH($C92,PQ_Aug!$A$2:$A$1079,0),MATCH(AC$3&amp;"",PQ_Aug!$B$1:$AF$1&amp;"",0)),0)</f>
        <v>4</v>
      </c>
      <c r="AD92" s="151"/>
      <c r="AE92" s="150" cm="1">
        <f t="array" ref="AE92">IFERROR(INDEX(PQ_Aug!$B$2:$AF$1079,MATCH($C92,PQ_Aug!$A$2:$A$1079,0),MATCH(AE$3&amp;"",PQ_Aug!$B$1:$AF$1&amp;"",0)),0)</f>
        <v>1</v>
      </c>
      <c r="AF92" s="151"/>
      <c r="AG92" s="150"/>
      <c r="AH92" s="150"/>
      <c r="AI92" s="150"/>
      <c r="AJ92" s="150"/>
      <c r="AK92" s="151"/>
      <c r="AL92" s="150"/>
      <c r="AM92" s="152"/>
      <c r="AN92" s="150">
        <f t="shared" si="12"/>
        <v>25</v>
      </c>
      <c r="AO92" s="153" t="e">
        <f t="shared" si="10"/>
        <v>#REF!</v>
      </c>
      <c r="AP92" s="167">
        <v>10</v>
      </c>
      <c r="AQ92" s="167" t="s">
        <v>21</v>
      </c>
      <c r="AR92" s="155">
        <v>46238</v>
      </c>
      <c r="AS92" s="156">
        <v>2</v>
      </c>
      <c r="AT92" s="161"/>
      <c r="AU92" s="153"/>
      <c r="AV92" s="161">
        <v>46245</v>
      </c>
      <c r="AW92" s="161"/>
      <c r="AX92" s="153">
        <f t="shared" si="13"/>
        <v>50</v>
      </c>
      <c r="AY92" s="153">
        <f t="shared" si="14"/>
        <v>0</v>
      </c>
      <c r="AZ92" s="153">
        <f t="shared" si="15"/>
        <v>50</v>
      </c>
      <c r="BA92" s="153" t="e">
        <f t="shared" si="11"/>
        <v>#REF!</v>
      </c>
      <c r="BB92" s="160"/>
      <c r="BC92" s="30"/>
      <c r="BD92" s="30"/>
      <c r="BE92" s="30"/>
      <c r="BF92" s="30"/>
    </row>
    <row r="93" spans="1:58" ht="22.5" customHeight="1">
      <c r="A93" s="233" t="e">
        <f t="shared" si="16"/>
        <v>#REF!</v>
      </c>
      <c r="B93" s="234"/>
      <c r="C93" s="136" t="s">
        <v>65</v>
      </c>
      <c r="D93" s="148">
        <v>25</v>
      </c>
      <c r="E93" s="148"/>
      <c r="F93" s="148"/>
      <c r="G93" s="149" t="e">
        <f>Juli2026!AO89</f>
        <v>#REF!</v>
      </c>
      <c r="H93" s="150" cm="1">
        <f t="array" ref="H93">IFERROR(INDEX(PQ_Aug!$B$2:$AF$1079,MATCH($C93,PQ_Aug!$A$2:$A$1079,0),MATCH(H$3&amp;"",PQ_Aug!$B$1:$AF$1&amp;"",0)),0)</f>
        <v>0</v>
      </c>
      <c r="I93" s="151"/>
      <c r="J93" s="150" cm="1">
        <f t="array" ref="J93">IFERROR(INDEX(PQ_Aug!$B$2:$AF$1079,MATCH($C93,PQ_Aug!$A$2:$A$1079,0),MATCH(J$3&amp;"",PQ_Aug!$B$1:$AF$1&amp;"",0)),0)</f>
        <v>0</v>
      </c>
      <c r="K93" s="150" cm="1">
        <f t="array" ref="K93">IFERROR(INDEX(PQ_Aug!$B$2:$AF$1079,MATCH($C93,PQ_Aug!$A$2:$A$1079,0),MATCH(K$3&amp;"",PQ_Aug!$B$1:$AF$1&amp;"",0)),0)</f>
        <v>0</v>
      </c>
      <c r="L93" s="150" cm="1">
        <f t="array" ref="L93">IFERROR(INDEX(PQ_Aug!$B$2:$AF$1079,MATCH($C93,PQ_Aug!$A$2:$A$1079,0),MATCH(L$3&amp;"",PQ_Aug!$B$1:$AF$1&amp;"",0)),0)</f>
        <v>0</v>
      </c>
      <c r="M93" s="150" cm="1">
        <f t="array" ref="M93">IFERROR(INDEX(PQ_Aug!$B$2:$AF$1079,MATCH($C93,PQ_Aug!$A$2:$A$1079,0),MATCH(M$3&amp;"",PQ_Aug!$B$1:$AF$1&amp;"",0)),0)</f>
        <v>0</v>
      </c>
      <c r="N93" s="150" cm="1">
        <f t="array" ref="N93">IFERROR(INDEX(PQ_Aug!$B$2:$AF$1079,MATCH($C93,PQ_Aug!$A$2:$A$1079,0),MATCH(N$3&amp;"",PQ_Aug!$B$1:$AF$1&amp;"",0)),0)</f>
        <v>0</v>
      </c>
      <c r="O93" s="150" cm="1">
        <f t="array" ref="O93">IFERROR(INDEX(PQ_Aug!$B$2:$AF$1079,MATCH($C93,PQ_Aug!$A$2:$A$1079,0),MATCH(O$3&amp;"",PQ_Aug!$B$1:$AF$1&amp;"",0)),0)</f>
        <v>0</v>
      </c>
      <c r="P93" s="151"/>
      <c r="Q93" s="150" cm="1">
        <f t="array" ref="Q93">IFERROR(INDEX(PQ_Aug!$B$2:$AF$1079,MATCH($C93,PQ_Aug!$A$2:$A$1079,0),MATCH(Q$3&amp;"",PQ_Aug!$B$1:$AF$1&amp;"",0)),0)</f>
        <v>0</v>
      </c>
      <c r="R93" s="150" cm="1">
        <f t="array" ref="R93">IFERROR(INDEX(PQ_Aug!$B$2:$AF$1079,MATCH($C93,PQ_Aug!$A$2:$A$1079,0),MATCH(R$3&amp;"",PQ_Aug!$B$1:$AF$1&amp;"",0)),0)</f>
        <v>0</v>
      </c>
      <c r="S93" s="150" cm="1">
        <f t="array" ref="S93">IFERROR(INDEX(PQ_Aug!$B$2:$AF$1079,MATCH($C93,PQ_Aug!$A$2:$A$1079,0),MATCH(S$3&amp;"",PQ_Aug!$B$1:$AF$1&amp;"",0)),0)</f>
        <v>0</v>
      </c>
      <c r="T93" s="150" cm="1">
        <f t="array" ref="T93">IFERROR(INDEX(PQ_Aug!$B$2:$AF$1079,MATCH($C93,PQ_Aug!$A$2:$A$1079,0),MATCH(T$3&amp;"",PQ_Aug!$B$1:$AF$1&amp;"",0)),0)</f>
        <v>0</v>
      </c>
      <c r="U93" s="150" cm="1">
        <f t="array" ref="U93">IFERROR(INDEX(PQ_Aug!$B$2:$AF$1079,MATCH($C93,PQ_Aug!$A$2:$A$1079,0),MATCH(U$3&amp;"",PQ_Aug!$B$1:$AF$1&amp;"",0)),0)</f>
        <v>0</v>
      </c>
      <c r="V93" s="150" cm="1">
        <f t="array" ref="V93">IFERROR(INDEX(PQ_Aug!$B$2:$AF$1079,MATCH($C93,PQ_Aug!$A$2:$A$1079,0),MATCH(V$3&amp;"",PQ_Aug!$B$1:$AF$1&amp;"",0)),0)</f>
        <v>0</v>
      </c>
      <c r="W93" s="151"/>
      <c r="X93" s="151"/>
      <c r="Y93" s="150" cm="1">
        <f t="array" ref="Y93">IFERROR(INDEX(PQ_Aug!$B$2:$AF$1079,MATCH($C93,PQ_Aug!$A$2:$A$1079,0),MATCH(Y$3&amp;"",PQ_Aug!$B$1:$AF$1&amp;"",0)),0)</f>
        <v>0</v>
      </c>
      <c r="Z93" s="150" cm="1">
        <f t="array" ref="Z93">IFERROR(INDEX(PQ_Aug!$B$2:$AF$1079,MATCH($C93,PQ_Aug!$A$2:$A$1079,0),MATCH(Z$3&amp;"",PQ_Aug!$B$1:$AF$1&amp;"",0)),0)</f>
        <v>0</v>
      </c>
      <c r="AA93" s="150" cm="1">
        <f t="array" ref="AA93">IFERROR(INDEX(PQ_Aug!$B$2:$AF$1079,MATCH($C93,PQ_Aug!$A$2:$A$1079,0),MATCH(AA$3&amp;"",PQ_Aug!$B$1:$AF$1&amp;"",0)),0)</f>
        <v>0</v>
      </c>
      <c r="AB93" s="150" cm="1">
        <f t="array" ref="AB93">IFERROR(INDEX(PQ_Aug!$B$2:$AF$1079,MATCH($C93,PQ_Aug!$A$2:$A$1079,0),MATCH(AB$3&amp;"",PQ_Aug!$B$1:$AF$1&amp;"",0)),0)</f>
        <v>0</v>
      </c>
      <c r="AC93" s="150" cm="1">
        <f t="array" ref="AC93">IFERROR(INDEX(PQ_Aug!$B$2:$AF$1079,MATCH($C93,PQ_Aug!$A$2:$A$1079,0),MATCH(AC$3&amp;"",PQ_Aug!$B$1:$AF$1&amp;"",0)),0)</f>
        <v>0</v>
      </c>
      <c r="AD93" s="151"/>
      <c r="AE93" s="150" cm="1">
        <f t="array" ref="AE93">IFERROR(INDEX(PQ_Aug!$B$2:$AF$1079,MATCH($C93,PQ_Aug!$A$2:$A$1079,0),MATCH(AE$3&amp;"",PQ_Aug!$B$1:$AF$1&amp;"",0)),0)</f>
        <v>0</v>
      </c>
      <c r="AF93" s="151"/>
      <c r="AG93" s="150"/>
      <c r="AH93" s="150"/>
      <c r="AI93" s="150"/>
      <c r="AJ93" s="150"/>
      <c r="AK93" s="151"/>
      <c r="AL93" s="150"/>
      <c r="AM93" s="152"/>
      <c r="AN93" s="150">
        <f t="shared" si="12"/>
        <v>0</v>
      </c>
      <c r="AO93" s="153" t="e">
        <f t="shared" si="10"/>
        <v>#REF!</v>
      </c>
      <c r="AP93" s="167">
        <v>10</v>
      </c>
      <c r="AQ93" s="167" t="s">
        <v>21</v>
      </c>
      <c r="AR93" s="161"/>
      <c r="AS93" s="153"/>
      <c r="AT93" s="161"/>
      <c r="AU93" s="153"/>
      <c r="AV93" s="161"/>
      <c r="AW93" s="161"/>
      <c r="AX93" s="153">
        <f t="shared" si="13"/>
        <v>0</v>
      </c>
      <c r="AY93" s="153">
        <f t="shared" si="14"/>
        <v>0</v>
      </c>
      <c r="AZ93" s="153">
        <f t="shared" si="15"/>
        <v>0</v>
      </c>
      <c r="BA93" s="153" t="e">
        <f t="shared" si="11"/>
        <v>#REF!</v>
      </c>
      <c r="BB93" s="160"/>
      <c r="BC93" s="30"/>
      <c r="BD93" s="30"/>
      <c r="BE93" s="30"/>
      <c r="BF93" s="30"/>
    </row>
    <row r="94" spans="1:58" ht="22.5" customHeight="1">
      <c r="A94" s="233" t="e">
        <f t="shared" si="16"/>
        <v>#REF!</v>
      </c>
      <c r="B94" s="234"/>
      <c r="C94" s="136" t="s">
        <v>66</v>
      </c>
      <c r="D94" s="148">
        <v>25</v>
      </c>
      <c r="E94" s="148"/>
      <c r="F94" s="148"/>
      <c r="G94" s="149" t="e">
        <f>Juli2026!AO90</f>
        <v>#REF!</v>
      </c>
      <c r="H94" s="150" cm="1">
        <f t="array" ref="H94">IFERROR(INDEX(PQ_Aug!$B$2:$AF$1079,MATCH($C94,PQ_Aug!$A$2:$A$1079,0),MATCH(H$3&amp;"",PQ_Aug!$B$1:$AF$1&amp;"",0)),0)</f>
        <v>0</v>
      </c>
      <c r="I94" s="151"/>
      <c r="J94" s="150" cm="1">
        <f t="array" ref="J94">IFERROR(INDEX(PQ_Aug!$B$2:$AF$1079,MATCH($C94,PQ_Aug!$A$2:$A$1079,0),MATCH(J$3&amp;"",PQ_Aug!$B$1:$AF$1&amp;"",0)),0)</f>
        <v>0</v>
      </c>
      <c r="K94" s="150" cm="1">
        <f t="array" ref="K94">IFERROR(INDEX(PQ_Aug!$B$2:$AF$1079,MATCH($C94,PQ_Aug!$A$2:$A$1079,0),MATCH(K$3&amp;"",PQ_Aug!$B$1:$AF$1&amp;"",0)),0)</f>
        <v>0</v>
      </c>
      <c r="L94" s="150" cm="1">
        <f t="array" ref="L94">IFERROR(INDEX(PQ_Aug!$B$2:$AF$1079,MATCH($C94,PQ_Aug!$A$2:$A$1079,0),MATCH(L$3&amp;"",PQ_Aug!$B$1:$AF$1&amp;"",0)),0)</f>
        <v>0</v>
      </c>
      <c r="M94" s="150" cm="1">
        <f t="array" ref="M94">IFERROR(INDEX(PQ_Aug!$B$2:$AF$1079,MATCH($C94,PQ_Aug!$A$2:$A$1079,0),MATCH(M$3&amp;"",PQ_Aug!$B$1:$AF$1&amp;"",0)),0)</f>
        <v>0</v>
      </c>
      <c r="N94" s="150" cm="1">
        <f t="array" ref="N94">IFERROR(INDEX(PQ_Aug!$B$2:$AF$1079,MATCH($C94,PQ_Aug!$A$2:$A$1079,0),MATCH(N$3&amp;"",PQ_Aug!$B$1:$AF$1&amp;"",0)),0)</f>
        <v>0</v>
      </c>
      <c r="O94" s="150" cm="1">
        <f t="array" ref="O94">IFERROR(INDEX(PQ_Aug!$B$2:$AF$1079,MATCH($C94,PQ_Aug!$A$2:$A$1079,0),MATCH(O$3&amp;"",PQ_Aug!$B$1:$AF$1&amp;"",0)),0)</f>
        <v>1</v>
      </c>
      <c r="P94" s="151"/>
      <c r="Q94" s="150" cm="1">
        <f t="array" ref="Q94">IFERROR(INDEX(PQ_Aug!$B$2:$AF$1079,MATCH($C94,PQ_Aug!$A$2:$A$1079,0),MATCH(Q$3&amp;"",PQ_Aug!$B$1:$AF$1&amp;"",0)),0)</f>
        <v>1</v>
      </c>
      <c r="R94" s="150" cm="1">
        <f t="array" ref="R94">IFERROR(INDEX(PQ_Aug!$B$2:$AF$1079,MATCH($C94,PQ_Aug!$A$2:$A$1079,0),MATCH(R$3&amp;"",PQ_Aug!$B$1:$AF$1&amp;"",0)),0)</f>
        <v>2</v>
      </c>
      <c r="S94" s="150" cm="1">
        <f t="array" ref="S94">IFERROR(INDEX(PQ_Aug!$B$2:$AF$1079,MATCH($C94,PQ_Aug!$A$2:$A$1079,0),MATCH(S$3&amp;"",PQ_Aug!$B$1:$AF$1&amp;"",0)),0)</f>
        <v>2</v>
      </c>
      <c r="T94" s="150" cm="1">
        <f t="array" ref="T94">IFERROR(INDEX(PQ_Aug!$B$2:$AF$1079,MATCH($C94,PQ_Aug!$A$2:$A$1079,0),MATCH(T$3&amp;"",PQ_Aug!$B$1:$AF$1&amp;"",0)),0)</f>
        <v>0</v>
      </c>
      <c r="U94" s="150" cm="1">
        <f t="array" ref="U94">IFERROR(INDEX(PQ_Aug!$B$2:$AF$1079,MATCH($C94,PQ_Aug!$A$2:$A$1079,0),MATCH(U$3&amp;"",PQ_Aug!$B$1:$AF$1&amp;"",0)),0)</f>
        <v>1</v>
      </c>
      <c r="V94" s="150" cm="1">
        <f t="array" ref="V94">IFERROR(INDEX(PQ_Aug!$B$2:$AF$1079,MATCH($C94,PQ_Aug!$A$2:$A$1079,0),MATCH(V$3&amp;"",PQ_Aug!$B$1:$AF$1&amp;"",0)),0)</f>
        <v>0</v>
      </c>
      <c r="W94" s="151"/>
      <c r="X94" s="151"/>
      <c r="Y94" s="150" cm="1">
        <f t="array" ref="Y94">IFERROR(INDEX(PQ_Aug!$B$2:$AF$1079,MATCH($C94,PQ_Aug!$A$2:$A$1079,0),MATCH(Y$3&amp;"",PQ_Aug!$B$1:$AF$1&amp;"",0)),0)</f>
        <v>0</v>
      </c>
      <c r="Z94" s="150" cm="1">
        <f t="array" ref="Z94">IFERROR(INDEX(PQ_Aug!$B$2:$AF$1079,MATCH($C94,PQ_Aug!$A$2:$A$1079,0),MATCH(Z$3&amp;"",PQ_Aug!$B$1:$AF$1&amp;"",0)),0)</f>
        <v>2</v>
      </c>
      <c r="AA94" s="150" cm="1">
        <f t="array" ref="AA94">IFERROR(INDEX(PQ_Aug!$B$2:$AF$1079,MATCH($C94,PQ_Aug!$A$2:$A$1079,0),MATCH(AA$3&amp;"",PQ_Aug!$B$1:$AF$1&amp;"",0)),0)</f>
        <v>0</v>
      </c>
      <c r="AB94" s="150" cm="1">
        <f t="array" ref="AB94">IFERROR(INDEX(PQ_Aug!$B$2:$AF$1079,MATCH($C94,PQ_Aug!$A$2:$A$1079,0),MATCH(AB$3&amp;"",PQ_Aug!$B$1:$AF$1&amp;"",0)),0)</f>
        <v>0</v>
      </c>
      <c r="AC94" s="150" cm="1">
        <f t="array" ref="AC94">IFERROR(INDEX(PQ_Aug!$B$2:$AF$1079,MATCH($C94,PQ_Aug!$A$2:$A$1079,0),MATCH(AC$3&amp;"",PQ_Aug!$B$1:$AF$1&amp;"",0)),0)</f>
        <v>3</v>
      </c>
      <c r="AD94" s="151"/>
      <c r="AE94" s="150" cm="1">
        <f t="array" ref="AE94">IFERROR(INDEX(PQ_Aug!$B$2:$AF$1079,MATCH($C94,PQ_Aug!$A$2:$A$1079,0),MATCH(AE$3&amp;"",PQ_Aug!$B$1:$AF$1&amp;"",0)),0)</f>
        <v>2</v>
      </c>
      <c r="AF94" s="151"/>
      <c r="AG94" s="150"/>
      <c r="AH94" s="150"/>
      <c r="AI94" s="150"/>
      <c r="AJ94" s="150"/>
      <c r="AK94" s="151"/>
      <c r="AL94" s="150"/>
      <c r="AM94" s="152"/>
      <c r="AN94" s="150">
        <f t="shared" si="12"/>
        <v>14</v>
      </c>
      <c r="AO94" s="153" t="e">
        <f t="shared" si="10"/>
        <v>#REF!</v>
      </c>
      <c r="AP94" s="167">
        <v>10</v>
      </c>
      <c r="AQ94" s="167" t="s">
        <v>21</v>
      </c>
      <c r="AR94" s="155">
        <v>46238</v>
      </c>
      <c r="AS94" s="156">
        <v>1</v>
      </c>
      <c r="AT94" s="161"/>
      <c r="AU94" s="153"/>
      <c r="AV94" s="161">
        <v>46245</v>
      </c>
      <c r="AW94" s="161"/>
      <c r="AX94" s="153">
        <f t="shared" si="13"/>
        <v>25</v>
      </c>
      <c r="AY94" s="153">
        <f t="shared" si="14"/>
        <v>0</v>
      </c>
      <c r="AZ94" s="153">
        <f t="shared" si="15"/>
        <v>25</v>
      </c>
      <c r="BA94" s="153" t="e">
        <f t="shared" si="11"/>
        <v>#REF!</v>
      </c>
      <c r="BB94" s="160"/>
      <c r="BC94" s="30"/>
      <c r="BD94" s="30"/>
      <c r="BE94" s="30"/>
      <c r="BF94" s="30"/>
    </row>
    <row r="95" spans="1:58" ht="22.5" customHeight="1">
      <c r="A95" s="242" t="e">
        <f t="shared" si="16"/>
        <v>#REF!</v>
      </c>
      <c r="B95" s="243"/>
      <c r="C95" s="136" t="s">
        <v>84</v>
      </c>
      <c r="D95" s="148">
        <v>25</v>
      </c>
      <c r="E95" s="148"/>
      <c r="F95" s="148"/>
      <c r="G95" s="149" t="e">
        <f>Juli2026!AO91</f>
        <v>#REF!</v>
      </c>
      <c r="H95" s="150" cm="1">
        <f t="array" ref="H95">IFERROR(INDEX(PQ_Aug!$B$2:$AF$1079,MATCH($C95,PQ_Aug!$A$2:$A$1079,0),MATCH(H$3&amp;"",PQ_Aug!$B$1:$AF$1&amp;"",0)),0)</f>
        <v>0</v>
      </c>
      <c r="I95" s="151"/>
      <c r="J95" s="150" cm="1">
        <f t="array" ref="J95">IFERROR(INDEX(PQ_Aug!$B$2:$AF$1079,MATCH($C95,PQ_Aug!$A$2:$A$1079,0),MATCH(J$3&amp;"",PQ_Aug!$B$1:$AF$1&amp;"",0)),0)</f>
        <v>0</v>
      </c>
      <c r="K95" s="150" cm="1">
        <f t="array" ref="K95">IFERROR(INDEX(PQ_Aug!$B$2:$AF$1079,MATCH($C95,PQ_Aug!$A$2:$A$1079,0),MATCH(K$3&amp;"",PQ_Aug!$B$1:$AF$1&amp;"",0)),0)</f>
        <v>0</v>
      </c>
      <c r="L95" s="150" cm="1">
        <f t="array" ref="L95">IFERROR(INDEX(PQ_Aug!$B$2:$AF$1079,MATCH($C95,PQ_Aug!$A$2:$A$1079,0),MATCH(L$3&amp;"",PQ_Aug!$B$1:$AF$1&amp;"",0)),0)</f>
        <v>0</v>
      </c>
      <c r="M95" s="150" cm="1">
        <f t="array" ref="M95">IFERROR(INDEX(PQ_Aug!$B$2:$AF$1079,MATCH($C95,PQ_Aug!$A$2:$A$1079,0),MATCH(M$3&amp;"",PQ_Aug!$B$1:$AF$1&amp;"",0)),0)</f>
        <v>0</v>
      </c>
      <c r="N95" s="150" cm="1">
        <f t="array" ref="N95">IFERROR(INDEX(PQ_Aug!$B$2:$AF$1079,MATCH($C95,PQ_Aug!$A$2:$A$1079,0),MATCH(N$3&amp;"",PQ_Aug!$B$1:$AF$1&amp;"",0)),0)</f>
        <v>0</v>
      </c>
      <c r="O95" s="150" cm="1">
        <f t="array" ref="O95">IFERROR(INDEX(PQ_Aug!$B$2:$AF$1079,MATCH($C95,PQ_Aug!$A$2:$A$1079,0),MATCH(O$3&amp;"",PQ_Aug!$B$1:$AF$1&amp;"",0)),0)</f>
        <v>0</v>
      </c>
      <c r="P95" s="151"/>
      <c r="Q95" s="150" cm="1">
        <f t="array" ref="Q95">IFERROR(INDEX(PQ_Aug!$B$2:$AF$1079,MATCH($C95,PQ_Aug!$A$2:$A$1079,0),MATCH(Q$3&amp;"",PQ_Aug!$B$1:$AF$1&amp;"",0)),0)</f>
        <v>0</v>
      </c>
      <c r="R95" s="150" cm="1">
        <f t="array" ref="R95">IFERROR(INDEX(PQ_Aug!$B$2:$AF$1079,MATCH($C95,PQ_Aug!$A$2:$A$1079,0),MATCH(R$3&amp;"",PQ_Aug!$B$1:$AF$1&amp;"",0)),0)</f>
        <v>0</v>
      </c>
      <c r="S95" s="150" cm="1">
        <f t="array" ref="S95">IFERROR(INDEX(PQ_Aug!$B$2:$AF$1079,MATCH($C95,PQ_Aug!$A$2:$A$1079,0),MATCH(S$3&amp;"",PQ_Aug!$B$1:$AF$1&amp;"",0)),0)</f>
        <v>0</v>
      </c>
      <c r="T95" s="150" cm="1">
        <f t="array" ref="T95">IFERROR(INDEX(PQ_Aug!$B$2:$AF$1079,MATCH($C95,PQ_Aug!$A$2:$A$1079,0),MATCH(T$3&amp;"",PQ_Aug!$B$1:$AF$1&amp;"",0)),0)</f>
        <v>0</v>
      </c>
      <c r="U95" s="150" cm="1">
        <f t="array" ref="U95">IFERROR(INDEX(PQ_Aug!$B$2:$AF$1079,MATCH($C95,PQ_Aug!$A$2:$A$1079,0),MATCH(U$3&amp;"",PQ_Aug!$B$1:$AF$1&amp;"",0)),0)</f>
        <v>0</v>
      </c>
      <c r="V95" s="150" cm="1">
        <f t="array" ref="V95">IFERROR(INDEX(PQ_Aug!$B$2:$AF$1079,MATCH($C95,PQ_Aug!$A$2:$A$1079,0),MATCH(V$3&amp;"",PQ_Aug!$B$1:$AF$1&amp;"",0)),0)</f>
        <v>0</v>
      </c>
      <c r="W95" s="151"/>
      <c r="X95" s="151"/>
      <c r="Y95" s="150" cm="1">
        <f t="array" ref="Y95">IFERROR(INDEX(PQ_Aug!$B$2:$AF$1079,MATCH($C95,PQ_Aug!$A$2:$A$1079,0),MATCH(Y$3&amp;"",PQ_Aug!$B$1:$AF$1&amp;"",0)),0)</f>
        <v>0</v>
      </c>
      <c r="Z95" s="150" cm="1">
        <f t="array" ref="Z95">IFERROR(INDEX(PQ_Aug!$B$2:$AF$1079,MATCH($C95,PQ_Aug!$A$2:$A$1079,0),MATCH(Z$3&amp;"",PQ_Aug!$B$1:$AF$1&amp;"",0)),0)</f>
        <v>0</v>
      </c>
      <c r="AA95" s="150" cm="1">
        <f t="array" ref="AA95">IFERROR(INDEX(PQ_Aug!$B$2:$AF$1079,MATCH($C95,PQ_Aug!$A$2:$A$1079,0),MATCH(AA$3&amp;"",PQ_Aug!$B$1:$AF$1&amp;"",0)),0)</f>
        <v>0</v>
      </c>
      <c r="AB95" s="150" cm="1">
        <f t="array" ref="AB95">IFERROR(INDEX(PQ_Aug!$B$2:$AF$1079,MATCH($C95,PQ_Aug!$A$2:$A$1079,0),MATCH(AB$3&amp;"",PQ_Aug!$B$1:$AF$1&amp;"",0)),0)</f>
        <v>0</v>
      </c>
      <c r="AC95" s="150" cm="1">
        <f t="array" ref="AC95">IFERROR(INDEX(PQ_Aug!$B$2:$AF$1079,MATCH($C95,PQ_Aug!$A$2:$A$1079,0),MATCH(AC$3&amp;"",PQ_Aug!$B$1:$AF$1&amp;"",0)),0)</f>
        <v>0</v>
      </c>
      <c r="AD95" s="151"/>
      <c r="AE95" s="150" cm="1">
        <f t="array" ref="AE95">IFERROR(INDEX(PQ_Aug!$B$2:$AF$1079,MATCH($C95,PQ_Aug!$A$2:$A$1079,0),MATCH(AE$3&amp;"",PQ_Aug!$B$1:$AF$1&amp;"",0)),0)</f>
        <v>0</v>
      </c>
      <c r="AF95" s="151"/>
      <c r="AG95" s="150"/>
      <c r="AH95" s="150"/>
      <c r="AI95" s="150"/>
      <c r="AJ95" s="150"/>
      <c r="AK95" s="151"/>
      <c r="AL95" s="150"/>
      <c r="AM95" s="152"/>
      <c r="AN95" s="150">
        <f t="shared" si="12"/>
        <v>0</v>
      </c>
      <c r="AO95" s="153" t="e">
        <f t="shared" si="10"/>
        <v>#REF!</v>
      </c>
      <c r="AP95" s="167">
        <v>10</v>
      </c>
      <c r="AQ95" s="167" t="s">
        <v>21</v>
      </c>
      <c r="AR95" s="161"/>
      <c r="AS95" s="153"/>
      <c r="AT95" s="161"/>
      <c r="AU95" s="153"/>
      <c r="AV95" s="161"/>
      <c r="AW95" s="161"/>
      <c r="AX95" s="153">
        <f t="shared" si="13"/>
        <v>0</v>
      </c>
      <c r="AY95" s="153">
        <f t="shared" si="14"/>
        <v>0</v>
      </c>
      <c r="AZ95" s="153">
        <f t="shared" si="15"/>
        <v>0</v>
      </c>
      <c r="BA95" s="153" t="e">
        <f t="shared" si="11"/>
        <v>#REF!</v>
      </c>
      <c r="BB95" s="160"/>
      <c r="BC95" s="30"/>
      <c r="BD95" s="30"/>
      <c r="BE95" s="30"/>
      <c r="BF95" s="30"/>
    </row>
    <row r="96" spans="1:58" ht="22.5" customHeight="1">
      <c r="A96" s="233">
        <f t="shared" si="16"/>
        <v>111</v>
      </c>
      <c r="B96" s="234"/>
      <c r="C96" s="136" t="s">
        <v>67</v>
      </c>
      <c r="D96" s="148">
        <v>50</v>
      </c>
      <c r="E96" s="148">
        <v>67</v>
      </c>
      <c r="F96" s="148">
        <v>64</v>
      </c>
      <c r="G96" s="149">
        <f>Juli2026!AO92</f>
        <v>41</v>
      </c>
      <c r="H96" s="150" cm="1">
        <f t="array" ref="H96">IFERROR(INDEX(PQ_Aug!$B$2:$AF$1079,MATCH($C96,PQ_Aug!$A$2:$A$1079,0),MATCH(H$3&amp;"",PQ_Aug!$B$1:$AF$1&amp;"",0)),0)</f>
        <v>0</v>
      </c>
      <c r="I96" s="151"/>
      <c r="J96" s="150" cm="1">
        <f t="array" ref="J96">IFERROR(INDEX(PQ_Aug!$B$2:$AF$1079,MATCH($C96,PQ_Aug!$A$2:$A$1079,0),MATCH(J$3&amp;"",PQ_Aug!$B$1:$AF$1&amp;"",0)),0)</f>
        <v>3</v>
      </c>
      <c r="K96" s="150" cm="1">
        <f t="array" ref="K96">IFERROR(INDEX(PQ_Aug!$B$2:$AF$1079,MATCH($C96,PQ_Aug!$A$2:$A$1079,0),MATCH(K$3&amp;"",PQ_Aug!$B$1:$AF$1&amp;"",0)),0)</f>
        <v>1</v>
      </c>
      <c r="L96" s="150" cm="1">
        <f t="array" ref="L96">IFERROR(INDEX(PQ_Aug!$B$2:$AF$1079,MATCH($C96,PQ_Aug!$A$2:$A$1079,0),MATCH(L$3&amp;"",PQ_Aug!$B$1:$AF$1&amp;"",0)),0)</f>
        <v>5</v>
      </c>
      <c r="M96" s="150" cm="1">
        <f t="array" ref="M96">IFERROR(INDEX(PQ_Aug!$B$2:$AF$1079,MATCH($C96,PQ_Aug!$A$2:$A$1079,0),MATCH(M$3&amp;"",PQ_Aug!$B$1:$AF$1&amp;"",0)),0)</f>
        <v>0</v>
      </c>
      <c r="N96" s="150" cm="1">
        <f t="array" ref="N96">IFERROR(INDEX(PQ_Aug!$B$2:$AF$1079,MATCH($C96,PQ_Aug!$A$2:$A$1079,0),MATCH(N$3&amp;"",PQ_Aug!$B$1:$AF$1&amp;"",0)),0)</f>
        <v>4</v>
      </c>
      <c r="O96" s="150" cm="1">
        <f t="array" ref="O96">IFERROR(INDEX(PQ_Aug!$B$2:$AF$1079,MATCH($C96,PQ_Aug!$A$2:$A$1079,0),MATCH(O$3&amp;"",PQ_Aug!$B$1:$AF$1&amp;"",0)),0)</f>
        <v>0</v>
      </c>
      <c r="P96" s="151"/>
      <c r="Q96" s="150" cm="1">
        <f t="array" ref="Q96">IFERROR(INDEX(PQ_Aug!$B$2:$AF$1079,MATCH($C96,PQ_Aug!$A$2:$A$1079,0),MATCH(Q$3&amp;"",PQ_Aug!$B$1:$AF$1&amp;"",0)),0)</f>
        <v>1</v>
      </c>
      <c r="R96" s="150" cm="1">
        <f t="array" ref="R96">IFERROR(INDEX(PQ_Aug!$B$2:$AF$1079,MATCH($C96,PQ_Aug!$A$2:$A$1079,0),MATCH(R$3&amp;"",PQ_Aug!$B$1:$AF$1&amp;"",0)),0)</f>
        <v>3</v>
      </c>
      <c r="S96" s="150" cm="1">
        <f t="array" ref="S96">IFERROR(INDEX(PQ_Aug!$B$2:$AF$1079,MATCH($C96,PQ_Aug!$A$2:$A$1079,0),MATCH(S$3&amp;"",PQ_Aug!$B$1:$AF$1&amp;"",0)),0)</f>
        <v>1</v>
      </c>
      <c r="T96" s="150" cm="1">
        <f t="array" ref="T96">IFERROR(INDEX(PQ_Aug!$B$2:$AF$1079,MATCH($C96,PQ_Aug!$A$2:$A$1079,0),MATCH(T$3&amp;"",PQ_Aug!$B$1:$AF$1&amp;"",0)),0)</f>
        <v>3</v>
      </c>
      <c r="U96" s="150" cm="1">
        <f t="array" ref="U96">IFERROR(INDEX(PQ_Aug!$B$2:$AF$1079,MATCH($C96,PQ_Aug!$A$2:$A$1079,0),MATCH(U$3&amp;"",PQ_Aug!$B$1:$AF$1&amp;"",0)),0)</f>
        <v>1</v>
      </c>
      <c r="V96" s="150" cm="1">
        <f t="array" ref="V96">IFERROR(INDEX(PQ_Aug!$B$2:$AF$1079,MATCH($C96,PQ_Aug!$A$2:$A$1079,0),MATCH(V$3&amp;"",PQ_Aug!$B$1:$AF$1&amp;"",0)),0)</f>
        <v>0</v>
      </c>
      <c r="W96" s="151"/>
      <c r="X96" s="151"/>
      <c r="Y96" s="150" cm="1">
        <f t="array" ref="Y96">IFERROR(INDEX(PQ_Aug!$B$2:$AF$1079,MATCH($C96,PQ_Aug!$A$2:$A$1079,0),MATCH(Y$3&amp;"",PQ_Aug!$B$1:$AF$1&amp;"",0)),0)</f>
        <v>3</v>
      </c>
      <c r="Z96" s="150" cm="1">
        <f t="array" ref="Z96">IFERROR(INDEX(PQ_Aug!$B$2:$AF$1079,MATCH($C96,PQ_Aug!$A$2:$A$1079,0),MATCH(Z$3&amp;"",PQ_Aug!$B$1:$AF$1&amp;"",0)),0)</f>
        <v>2</v>
      </c>
      <c r="AA96" s="150" cm="1">
        <f t="array" ref="AA96">IFERROR(INDEX(PQ_Aug!$B$2:$AF$1079,MATCH($C96,PQ_Aug!$A$2:$A$1079,0),MATCH(AA$3&amp;"",PQ_Aug!$B$1:$AF$1&amp;"",0)),0)</f>
        <v>0</v>
      </c>
      <c r="AB96" s="150" cm="1">
        <f t="array" ref="AB96">IFERROR(INDEX(PQ_Aug!$B$2:$AF$1079,MATCH($C96,PQ_Aug!$A$2:$A$1079,0),MATCH(AB$3&amp;"",PQ_Aug!$B$1:$AF$1&amp;"",0)),0)</f>
        <v>0</v>
      </c>
      <c r="AC96" s="150" cm="1">
        <f t="array" ref="AC96">IFERROR(INDEX(PQ_Aug!$B$2:$AF$1079,MATCH($C96,PQ_Aug!$A$2:$A$1079,0),MATCH(AC$3&amp;"",PQ_Aug!$B$1:$AF$1&amp;"",0)),0)</f>
        <v>0</v>
      </c>
      <c r="AD96" s="151"/>
      <c r="AE96" s="150" cm="1">
        <f t="array" ref="AE96">IFERROR(INDEX(PQ_Aug!$B$2:$AF$1079,MATCH($C96,PQ_Aug!$A$2:$A$1079,0),MATCH(AE$3&amp;"",PQ_Aug!$B$1:$AF$1&amp;"",0)),0)</f>
        <v>3</v>
      </c>
      <c r="AF96" s="151"/>
      <c r="AG96" s="150"/>
      <c r="AH96" s="150"/>
      <c r="AI96" s="150"/>
      <c r="AJ96" s="150"/>
      <c r="AK96" s="151"/>
      <c r="AL96" s="150"/>
      <c r="AM96" s="152"/>
      <c r="AN96" s="150">
        <f t="shared" si="12"/>
        <v>30</v>
      </c>
      <c r="AO96" s="153">
        <f t="shared" si="10"/>
        <v>111</v>
      </c>
      <c r="AP96" s="167">
        <v>50</v>
      </c>
      <c r="AQ96" s="167" t="s">
        <v>68</v>
      </c>
      <c r="AR96" s="155">
        <v>46238</v>
      </c>
      <c r="AS96" s="156">
        <v>2</v>
      </c>
      <c r="AT96" s="161"/>
      <c r="AU96" s="153"/>
      <c r="AV96" s="161">
        <v>46245</v>
      </c>
      <c r="AW96" s="161"/>
      <c r="AX96" s="153">
        <f t="shared" si="13"/>
        <v>100</v>
      </c>
      <c r="AY96" s="153">
        <f t="shared" si="14"/>
        <v>0</v>
      </c>
      <c r="AZ96" s="153">
        <f t="shared" si="15"/>
        <v>100</v>
      </c>
      <c r="BA96" s="153">
        <f t="shared" si="11"/>
        <v>111</v>
      </c>
      <c r="BB96" s="160"/>
      <c r="BC96" s="30"/>
      <c r="BD96" s="30"/>
      <c r="BE96" s="30"/>
      <c r="BF96" s="30"/>
    </row>
    <row r="97" spans="1:60" ht="22.5" customHeight="1">
      <c r="A97" s="233" t="e">
        <f t="shared" si="16"/>
        <v>#REF!</v>
      </c>
      <c r="B97" s="234"/>
      <c r="C97" s="136" t="s">
        <v>69</v>
      </c>
      <c r="D97" s="148">
        <v>192</v>
      </c>
      <c r="E97" s="148">
        <f t="shared" ref="E97:F97" si="23">E96*4</f>
        <v>268</v>
      </c>
      <c r="F97" s="148">
        <f t="shared" si="23"/>
        <v>256</v>
      </c>
      <c r="G97" s="149" t="e">
        <f>Juli2026!AO93</f>
        <v>#REF!</v>
      </c>
      <c r="H97" s="150">
        <v>12</v>
      </c>
      <c r="I97" s="151"/>
      <c r="J97" s="150">
        <f t="shared" ref="J97:AL97" si="24">4*J96</f>
        <v>12</v>
      </c>
      <c r="K97" s="150">
        <f t="shared" si="24"/>
        <v>4</v>
      </c>
      <c r="L97" s="150">
        <v>32</v>
      </c>
      <c r="M97" s="150">
        <f t="shared" si="24"/>
        <v>0</v>
      </c>
      <c r="N97" s="150">
        <f t="shared" si="24"/>
        <v>16</v>
      </c>
      <c r="O97" s="150">
        <v>12</v>
      </c>
      <c r="P97" s="151"/>
      <c r="Q97" s="150">
        <f t="shared" si="24"/>
        <v>4</v>
      </c>
      <c r="R97" s="150">
        <f t="shared" si="24"/>
        <v>12</v>
      </c>
      <c r="S97" s="150">
        <f t="shared" si="24"/>
        <v>4</v>
      </c>
      <c r="T97" s="150">
        <f t="shared" si="24"/>
        <v>12</v>
      </c>
      <c r="U97" s="150">
        <f t="shared" si="24"/>
        <v>4</v>
      </c>
      <c r="V97" s="150">
        <f t="shared" si="24"/>
        <v>0</v>
      </c>
      <c r="W97" s="151"/>
      <c r="X97" s="151"/>
      <c r="Y97" s="150">
        <f t="shared" si="24"/>
        <v>12</v>
      </c>
      <c r="Z97" s="150">
        <f t="shared" si="24"/>
        <v>8</v>
      </c>
      <c r="AA97" s="150">
        <f t="shared" si="24"/>
        <v>0</v>
      </c>
      <c r="AB97" s="150">
        <f t="shared" si="24"/>
        <v>0</v>
      </c>
      <c r="AC97" s="150">
        <f t="shared" si="24"/>
        <v>0</v>
      </c>
      <c r="AD97" s="151"/>
      <c r="AE97" s="150">
        <f t="shared" si="24"/>
        <v>12</v>
      </c>
      <c r="AF97" s="151"/>
      <c r="AG97" s="150">
        <f t="shared" si="24"/>
        <v>0</v>
      </c>
      <c r="AH97" s="150">
        <f t="shared" si="24"/>
        <v>0</v>
      </c>
      <c r="AI97" s="150">
        <f t="shared" si="24"/>
        <v>0</v>
      </c>
      <c r="AJ97" s="150">
        <f t="shared" si="24"/>
        <v>0</v>
      </c>
      <c r="AK97" s="151">
        <f t="shared" si="24"/>
        <v>0</v>
      </c>
      <c r="AL97" s="150">
        <f t="shared" si="24"/>
        <v>0</v>
      </c>
      <c r="AM97" s="152"/>
      <c r="AN97" s="150">
        <f t="shared" si="12"/>
        <v>156</v>
      </c>
      <c r="AO97" s="153" t="e">
        <f t="shared" si="10"/>
        <v>#REF!</v>
      </c>
      <c r="AP97" s="167">
        <v>192</v>
      </c>
      <c r="AQ97" s="167" t="s">
        <v>79</v>
      </c>
      <c r="AR97" s="155">
        <v>46238</v>
      </c>
      <c r="AS97" s="156">
        <v>2</v>
      </c>
      <c r="AT97" s="161"/>
      <c r="AU97" s="153"/>
      <c r="AV97" s="161">
        <v>46245</v>
      </c>
      <c r="AW97" s="161"/>
      <c r="AX97" s="153">
        <f t="shared" si="13"/>
        <v>384</v>
      </c>
      <c r="AY97" s="153">
        <f t="shared" si="14"/>
        <v>0</v>
      </c>
      <c r="AZ97" s="153">
        <f t="shared" si="15"/>
        <v>384</v>
      </c>
      <c r="BA97" s="153" t="e">
        <f t="shared" si="11"/>
        <v>#REF!</v>
      </c>
      <c r="BB97" s="160"/>
      <c r="BC97" s="30"/>
      <c r="BD97" s="30"/>
      <c r="BE97" s="30"/>
      <c r="BF97" s="30"/>
    </row>
    <row r="98" spans="1:60" ht="22.5" customHeight="1">
      <c r="A98" s="242" t="e">
        <f t="shared" si="16"/>
        <v>#REF!</v>
      </c>
      <c r="B98" s="243"/>
      <c r="C98" s="136" t="s">
        <v>70</v>
      </c>
      <c r="D98" s="148">
        <v>12</v>
      </c>
      <c r="E98" s="148" t="s">
        <v>29</v>
      </c>
      <c r="F98" s="148" t="s">
        <v>29</v>
      </c>
      <c r="G98" s="149" t="e">
        <f>Juli2026!AO94</f>
        <v>#REF!</v>
      </c>
      <c r="H98" s="150">
        <v>1</v>
      </c>
      <c r="I98" s="151"/>
      <c r="J98" s="150" cm="1">
        <f t="array" ref="J98">IFERROR(INDEX(PQ_Aug!$B$2:$AF$1079,MATCH($C98,PQ_Aug!$A$2:$A$1079,0),MATCH(J$3&amp;"",PQ_Aug!$B$1:$AF$1&amp;"",0)),0)</f>
        <v>0</v>
      </c>
      <c r="K98" s="150" cm="1">
        <f t="array" ref="K98">IFERROR(INDEX(PQ_Aug!$B$2:$AF$1079,MATCH($C98,PQ_Aug!$A$2:$A$1079,0),MATCH(K$3&amp;"",PQ_Aug!$B$1:$AF$1&amp;"",0)),0)</f>
        <v>0</v>
      </c>
      <c r="L98" s="150">
        <v>1</v>
      </c>
      <c r="M98" s="150" cm="1">
        <f t="array" ref="M98">IFERROR(INDEX(PQ_Aug!$B$2:$AF$1079,MATCH($C98,PQ_Aug!$A$2:$A$1079,0),MATCH(M$3&amp;"",PQ_Aug!$B$1:$AF$1&amp;"",0)),0)</f>
        <v>0</v>
      </c>
      <c r="N98" s="150" cm="1">
        <f t="array" ref="N98">IFERROR(INDEX(PQ_Aug!$B$2:$AF$1079,MATCH($C98,PQ_Aug!$A$2:$A$1079,0),MATCH(N$3&amp;"",PQ_Aug!$B$1:$AF$1&amp;"",0)),0)</f>
        <v>0</v>
      </c>
      <c r="O98" s="150">
        <v>1</v>
      </c>
      <c r="P98" s="151"/>
      <c r="Q98" s="150" cm="1">
        <f t="array" ref="Q98">IFERROR(INDEX(PQ_Aug!$B$2:$AF$1079,MATCH($C98,PQ_Aug!$A$2:$A$1079,0),MATCH(Q$3&amp;"",PQ_Aug!$B$1:$AF$1&amp;"",0)),0)</f>
        <v>0</v>
      </c>
      <c r="R98" s="150" cm="1">
        <f t="array" ref="R98">IFERROR(INDEX(PQ_Aug!$B$2:$AF$1079,MATCH($C98,PQ_Aug!$A$2:$A$1079,0),MATCH(R$3&amp;"",PQ_Aug!$B$1:$AF$1&amp;"",0)),0)</f>
        <v>0</v>
      </c>
      <c r="S98" s="150">
        <v>1</v>
      </c>
      <c r="T98" s="150" cm="1">
        <f t="array" ref="T98">IFERROR(INDEX(PQ_Aug!$B$2:$AF$1079,MATCH($C98,PQ_Aug!$A$2:$A$1079,0),MATCH(T$3&amp;"",PQ_Aug!$B$1:$AF$1&amp;"",0)),0)</f>
        <v>0</v>
      </c>
      <c r="U98" s="150" cm="1">
        <f t="array" ref="U98">IFERROR(INDEX(PQ_Aug!$B$2:$AF$1079,MATCH($C98,PQ_Aug!$A$2:$A$1079,0),MATCH(U$3&amp;"",PQ_Aug!$B$1:$AF$1&amp;"",0)),0)</f>
        <v>0</v>
      </c>
      <c r="V98" s="150">
        <v>1</v>
      </c>
      <c r="W98" s="151"/>
      <c r="X98" s="151"/>
      <c r="Y98" s="150" cm="1">
        <f t="array" ref="Y98">IFERROR(INDEX(PQ_Aug!$B$2:$AF$1079,MATCH($C98,PQ_Aug!$A$2:$A$1079,0),MATCH(Y$3&amp;"",PQ_Aug!$B$1:$AF$1&amp;"",0)),0)</f>
        <v>0</v>
      </c>
      <c r="Z98" s="150">
        <v>1</v>
      </c>
      <c r="AA98" s="150" cm="1">
        <f t="array" ref="AA98">IFERROR(INDEX(PQ_Aug!$B$2:$AF$1079,MATCH($C98,PQ_Aug!$A$2:$A$1079,0),MATCH(AA$3&amp;"",PQ_Aug!$B$1:$AF$1&amp;"",0)),0)</f>
        <v>0</v>
      </c>
      <c r="AB98" s="150" cm="1">
        <f t="array" ref="AB98">IFERROR(INDEX(PQ_Aug!$B$2:$AF$1079,MATCH($C98,PQ_Aug!$A$2:$A$1079,0),MATCH(AB$3&amp;"",PQ_Aug!$B$1:$AF$1&amp;"",0)),0)</f>
        <v>0</v>
      </c>
      <c r="AC98" s="150">
        <v>1</v>
      </c>
      <c r="AD98" s="151"/>
      <c r="AE98" s="150" cm="1">
        <f t="array" ref="AE98">IFERROR(INDEX(PQ_Aug!$B$2:$AF$1079,MATCH($C98,PQ_Aug!$A$2:$A$1079,0),MATCH(AE$3&amp;"",PQ_Aug!$B$1:$AF$1&amp;"",0)),0)</f>
        <v>0</v>
      </c>
      <c r="AF98" s="151"/>
      <c r="AG98" s="150"/>
      <c r="AH98" s="150"/>
      <c r="AI98" s="150"/>
      <c r="AJ98" s="150"/>
      <c r="AK98" s="151"/>
      <c r="AL98" s="150"/>
      <c r="AM98" s="152"/>
      <c r="AN98" s="150">
        <f t="shared" si="12"/>
        <v>7</v>
      </c>
      <c r="AO98" s="153" t="e">
        <f t="shared" si="10"/>
        <v>#REF!</v>
      </c>
      <c r="AP98" s="167">
        <v>10</v>
      </c>
      <c r="AQ98" s="179" t="s">
        <v>79</v>
      </c>
      <c r="AR98" s="155">
        <v>46238</v>
      </c>
      <c r="AS98" s="156">
        <v>1</v>
      </c>
      <c r="AT98" s="161"/>
      <c r="AU98" s="153"/>
      <c r="AV98" s="161">
        <v>46245</v>
      </c>
      <c r="AW98" s="161"/>
      <c r="AX98" s="153">
        <f t="shared" si="13"/>
        <v>12</v>
      </c>
      <c r="AY98" s="153">
        <f t="shared" si="14"/>
        <v>0</v>
      </c>
      <c r="AZ98" s="153">
        <f t="shared" si="15"/>
        <v>12</v>
      </c>
      <c r="BA98" s="153" t="e">
        <f t="shared" si="11"/>
        <v>#REF!</v>
      </c>
      <c r="BB98" s="160"/>
      <c r="BC98" s="30"/>
      <c r="BD98" s="30"/>
      <c r="BE98" s="30"/>
      <c r="BF98" s="30"/>
    </row>
    <row r="99" spans="1:60" ht="22.5" customHeight="1">
      <c r="A99" s="233" t="e">
        <f t="shared" si="16"/>
        <v>#REF!</v>
      </c>
      <c r="B99" s="234"/>
      <c r="C99" s="136" t="s">
        <v>71</v>
      </c>
      <c r="D99" s="148">
        <v>100</v>
      </c>
      <c r="E99" s="148" t="s">
        <v>29</v>
      </c>
      <c r="F99" s="148">
        <v>29</v>
      </c>
      <c r="G99" s="149" t="e">
        <f>Juli2026!AO95</f>
        <v>#REF!</v>
      </c>
      <c r="H99" s="150" cm="1">
        <f t="array" ref="H99">IFERROR(INDEX(PQ_Aug!$B$2:$AF$1079,MATCH($C99,PQ_Aug!$A$2:$A$1079,0),MATCH(H$3&amp;"",PQ_Aug!$B$1:$AF$1&amp;"",0)),0)</f>
        <v>0</v>
      </c>
      <c r="I99" s="151"/>
      <c r="J99" s="150" cm="1">
        <f t="array" ref="J99">IFERROR(INDEX(PQ_Aug!$B$2:$AF$1079,MATCH($C99,PQ_Aug!$A$2:$A$1079,0),MATCH(J$3&amp;"",PQ_Aug!$B$1:$AF$1&amp;"",0)),0)</f>
        <v>1</v>
      </c>
      <c r="K99" s="150" cm="1">
        <f t="array" ref="K99">IFERROR(INDEX(PQ_Aug!$B$2:$AF$1079,MATCH($C99,PQ_Aug!$A$2:$A$1079,0),MATCH(K$3&amp;"",PQ_Aug!$B$1:$AF$1&amp;"",0)),0)</f>
        <v>0</v>
      </c>
      <c r="L99" s="150" cm="1">
        <f t="array" ref="L99">IFERROR(INDEX(PQ_Aug!$B$2:$AF$1079,MATCH($C99,PQ_Aug!$A$2:$A$1079,0),MATCH(L$3&amp;"",PQ_Aug!$B$1:$AF$1&amp;"",0)),0)</f>
        <v>0</v>
      </c>
      <c r="M99" s="150" cm="1">
        <f t="array" ref="M99">IFERROR(INDEX(PQ_Aug!$B$2:$AF$1079,MATCH($C99,PQ_Aug!$A$2:$A$1079,0),MATCH(M$3&amp;"",PQ_Aug!$B$1:$AF$1&amp;"",0)),0)</f>
        <v>0</v>
      </c>
      <c r="N99" s="150" cm="1">
        <f t="array" ref="N99">IFERROR(INDEX(PQ_Aug!$B$2:$AF$1079,MATCH($C99,PQ_Aug!$A$2:$A$1079,0),MATCH(N$3&amp;"",PQ_Aug!$B$1:$AF$1&amp;"",0)),0)</f>
        <v>1</v>
      </c>
      <c r="O99" s="150" cm="1">
        <f t="array" ref="O99">IFERROR(INDEX(PQ_Aug!$B$2:$AF$1079,MATCH($C99,PQ_Aug!$A$2:$A$1079,0),MATCH(O$3&amp;"",PQ_Aug!$B$1:$AF$1&amp;"",0)),0)</f>
        <v>0</v>
      </c>
      <c r="P99" s="151"/>
      <c r="Q99" s="150" cm="1">
        <f t="array" ref="Q99">IFERROR(INDEX(PQ_Aug!$B$2:$AF$1079,MATCH($C99,PQ_Aug!$A$2:$A$1079,0),MATCH(Q$3&amp;"",PQ_Aug!$B$1:$AF$1&amp;"",0)),0)</f>
        <v>0</v>
      </c>
      <c r="R99" s="150" cm="1">
        <f t="array" ref="R99">IFERROR(INDEX(PQ_Aug!$B$2:$AF$1079,MATCH($C99,PQ_Aug!$A$2:$A$1079,0),MATCH(R$3&amp;"",PQ_Aug!$B$1:$AF$1&amp;"",0)),0)</f>
        <v>0</v>
      </c>
      <c r="S99" s="150" cm="1">
        <f t="array" ref="S99">IFERROR(INDEX(PQ_Aug!$B$2:$AF$1079,MATCH($C99,PQ_Aug!$A$2:$A$1079,0),MATCH(S$3&amp;"",PQ_Aug!$B$1:$AF$1&amp;"",0)),0)</f>
        <v>0</v>
      </c>
      <c r="T99" s="150" cm="1">
        <f t="array" ref="T99">IFERROR(INDEX(PQ_Aug!$B$2:$AF$1079,MATCH($C99,PQ_Aug!$A$2:$A$1079,0),MATCH(T$3&amp;"",PQ_Aug!$B$1:$AF$1&amp;"",0)),0)</f>
        <v>1</v>
      </c>
      <c r="U99" s="150" cm="1">
        <f t="array" ref="U99">IFERROR(INDEX(PQ_Aug!$B$2:$AF$1079,MATCH($C99,PQ_Aug!$A$2:$A$1079,0),MATCH(U$3&amp;"",PQ_Aug!$B$1:$AF$1&amp;"",0)),0)</f>
        <v>1</v>
      </c>
      <c r="V99" s="150" cm="1">
        <f t="array" ref="V99">IFERROR(INDEX(PQ_Aug!$B$2:$AF$1079,MATCH($C99,PQ_Aug!$A$2:$A$1079,0),MATCH(V$3&amp;"",PQ_Aug!$B$1:$AF$1&amp;"",0)),0)</f>
        <v>3</v>
      </c>
      <c r="W99" s="151"/>
      <c r="X99" s="151"/>
      <c r="Y99" s="150" cm="1">
        <f t="array" ref="Y99">IFERROR(INDEX(PQ_Aug!$B$2:$AF$1079,MATCH($C99,PQ_Aug!$A$2:$A$1079,0),MATCH(Y$3&amp;"",PQ_Aug!$B$1:$AF$1&amp;"",0)),0)</f>
        <v>1</v>
      </c>
      <c r="Z99" s="150" cm="1">
        <f t="array" ref="Z99">IFERROR(INDEX(PQ_Aug!$B$2:$AF$1079,MATCH($C99,PQ_Aug!$A$2:$A$1079,0),MATCH(Z$3&amp;"",PQ_Aug!$B$1:$AF$1&amp;"",0)),0)</f>
        <v>1</v>
      </c>
      <c r="AA99" s="150" cm="1">
        <f t="array" ref="AA99">IFERROR(INDEX(PQ_Aug!$B$2:$AF$1079,MATCH($C99,PQ_Aug!$A$2:$A$1079,0),MATCH(AA$3&amp;"",PQ_Aug!$B$1:$AF$1&amp;"",0)),0)</f>
        <v>0</v>
      </c>
      <c r="AB99" s="150" cm="1">
        <f t="array" ref="AB99">IFERROR(INDEX(PQ_Aug!$B$2:$AF$1079,MATCH($C99,PQ_Aug!$A$2:$A$1079,0),MATCH(AB$3&amp;"",PQ_Aug!$B$1:$AF$1&amp;"",0)),0)</f>
        <v>0</v>
      </c>
      <c r="AC99" s="150" cm="1">
        <f t="array" ref="AC99">IFERROR(INDEX(PQ_Aug!$B$2:$AF$1079,MATCH($C99,PQ_Aug!$A$2:$A$1079,0),MATCH(AC$3&amp;"",PQ_Aug!$B$1:$AF$1&amp;"",0)),0)</f>
        <v>0</v>
      </c>
      <c r="AD99" s="151"/>
      <c r="AE99" s="150" cm="1">
        <f t="array" ref="AE99">IFERROR(INDEX(PQ_Aug!$B$2:$AF$1079,MATCH($C99,PQ_Aug!$A$2:$A$1079,0),MATCH(AE$3&amp;"",PQ_Aug!$B$1:$AF$1&amp;"",0)),0)</f>
        <v>1</v>
      </c>
      <c r="AF99" s="151"/>
      <c r="AG99" s="150"/>
      <c r="AH99" s="150"/>
      <c r="AI99" s="150"/>
      <c r="AJ99" s="150"/>
      <c r="AK99" s="151"/>
      <c r="AL99" s="150"/>
      <c r="AM99" s="152"/>
      <c r="AN99" s="150">
        <f t="shared" si="12"/>
        <v>10</v>
      </c>
      <c r="AO99" s="153" t="e">
        <f t="shared" si="10"/>
        <v>#REF!</v>
      </c>
      <c r="AP99" s="167">
        <v>20</v>
      </c>
      <c r="AQ99" s="167" t="s">
        <v>21</v>
      </c>
      <c r="AR99" s="168"/>
      <c r="AS99" s="169"/>
      <c r="AT99" s="168"/>
      <c r="AU99" s="169"/>
      <c r="AV99" s="168"/>
      <c r="AW99" s="168"/>
      <c r="AX99" s="169">
        <f t="shared" si="13"/>
        <v>0</v>
      </c>
      <c r="AY99" s="153">
        <f t="shared" si="14"/>
        <v>0</v>
      </c>
      <c r="AZ99" s="153">
        <f t="shared" si="15"/>
        <v>0</v>
      </c>
      <c r="BA99" s="153" t="e">
        <f t="shared" si="11"/>
        <v>#REF!</v>
      </c>
      <c r="BB99" s="160"/>
      <c r="BC99" s="30"/>
      <c r="BD99" s="30"/>
      <c r="BE99" s="30"/>
      <c r="BF99" s="30"/>
    </row>
    <row r="100" spans="1:60" ht="21" customHeight="1">
      <c r="A100" s="233">
        <f t="shared" si="16"/>
        <v>526</v>
      </c>
      <c r="B100" s="234"/>
      <c r="C100" s="136" t="s">
        <v>72</v>
      </c>
      <c r="D100" s="148">
        <v>100</v>
      </c>
      <c r="E100" s="148">
        <v>213</v>
      </c>
      <c r="F100" s="148">
        <v>364</v>
      </c>
      <c r="G100" s="149">
        <f>Juli2026!AO96</f>
        <v>1649</v>
      </c>
      <c r="H100" s="150" cm="1">
        <f t="array" ref="H100">IFERROR(INDEX(PQ_Aug!$B$2:$AF$1079,MATCH($C100,PQ_Aug!$A$2:$A$1079,0),MATCH(H$3&amp;"",PQ_Aug!$B$1:$AF$1&amp;"",0)),0)</f>
        <v>9</v>
      </c>
      <c r="I100" s="151"/>
      <c r="J100" s="150" cm="1">
        <f t="array" ref="J100">IFERROR(INDEX(PQ_Aug!$B$2:$AF$1079,MATCH($C100,PQ_Aug!$A$2:$A$1079,0),MATCH(J$3&amp;"",PQ_Aug!$B$1:$AF$1&amp;"",0)),0)</f>
        <v>10</v>
      </c>
      <c r="K100" s="150" cm="1">
        <f t="array" ref="K100">IFERROR(INDEX(PQ_Aug!$B$2:$AF$1079,MATCH($C100,PQ_Aug!$A$2:$A$1079,0),MATCH(K$3&amp;"",PQ_Aug!$B$1:$AF$1&amp;"",0)),0)</f>
        <v>165</v>
      </c>
      <c r="L100" s="150" cm="1">
        <f t="array" ref="L100">IFERROR(INDEX(PQ_Aug!$B$2:$AF$1079,MATCH($C100,PQ_Aug!$A$2:$A$1079,0),MATCH(L$3&amp;"",PQ_Aug!$B$1:$AF$1&amp;"",0)),0)</f>
        <v>0</v>
      </c>
      <c r="M100" s="150" cm="1">
        <f t="array" ref="M100">IFERROR(INDEX(PQ_Aug!$B$2:$AF$1079,MATCH($C100,PQ_Aug!$A$2:$A$1079,0),MATCH(M$3&amp;"",PQ_Aug!$B$1:$AF$1&amp;"",0)),0)</f>
        <v>253</v>
      </c>
      <c r="N100" s="150" cm="1">
        <f t="array" ref="N100">IFERROR(INDEX(PQ_Aug!$B$2:$AF$1079,MATCH($C100,PQ_Aug!$A$2:$A$1079,0),MATCH(N$3&amp;"",PQ_Aug!$B$1:$AF$1&amp;"",0)),0)</f>
        <v>5</v>
      </c>
      <c r="O100" s="150" cm="1">
        <f t="array" ref="O100">IFERROR(INDEX(PQ_Aug!$B$2:$AF$1079,MATCH($C100,PQ_Aug!$A$2:$A$1079,0),MATCH(O$3&amp;"",PQ_Aug!$B$1:$AF$1&amp;"",0)),0)</f>
        <v>3</v>
      </c>
      <c r="P100" s="151"/>
      <c r="Q100" s="150" cm="1">
        <f t="array" ref="Q100">IFERROR(INDEX(PQ_Aug!$B$2:$AF$1079,MATCH($C100,PQ_Aug!$A$2:$A$1079,0),MATCH(Q$3&amp;"",PQ_Aug!$B$1:$AF$1&amp;"",0)),0)</f>
        <v>318</v>
      </c>
      <c r="R100" s="150" cm="1">
        <f t="array" ref="R100">IFERROR(INDEX(PQ_Aug!$B$2:$AF$1079,MATCH($C100,PQ_Aug!$A$2:$A$1079,0),MATCH(R$3&amp;"",PQ_Aug!$B$1:$AF$1&amp;"",0)),0)</f>
        <v>225</v>
      </c>
      <c r="S100" s="150" cm="1">
        <f t="array" ref="S100">IFERROR(INDEX(PQ_Aug!$B$2:$AF$1079,MATCH($C100,PQ_Aug!$A$2:$A$1079,0),MATCH(S$3&amp;"",PQ_Aug!$B$1:$AF$1&amp;"",0)),0)</f>
        <v>15</v>
      </c>
      <c r="T100" s="150" cm="1">
        <f t="array" ref="T100">IFERROR(INDEX(PQ_Aug!$B$2:$AF$1079,MATCH($C100,PQ_Aug!$A$2:$A$1079,0),MATCH(T$3&amp;"",PQ_Aug!$B$1:$AF$1&amp;"",0)),0)</f>
        <v>1</v>
      </c>
      <c r="U100" s="150" cm="1">
        <f t="array" ref="U100">IFERROR(INDEX(PQ_Aug!$B$2:$AF$1079,MATCH($C100,PQ_Aug!$A$2:$A$1079,0),MATCH(U$3&amp;"",PQ_Aug!$B$1:$AF$1&amp;"",0)),0)</f>
        <v>19</v>
      </c>
      <c r="V100" s="150" cm="1">
        <f t="array" ref="V100">IFERROR(INDEX(PQ_Aug!$B$2:$AF$1079,MATCH($C100,PQ_Aug!$A$2:$A$1079,0),MATCH(V$3&amp;"",PQ_Aug!$B$1:$AF$1&amp;"",0)),0)</f>
        <v>0</v>
      </c>
      <c r="W100" s="151"/>
      <c r="X100" s="151"/>
      <c r="Y100" s="150" cm="1">
        <f t="array" ref="Y100">IFERROR(INDEX(PQ_Aug!$B$2:$AF$1079,MATCH($C100,PQ_Aug!$A$2:$A$1079,0),MATCH(Y$3&amp;"",PQ_Aug!$B$1:$AF$1&amp;"",0)),0)</f>
        <v>14</v>
      </c>
      <c r="Z100" s="150" cm="1">
        <f t="array" ref="Z100">IFERROR(INDEX(PQ_Aug!$B$2:$AF$1079,MATCH($C100,PQ_Aug!$A$2:$A$1079,0),MATCH(Z$3&amp;"",PQ_Aug!$B$1:$AF$1&amp;"",0)),0)</f>
        <v>12</v>
      </c>
      <c r="AA100" s="150" cm="1">
        <f t="array" ref="AA100">IFERROR(INDEX(PQ_Aug!$B$2:$AF$1079,MATCH($C100,PQ_Aug!$A$2:$A$1079,0),MATCH(AA$3&amp;"",PQ_Aug!$B$1:$AF$1&amp;"",0)),0)</f>
        <v>3</v>
      </c>
      <c r="AB100" s="150" cm="1">
        <f t="array" ref="AB100">IFERROR(INDEX(PQ_Aug!$B$2:$AF$1079,MATCH($C100,PQ_Aug!$A$2:$A$1079,0),MATCH(AB$3&amp;"",PQ_Aug!$B$1:$AF$1&amp;"",0)),0)</f>
        <v>18</v>
      </c>
      <c r="AC100" s="150" cm="1">
        <f t="array" ref="AC100">IFERROR(INDEX(PQ_Aug!$B$2:$AF$1079,MATCH($C100,PQ_Aug!$A$2:$A$1079,0),MATCH(AC$3&amp;"",PQ_Aug!$B$1:$AF$1&amp;"",0)),0)</f>
        <v>4</v>
      </c>
      <c r="AD100" s="151"/>
      <c r="AE100" s="150" cm="1">
        <f t="array" ref="AE100">IFERROR(INDEX(PQ_Aug!$B$2:$AF$1079,MATCH($C100,PQ_Aug!$A$2:$A$1079,0),MATCH(AE$3&amp;"",PQ_Aug!$B$1:$AF$1&amp;"",0)),0)</f>
        <v>25</v>
      </c>
      <c r="AF100" s="151"/>
      <c r="AG100" s="150"/>
      <c r="AH100" s="150"/>
      <c r="AI100" s="150"/>
      <c r="AJ100" s="150"/>
      <c r="AK100" s="151"/>
      <c r="AL100" s="150"/>
      <c r="AM100" s="152">
        <v>24</v>
      </c>
      <c r="AN100" s="150">
        <f t="shared" si="12"/>
        <v>1123</v>
      </c>
      <c r="AO100" s="153">
        <f t="shared" si="10"/>
        <v>526</v>
      </c>
      <c r="AP100" s="167">
        <v>300</v>
      </c>
      <c r="AQ100" s="171" t="s">
        <v>73</v>
      </c>
      <c r="AR100" s="161"/>
      <c r="AS100" s="173"/>
      <c r="AT100" s="172"/>
      <c r="AU100" s="173"/>
      <c r="AV100" s="172"/>
      <c r="AW100" s="172"/>
      <c r="AX100" s="173">
        <f t="shared" si="13"/>
        <v>0</v>
      </c>
      <c r="AY100" s="183">
        <f t="shared" si="14"/>
        <v>0</v>
      </c>
      <c r="AZ100" s="153">
        <f t="shared" si="15"/>
        <v>0</v>
      </c>
      <c r="BA100" s="153">
        <f t="shared" si="11"/>
        <v>526</v>
      </c>
      <c r="BB100" s="184"/>
      <c r="BC100" s="26"/>
      <c r="BD100" s="26"/>
      <c r="BE100" s="26"/>
      <c r="BF100" s="26"/>
    </row>
    <row r="101" spans="1:60" ht="22.5" customHeight="1">
      <c r="A101" s="242">
        <f t="shared" si="16"/>
        <v>133</v>
      </c>
      <c r="B101" s="243"/>
      <c r="C101" s="136" t="s">
        <v>78</v>
      </c>
      <c r="D101" s="148">
        <v>100</v>
      </c>
      <c r="E101" s="148">
        <v>39</v>
      </c>
      <c r="F101" s="148"/>
      <c r="G101" s="149">
        <f>Juli2026!AO97</f>
        <v>221</v>
      </c>
      <c r="H101" s="150" cm="1">
        <f t="array" ref="H101">IFERROR(INDEX(PQ_Aug!$B$2:$AF$1079,MATCH($C101,PQ_Aug!$A$2:$A$1079,0),MATCH(H$3&amp;"",PQ_Aug!$B$1:$AF$1&amp;"",0)),0)</f>
        <v>3</v>
      </c>
      <c r="I101" s="151"/>
      <c r="J101" s="150" cm="1">
        <f t="array" ref="J101">IFERROR(INDEX(PQ_Aug!$B$2:$AF$1079,MATCH($C101,PQ_Aug!$A$2:$A$1079,0),MATCH(J$3&amp;"",PQ_Aug!$B$1:$AF$1&amp;"",0)),0)</f>
        <v>3</v>
      </c>
      <c r="K101" s="150" cm="1">
        <f t="array" ref="K101">IFERROR(INDEX(PQ_Aug!$B$2:$AF$1079,MATCH($C101,PQ_Aug!$A$2:$A$1079,0),MATCH(K$3&amp;"",PQ_Aug!$B$1:$AF$1&amp;"",0)),0)</f>
        <v>3</v>
      </c>
      <c r="L101" s="150">
        <v>10</v>
      </c>
      <c r="M101" s="150" cm="1">
        <f t="array" ref="M101">IFERROR(INDEX(PQ_Aug!$B$2:$AF$1079,MATCH($C101,PQ_Aug!$A$2:$A$1079,0),MATCH(M$3&amp;"",PQ_Aug!$B$1:$AF$1&amp;"",0)),0)</f>
        <v>1</v>
      </c>
      <c r="N101" s="150" cm="1">
        <f t="array" ref="N101">IFERROR(INDEX(PQ_Aug!$B$2:$AF$1079,MATCH($C101,PQ_Aug!$A$2:$A$1079,0),MATCH(N$3&amp;"",PQ_Aug!$B$1:$AF$1&amp;"",0)),0)</f>
        <v>1</v>
      </c>
      <c r="O101" s="150" cm="1">
        <f t="array" ref="O101">IFERROR(INDEX(PQ_Aug!$B$2:$AF$1079,MATCH($C101,PQ_Aug!$A$2:$A$1079,0),MATCH(O$3&amp;"",PQ_Aug!$B$1:$AF$1&amp;"",0)),0)</f>
        <v>6</v>
      </c>
      <c r="P101" s="151"/>
      <c r="Q101" s="150" cm="1">
        <f t="array" ref="Q101">IFERROR(INDEX(PQ_Aug!$B$2:$AF$1079,MATCH($C101,PQ_Aug!$A$2:$A$1079,0),MATCH(Q$3&amp;"",PQ_Aug!$B$1:$AF$1&amp;"",0)),0)</f>
        <v>2</v>
      </c>
      <c r="R101" s="150" cm="1">
        <f t="array" ref="R101">IFERROR(INDEX(PQ_Aug!$B$2:$AF$1079,MATCH($C101,PQ_Aug!$A$2:$A$1079,0),MATCH(R$3&amp;"",PQ_Aug!$B$1:$AF$1&amp;"",0)),0)</f>
        <v>5</v>
      </c>
      <c r="S101" s="150" cm="1">
        <f t="array" ref="S101">IFERROR(INDEX(PQ_Aug!$B$2:$AF$1079,MATCH($C101,PQ_Aug!$A$2:$A$1079,0),MATCH(S$3&amp;"",PQ_Aug!$B$1:$AF$1&amp;"",0)),0)</f>
        <v>3</v>
      </c>
      <c r="T101" s="150" cm="1">
        <f t="array" ref="T101">IFERROR(INDEX(PQ_Aug!$B$2:$AF$1079,MATCH($C101,PQ_Aug!$A$2:$A$1079,0),MATCH(T$3&amp;"",PQ_Aug!$B$1:$AF$1&amp;"",0)),0)</f>
        <v>0</v>
      </c>
      <c r="U101" s="150" cm="1">
        <f t="array" ref="U101">IFERROR(INDEX(PQ_Aug!$B$2:$AF$1079,MATCH($C101,PQ_Aug!$A$2:$A$1079,0),MATCH(U$3&amp;"",PQ_Aug!$B$1:$AF$1&amp;"",0)),0)</f>
        <v>0</v>
      </c>
      <c r="V101" s="150" cm="1">
        <f t="array" ref="V101">IFERROR(INDEX(PQ_Aug!$B$2:$AF$1079,MATCH($C101,PQ_Aug!$A$2:$A$1079,0),MATCH(V$3&amp;"",PQ_Aug!$B$1:$AF$1&amp;"",0)),0)</f>
        <v>1</v>
      </c>
      <c r="W101" s="151"/>
      <c r="X101" s="151"/>
      <c r="Y101" s="150" cm="1">
        <f t="array" ref="Y101">IFERROR(INDEX(PQ_Aug!$B$2:$AF$1079,MATCH($C101,PQ_Aug!$A$2:$A$1079,0),MATCH(Y$3&amp;"",PQ_Aug!$B$1:$AF$1&amp;"",0)),0)</f>
        <v>8</v>
      </c>
      <c r="Z101" s="150" cm="1">
        <f t="array" ref="Z101">IFERROR(INDEX(PQ_Aug!$B$2:$AF$1079,MATCH($C101,PQ_Aug!$A$2:$A$1079,0),MATCH(Z$3&amp;"",PQ_Aug!$B$1:$AF$1&amp;"",0)),0)</f>
        <v>4</v>
      </c>
      <c r="AA101" s="150" cm="1">
        <f t="array" ref="AA101">IFERROR(INDEX(PQ_Aug!$B$2:$AF$1079,MATCH($C101,PQ_Aug!$A$2:$A$1079,0),MATCH(AA$3&amp;"",PQ_Aug!$B$1:$AF$1&amp;"",0)),0)</f>
        <v>3</v>
      </c>
      <c r="AB101" s="150" cm="1">
        <f t="array" ref="AB101">IFERROR(INDEX(PQ_Aug!$B$2:$AF$1079,MATCH($C101,PQ_Aug!$A$2:$A$1079,0),MATCH(AB$3&amp;"",PQ_Aug!$B$1:$AF$1&amp;"",0)),0)</f>
        <v>1</v>
      </c>
      <c r="AC101" s="150" cm="1">
        <f t="array" ref="AC101">IFERROR(INDEX(PQ_Aug!$B$2:$AF$1079,MATCH($C101,PQ_Aug!$A$2:$A$1079,0),MATCH(AC$3&amp;"",PQ_Aug!$B$1:$AF$1&amp;"",0)),0)</f>
        <v>1</v>
      </c>
      <c r="AD101" s="151"/>
      <c r="AE101" s="150" cm="1">
        <f t="array" ref="AE101">IFERROR(INDEX(PQ_Aug!$B$2:$AF$1079,MATCH($C101,PQ_Aug!$A$2:$A$1079,0),MATCH(AE$3&amp;"",PQ_Aug!$B$1:$AF$1&amp;"",0)),0)</f>
        <v>9</v>
      </c>
      <c r="AF101" s="151"/>
      <c r="AG101" s="150"/>
      <c r="AH101" s="150"/>
      <c r="AI101" s="150"/>
      <c r="AJ101" s="150"/>
      <c r="AK101" s="151"/>
      <c r="AL101" s="150"/>
      <c r="AM101" s="152">
        <v>24</v>
      </c>
      <c r="AN101" s="150">
        <f t="shared" si="12"/>
        <v>88</v>
      </c>
      <c r="AO101" s="153">
        <f t="shared" si="10"/>
        <v>133</v>
      </c>
      <c r="AP101" s="167">
        <v>100</v>
      </c>
      <c r="AQ101" s="171" t="s">
        <v>79</v>
      </c>
      <c r="AR101" s="172"/>
      <c r="AS101" s="173"/>
      <c r="AT101" s="172"/>
      <c r="AU101" s="173"/>
      <c r="AV101" s="172"/>
      <c r="AW101" s="172"/>
      <c r="AX101" s="173">
        <f t="shared" si="13"/>
        <v>0</v>
      </c>
      <c r="AY101" s="183">
        <f t="shared" si="14"/>
        <v>0</v>
      </c>
      <c r="AZ101" s="153">
        <f t="shared" si="15"/>
        <v>0</v>
      </c>
      <c r="BA101" s="153">
        <f t="shared" si="11"/>
        <v>133</v>
      </c>
      <c r="BB101" s="184"/>
      <c r="BC101" s="26"/>
      <c r="BD101" s="26"/>
      <c r="BE101" s="26"/>
      <c r="BF101" s="26"/>
    </row>
    <row r="102" spans="1:60" ht="22.5" customHeight="1">
      <c r="A102" s="233">
        <f t="shared" si="16"/>
        <v>248</v>
      </c>
      <c r="B102" s="234"/>
      <c r="C102" s="136" t="s">
        <v>462</v>
      </c>
      <c r="D102" s="148">
        <v>192</v>
      </c>
      <c r="E102" s="148"/>
      <c r="F102" s="148"/>
      <c r="G102" s="149">
        <v>165</v>
      </c>
      <c r="H102" s="150" cm="1">
        <f t="array" ref="H102">IFERROR(INDEX(PQ_Aug!$B$2:$AF$1079,MATCH($C102,PQ_Aug!$A$2:$A$1079,0),MATCH(H$3&amp;"",PQ_Aug!$B$1:$AF$1&amp;"",0)),0)</f>
        <v>2</v>
      </c>
      <c r="I102" s="151"/>
      <c r="J102" s="150" cm="1">
        <f t="array" ref="J102">IFERROR(INDEX(PQ_Aug!$B$2:$AF$1079,MATCH($C102,PQ_Aug!$A$2:$A$1079,0),MATCH(J$3&amp;"",PQ_Aug!$B$1:$AF$1&amp;"",0)),0)</f>
        <v>8</v>
      </c>
      <c r="K102" s="150" cm="1">
        <f t="array" ref="K102">IFERROR(INDEX(PQ_Aug!$B$2:$AF$1079,MATCH($C102,PQ_Aug!$A$2:$A$1079,0),MATCH(K$3&amp;"",PQ_Aug!$B$1:$AF$1&amp;"",0)),0)</f>
        <v>3</v>
      </c>
      <c r="L102" s="150" cm="1">
        <f t="array" ref="L102">IFERROR(INDEX(PQ_Aug!$B$2:$AF$1079,MATCH($C102,PQ_Aug!$A$2:$A$1079,0),MATCH(L$3&amp;"",PQ_Aug!$B$1:$AF$1&amp;"",0)),0)</f>
        <v>3</v>
      </c>
      <c r="M102" s="150" cm="1">
        <f t="array" ref="M102">IFERROR(INDEX(PQ_Aug!$B$2:$AF$1079,MATCH($C102,PQ_Aug!$A$2:$A$1079,0),MATCH(M$3&amp;"",PQ_Aug!$B$1:$AF$1&amp;"",0)),0)</f>
        <v>3</v>
      </c>
      <c r="N102" s="150" cm="1">
        <f t="array" ref="N102">IFERROR(INDEX(PQ_Aug!$B$2:$AF$1079,MATCH($C102,PQ_Aug!$A$2:$A$1079,0),MATCH(N$3&amp;"",PQ_Aug!$B$1:$AF$1&amp;"",0)),0)</f>
        <v>3</v>
      </c>
      <c r="O102" s="150" cm="1">
        <f t="array" ref="O102">IFERROR(INDEX(PQ_Aug!$B$2:$AF$1079,MATCH($C102,PQ_Aug!$A$2:$A$1079,0),MATCH(O$3&amp;"",PQ_Aug!$B$1:$AF$1&amp;"",0)),0)</f>
        <v>9</v>
      </c>
      <c r="P102" s="151"/>
      <c r="Q102" s="150" cm="1">
        <f t="array" ref="Q102">IFERROR(INDEX(PQ_Aug!$B$2:$AF$1079,MATCH($C102,PQ_Aug!$A$2:$A$1079,0),MATCH(Q$3&amp;"",PQ_Aug!$B$1:$AF$1&amp;"",0)),0)</f>
        <v>18</v>
      </c>
      <c r="R102" s="150" cm="1">
        <f t="array" ref="R102">IFERROR(INDEX(PQ_Aug!$B$2:$AF$1079,MATCH($C102,PQ_Aug!$A$2:$A$1079,0),MATCH(R$3&amp;"",PQ_Aug!$B$1:$AF$1&amp;"",0)),0)</f>
        <v>6</v>
      </c>
      <c r="S102" s="150" cm="1">
        <f t="array" ref="S102">IFERROR(INDEX(PQ_Aug!$B$2:$AF$1079,MATCH($C102,PQ_Aug!$A$2:$A$1079,0),MATCH(S$3&amp;"",PQ_Aug!$B$1:$AF$1&amp;"",0)),0)</f>
        <v>5</v>
      </c>
      <c r="T102" s="150" cm="1">
        <f t="array" ref="T102">IFERROR(INDEX(PQ_Aug!$B$2:$AF$1079,MATCH($C102,PQ_Aug!$A$2:$A$1079,0),MATCH(T$3&amp;"",PQ_Aug!$B$1:$AF$1&amp;"",0)),0)</f>
        <v>3</v>
      </c>
      <c r="U102" s="150" cm="1">
        <f t="array" ref="U102">IFERROR(INDEX(PQ_Aug!$B$2:$AF$1079,MATCH($C102,PQ_Aug!$A$2:$A$1079,0),MATCH(U$3&amp;"",PQ_Aug!$B$1:$AF$1&amp;"",0)),0)</f>
        <v>3</v>
      </c>
      <c r="V102" s="150" cm="1">
        <f t="array" ref="V102">IFERROR(INDEX(PQ_Aug!$B$2:$AF$1079,MATCH($C102,PQ_Aug!$A$2:$A$1079,0),MATCH(V$3&amp;"",PQ_Aug!$B$1:$AF$1&amp;"",0)),0)</f>
        <v>3</v>
      </c>
      <c r="W102" s="151"/>
      <c r="X102" s="151"/>
      <c r="Y102" s="150" cm="1">
        <f t="array" ref="Y102">IFERROR(INDEX(PQ_Aug!$B$2:$AF$1079,MATCH($C102,PQ_Aug!$A$2:$A$1079,0),MATCH(Y$3&amp;"",PQ_Aug!$B$1:$AF$1&amp;"",0)),0)</f>
        <v>9</v>
      </c>
      <c r="Z102" s="150" cm="1">
        <f t="array" ref="Z102">IFERROR(INDEX(PQ_Aug!$B$2:$AF$1079,MATCH($C102,PQ_Aug!$A$2:$A$1079,0),MATCH(Z$3&amp;"",PQ_Aug!$B$1:$AF$1&amp;"",0)),0)</f>
        <v>3</v>
      </c>
      <c r="AA102" s="150" cm="1">
        <f t="array" ref="AA102">IFERROR(INDEX(PQ_Aug!$B$2:$AF$1079,MATCH($C102,PQ_Aug!$A$2:$A$1079,0),MATCH(AA$3&amp;"",PQ_Aug!$B$1:$AF$1&amp;"",0)),0)</f>
        <v>6</v>
      </c>
      <c r="AB102" s="150" cm="1">
        <f t="array" ref="AB102">IFERROR(INDEX(PQ_Aug!$B$2:$AF$1079,MATCH($C102,PQ_Aug!$A$2:$A$1079,0),MATCH(AB$3&amp;"",PQ_Aug!$B$1:$AF$1&amp;"",0)),0)</f>
        <v>8</v>
      </c>
      <c r="AC102" s="150" cm="1">
        <f t="array" ref="AC102">IFERROR(INDEX(PQ_Aug!$B$2:$AF$1079,MATCH($C102,PQ_Aug!$A$2:$A$1079,0),MATCH(AC$3&amp;"",PQ_Aug!$B$1:$AF$1&amp;"",0)),0)</f>
        <v>3</v>
      </c>
      <c r="AD102" s="151"/>
      <c r="AE102" s="150" cm="1">
        <f t="array" ref="AE102">IFERROR(INDEX(PQ_Aug!$B$2:$AF$1079,MATCH($C102,PQ_Aug!$A$2:$A$1079,0),MATCH(AE$3&amp;"",PQ_Aug!$B$1:$AF$1&amp;"",0)),0)</f>
        <v>11</v>
      </c>
      <c r="AF102" s="151"/>
      <c r="AG102" s="150"/>
      <c r="AH102" s="150"/>
      <c r="AI102" s="150"/>
      <c r="AJ102" s="150"/>
      <c r="AK102" s="151"/>
      <c r="AL102" s="150"/>
      <c r="AM102" s="152"/>
      <c r="AN102" s="150">
        <f t="shared" ref="AN102:AN103" si="25">SUM(H102:AL102)+AM102</f>
        <v>109</v>
      </c>
      <c r="AO102" s="153">
        <f t="shared" ref="AO102:AO103" si="26">(G102-AN102)+AZ102</f>
        <v>248</v>
      </c>
      <c r="AP102" s="167">
        <v>150</v>
      </c>
      <c r="AQ102" s="171" t="s">
        <v>79</v>
      </c>
      <c r="AR102" s="155">
        <v>46238</v>
      </c>
      <c r="AS102" s="156">
        <v>1</v>
      </c>
      <c r="AT102" s="172"/>
      <c r="AU102" s="173"/>
      <c r="AV102" s="185">
        <v>46252</v>
      </c>
      <c r="AW102" s="172"/>
      <c r="AX102" s="173">
        <f t="shared" si="13"/>
        <v>192</v>
      </c>
      <c r="AY102" s="183">
        <f t="shared" si="14"/>
        <v>0</v>
      </c>
      <c r="AZ102" s="153">
        <f t="shared" si="15"/>
        <v>192</v>
      </c>
      <c r="BA102" s="153">
        <f t="shared" si="11"/>
        <v>248</v>
      </c>
      <c r="BB102" s="184"/>
      <c r="BC102" s="26"/>
      <c r="BD102" s="26"/>
      <c r="BE102" s="26"/>
      <c r="BF102" s="26"/>
    </row>
    <row r="103" spans="1:60" ht="22.5" customHeight="1">
      <c r="A103" s="233">
        <f t="shared" si="16"/>
        <v>372</v>
      </c>
      <c r="B103" s="234"/>
      <c r="C103" s="136" t="s">
        <v>181</v>
      </c>
      <c r="D103" s="148">
        <v>380</v>
      </c>
      <c r="E103" s="148"/>
      <c r="F103" s="148"/>
      <c r="G103" s="149">
        <v>480</v>
      </c>
      <c r="H103" s="150" cm="1">
        <f t="array" ref="H103">IFERROR(INDEX(PQ_Aug!$B$2:$AF$1079,MATCH($C103,PQ_Aug!$A$2:$A$1079,0),MATCH(H$3&amp;"",PQ_Aug!$B$1:$AF$1&amp;"",0)),0)</f>
        <v>2</v>
      </c>
      <c r="I103" s="151"/>
      <c r="J103" s="150" cm="1">
        <f t="array" ref="J103">IFERROR(INDEX(PQ_Aug!$B$2:$AF$1079,MATCH($C103,PQ_Aug!$A$2:$A$1079,0),MATCH(J$3&amp;"",PQ_Aug!$B$1:$AF$1&amp;"",0)),0)</f>
        <v>8</v>
      </c>
      <c r="K103" s="150" cm="1">
        <f t="array" ref="K103">IFERROR(INDEX(PQ_Aug!$B$2:$AF$1079,MATCH($C103,PQ_Aug!$A$2:$A$1079,0),MATCH(K$3&amp;"",PQ_Aug!$B$1:$AF$1&amp;"",0)),0)</f>
        <v>3</v>
      </c>
      <c r="L103" s="150" cm="1">
        <f t="array" ref="L103">IFERROR(INDEX(PQ_Aug!$B$2:$AF$1079,MATCH($C103,PQ_Aug!$A$2:$A$1079,0),MATCH(L$3&amp;"",PQ_Aug!$B$1:$AF$1&amp;"",0)),0)</f>
        <v>3</v>
      </c>
      <c r="M103" s="150" cm="1">
        <f t="array" ref="M103">IFERROR(INDEX(PQ_Aug!$B$2:$AF$1079,MATCH($C103,PQ_Aug!$A$2:$A$1079,0),MATCH(M$3&amp;"",PQ_Aug!$B$1:$AF$1&amp;"",0)),0)</f>
        <v>3</v>
      </c>
      <c r="N103" s="150" cm="1">
        <f t="array" ref="N103">IFERROR(INDEX(PQ_Aug!$B$2:$AF$1079,MATCH($C103,PQ_Aug!$A$2:$A$1079,0),MATCH(N$3&amp;"",PQ_Aug!$B$1:$AF$1&amp;"",0)),0)</f>
        <v>4</v>
      </c>
      <c r="O103" s="150" cm="1">
        <f t="array" ref="O103">IFERROR(INDEX(PQ_Aug!$B$2:$AF$1079,MATCH($C103,PQ_Aug!$A$2:$A$1079,0),MATCH(O$3&amp;"",PQ_Aug!$B$1:$AF$1&amp;"",0)),0)</f>
        <v>8</v>
      </c>
      <c r="P103" s="151"/>
      <c r="Q103" s="150" cm="1">
        <f t="array" ref="Q103">IFERROR(INDEX(PQ_Aug!$B$2:$AF$1079,MATCH($C103,PQ_Aug!$A$2:$A$1079,0),MATCH(Q$3&amp;"",PQ_Aug!$B$1:$AF$1&amp;"",0)),0)</f>
        <v>18</v>
      </c>
      <c r="R103" s="150" cm="1">
        <f t="array" ref="R103">IFERROR(INDEX(PQ_Aug!$B$2:$AF$1079,MATCH($C103,PQ_Aug!$A$2:$A$1079,0),MATCH(R$3&amp;"",PQ_Aug!$B$1:$AF$1&amp;"",0)),0)</f>
        <v>4</v>
      </c>
      <c r="S103" s="150" cm="1">
        <f t="array" ref="S103">IFERROR(INDEX(PQ_Aug!$B$2:$AF$1079,MATCH($C103,PQ_Aug!$A$2:$A$1079,0),MATCH(S$3&amp;"",PQ_Aug!$B$1:$AF$1&amp;"",0)),0)</f>
        <v>4</v>
      </c>
      <c r="T103" s="150" cm="1">
        <f t="array" ref="T103">IFERROR(INDEX(PQ_Aug!$B$2:$AF$1079,MATCH($C103,PQ_Aug!$A$2:$A$1079,0),MATCH(T$3&amp;"",PQ_Aug!$B$1:$AF$1&amp;"",0)),0)</f>
        <v>2</v>
      </c>
      <c r="U103" s="150" cm="1">
        <f t="array" ref="U103">IFERROR(INDEX(PQ_Aug!$B$2:$AF$1079,MATCH($C103,PQ_Aug!$A$2:$A$1079,0),MATCH(U$3&amp;"",PQ_Aug!$B$1:$AF$1&amp;"",0)),0)</f>
        <v>3</v>
      </c>
      <c r="V103" s="150" cm="1">
        <f t="array" ref="V103">IFERROR(INDEX(PQ_Aug!$B$2:$AF$1079,MATCH($C103,PQ_Aug!$A$2:$A$1079,0),MATCH(V$3&amp;"",PQ_Aug!$B$1:$AF$1&amp;"",0)),0)</f>
        <v>3</v>
      </c>
      <c r="W103" s="151"/>
      <c r="X103" s="151"/>
      <c r="Y103" s="150" cm="1">
        <f t="array" ref="Y103">IFERROR(INDEX(PQ_Aug!$B$2:$AF$1079,MATCH($C103,PQ_Aug!$A$2:$A$1079,0),MATCH(Y$3&amp;"",PQ_Aug!$B$1:$AF$1&amp;"",0)),0)</f>
        <v>9</v>
      </c>
      <c r="Z103" s="150" cm="1">
        <f t="array" ref="Z103">IFERROR(INDEX(PQ_Aug!$B$2:$AF$1079,MATCH($C103,PQ_Aug!$A$2:$A$1079,0),MATCH(Z$3&amp;"",PQ_Aug!$B$1:$AF$1&amp;"",0)),0)</f>
        <v>4</v>
      </c>
      <c r="AA103" s="150" cm="1">
        <f t="array" ref="AA103">IFERROR(INDEX(PQ_Aug!$B$2:$AF$1079,MATCH($C103,PQ_Aug!$A$2:$A$1079,0),MATCH(AA$3&amp;"",PQ_Aug!$B$1:$AF$1&amp;"",0)),0)</f>
        <v>7</v>
      </c>
      <c r="AB103" s="150" cm="1">
        <f t="array" ref="AB103">IFERROR(INDEX(PQ_Aug!$B$2:$AF$1079,MATCH($C103,PQ_Aug!$A$2:$A$1079,0),MATCH(AB$3&amp;"",PQ_Aug!$B$1:$AF$1&amp;"",0)),0)</f>
        <v>8</v>
      </c>
      <c r="AC103" s="150" cm="1">
        <f t="array" ref="AC103">IFERROR(INDEX(PQ_Aug!$B$2:$AF$1079,MATCH($C103,PQ_Aug!$A$2:$A$1079,0),MATCH(AC$3&amp;"",PQ_Aug!$B$1:$AF$1&amp;"",0)),0)</f>
        <v>4</v>
      </c>
      <c r="AD103" s="151"/>
      <c r="AE103" s="150" cm="1">
        <f t="array" ref="AE103">IFERROR(INDEX(PQ_Aug!$B$2:$AF$1079,MATCH($C103,PQ_Aug!$A$2:$A$1079,0),MATCH(AE$3&amp;"",PQ_Aug!$B$1:$AF$1&amp;"",0)),0)</f>
        <v>11</v>
      </c>
      <c r="AF103" s="151"/>
      <c r="AG103" s="150"/>
      <c r="AH103" s="150"/>
      <c r="AI103" s="150"/>
      <c r="AJ103" s="150"/>
      <c r="AK103" s="151"/>
      <c r="AL103" s="150"/>
      <c r="AM103" s="152"/>
      <c r="AN103" s="150">
        <f t="shared" si="25"/>
        <v>108</v>
      </c>
      <c r="AO103" s="153">
        <f t="shared" si="26"/>
        <v>372</v>
      </c>
      <c r="AP103" s="167">
        <v>300</v>
      </c>
      <c r="AQ103" s="171" t="s">
        <v>79</v>
      </c>
      <c r="AR103" s="172"/>
      <c r="AS103" s="181"/>
      <c r="AT103" s="172"/>
      <c r="AU103" s="173"/>
      <c r="AV103" s="185"/>
      <c r="AW103" s="172"/>
      <c r="AX103" s="173">
        <f t="shared" si="13"/>
        <v>0</v>
      </c>
      <c r="AY103" s="183">
        <f t="shared" si="14"/>
        <v>0</v>
      </c>
      <c r="AZ103" s="153">
        <f t="shared" si="15"/>
        <v>0</v>
      </c>
      <c r="BA103" s="153">
        <f t="shared" si="11"/>
        <v>372</v>
      </c>
      <c r="BB103" s="184"/>
      <c r="BC103" s="26"/>
      <c r="BD103" s="26"/>
      <c r="BE103" s="26"/>
      <c r="BF103" s="26"/>
    </row>
    <row r="104" spans="1:60" ht="21.75" customHeight="1">
      <c r="A104" s="242">
        <f t="shared" si="16"/>
        <v>10</v>
      </c>
      <c r="B104" s="243"/>
      <c r="C104" s="134" t="s">
        <v>74</v>
      </c>
      <c r="D104" s="148">
        <v>10</v>
      </c>
      <c r="E104" s="148" t="s">
        <v>29</v>
      </c>
      <c r="F104" s="148" t="s">
        <v>29</v>
      </c>
      <c r="G104" s="149">
        <f>Juli2026!AO98</f>
        <v>9</v>
      </c>
      <c r="H104" s="150" cm="1">
        <f t="array" ref="H104">IFERROR(INDEX(PQ_Aug!$B$2:$AF$1079,MATCH($C104,PQ_Aug!$A$2:$A$1079,0),MATCH(H$3&amp;"",PQ_Aug!$B$1:$AF$1&amp;"",0)),0)</f>
        <v>4</v>
      </c>
      <c r="I104" s="151"/>
      <c r="J104" s="150" cm="1">
        <f t="array" ref="J104">IFERROR(INDEX(PQ_Aug!$B$2:$AF$1079,MATCH($C104,PQ_Aug!$A$2:$A$1079,0),MATCH(J$3&amp;"",PQ_Aug!$B$1:$AF$1&amp;"",0)),0)</f>
        <v>0</v>
      </c>
      <c r="K104" s="150" cm="1">
        <f t="array" ref="K104">IFERROR(INDEX(PQ_Aug!$B$2:$AF$1079,MATCH($C104,PQ_Aug!$A$2:$A$1079,0),MATCH(K$3&amp;"",PQ_Aug!$B$1:$AF$1&amp;"",0)),0)</f>
        <v>0</v>
      </c>
      <c r="L104" s="150" cm="1">
        <f t="array" ref="L104">IFERROR(INDEX(PQ_Aug!$B$2:$AF$1079,MATCH($C104,PQ_Aug!$A$2:$A$1079,0),MATCH(L$3&amp;"",PQ_Aug!$B$1:$AF$1&amp;"",0)),0)</f>
        <v>0</v>
      </c>
      <c r="M104" s="150" cm="1">
        <f t="array" ref="M104">IFERROR(INDEX(PQ_Aug!$B$2:$AF$1079,MATCH($C104,PQ_Aug!$A$2:$A$1079,0),MATCH(M$3&amp;"",PQ_Aug!$B$1:$AF$1&amp;"",0)),0)</f>
        <v>0</v>
      </c>
      <c r="N104" s="150" cm="1">
        <f t="array" ref="N104">IFERROR(INDEX(PQ_Aug!$B$2:$AF$1079,MATCH($C104,PQ_Aug!$A$2:$A$1079,0),MATCH(N$3&amp;"",PQ_Aug!$B$1:$AF$1&amp;"",0)),0)</f>
        <v>1</v>
      </c>
      <c r="O104" s="150" cm="1">
        <f t="array" ref="O104">IFERROR(INDEX(PQ_Aug!$B$2:$AF$1079,MATCH($C104,PQ_Aug!$A$2:$A$1079,0),MATCH(O$3&amp;"",PQ_Aug!$B$1:$AF$1&amp;"",0)),0)</f>
        <v>0</v>
      </c>
      <c r="P104" s="151"/>
      <c r="Q104" s="150" cm="1">
        <f t="array" ref="Q104">IFERROR(INDEX(PQ_Aug!$B$2:$AF$1079,MATCH($C104,PQ_Aug!$A$2:$A$1079,0),MATCH(Q$3&amp;"",PQ_Aug!$B$1:$AF$1&amp;"",0)),0)</f>
        <v>1</v>
      </c>
      <c r="R104" s="150" cm="1">
        <f t="array" ref="R104">IFERROR(INDEX(PQ_Aug!$B$2:$AF$1079,MATCH($C104,PQ_Aug!$A$2:$A$1079,0),MATCH(R$3&amp;"",PQ_Aug!$B$1:$AF$1&amp;"",0)),0)</f>
        <v>0</v>
      </c>
      <c r="S104" s="150" cm="1">
        <f t="array" ref="S104">IFERROR(INDEX(PQ_Aug!$B$2:$AF$1079,MATCH($C104,PQ_Aug!$A$2:$A$1079,0),MATCH(S$3&amp;"",PQ_Aug!$B$1:$AF$1&amp;"",0)),0)</f>
        <v>0</v>
      </c>
      <c r="T104" s="150" cm="1">
        <f t="array" ref="T104">IFERROR(INDEX(PQ_Aug!$B$2:$AF$1079,MATCH($C104,PQ_Aug!$A$2:$A$1079,0),MATCH(T$3&amp;"",PQ_Aug!$B$1:$AF$1&amp;"",0)),0)</f>
        <v>0</v>
      </c>
      <c r="U104" s="150" cm="1">
        <f t="array" ref="U104">IFERROR(INDEX(PQ_Aug!$B$2:$AF$1079,MATCH($C104,PQ_Aug!$A$2:$A$1079,0),MATCH(U$3&amp;"",PQ_Aug!$B$1:$AF$1&amp;"",0)),0)</f>
        <v>0</v>
      </c>
      <c r="V104" s="150" cm="1">
        <f t="array" ref="V104">IFERROR(INDEX(PQ_Aug!$B$2:$AF$1079,MATCH($C104,PQ_Aug!$A$2:$A$1079,0),MATCH(V$3&amp;"",PQ_Aug!$B$1:$AF$1&amp;"",0)),0)</f>
        <v>1</v>
      </c>
      <c r="W104" s="151"/>
      <c r="X104" s="151"/>
      <c r="Y104" s="150" cm="1">
        <f t="array" ref="Y104">IFERROR(INDEX(PQ_Aug!$B$2:$AF$1079,MATCH($C104,PQ_Aug!$A$2:$A$1079,0),MATCH(Y$3&amp;"",PQ_Aug!$B$1:$AF$1&amp;"",0)),0)</f>
        <v>1</v>
      </c>
      <c r="Z104" s="150" cm="1">
        <f t="array" ref="Z104">IFERROR(INDEX(PQ_Aug!$B$2:$AF$1079,MATCH($C104,PQ_Aug!$A$2:$A$1079,0),MATCH(Z$3&amp;"",PQ_Aug!$B$1:$AF$1&amp;"",0)),0)</f>
        <v>0</v>
      </c>
      <c r="AA104" s="150" cm="1">
        <f t="array" ref="AA104">IFERROR(INDEX(PQ_Aug!$B$2:$AF$1079,MATCH($C104,PQ_Aug!$A$2:$A$1079,0),MATCH(AA$3&amp;"",PQ_Aug!$B$1:$AF$1&amp;"",0)),0)</f>
        <v>1</v>
      </c>
      <c r="AB104" s="150" cm="1">
        <f t="array" ref="AB104">IFERROR(INDEX(PQ_Aug!$B$2:$AF$1079,MATCH($C104,PQ_Aug!$A$2:$A$1079,0),MATCH(AB$3&amp;"",PQ_Aug!$B$1:$AF$1&amp;"",0)),0)</f>
        <v>0</v>
      </c>
      <c r="AC104" s="150" cm="1">
        <f t="array" ref="AC104">IFERROR(INDEX(PQ_Aug!$B$2:$AF$1079,MATCH($C104,PQ_Aug!$A$2:$A$1079,0),MATCH(AC$3&amp;"",PQ_Aug!$B$1:$AF$1&amp;"",0)),0)</f>
        <v>0</v>
      </c>
      <c r="AD104" s="151"/>
      <c r="AE104" s="150" cm="1">
        <f t="array" ref="AE104">IFERROR(INDEX(PQ_Aug!$B$2:$AF$1079,MATCH($C104,PQ_Aug!$A$2:$A$1079,0),MATCH(AE$3&amp;"",PQ_Aug!$B$1:$AF$1&amp;"",0)),0)</f>
        <v>0</v>
      </c>
      <c r="AF104" s="151"/>
      <c r="AG104" s="150"/>
      <c r="AH104" s="150"/>
      <c r="AI104" s="150"/>
      <c r="AJ104" s="150"/>
      <c r="AK104" s="151"/>
      <c r="AL104" s="150"/>
      <c r="AM104" s="152"/>
      <c r="AN104" s="150">
        <f t="shared" si="12"/>
        <v>9</v>
      </c>
      <c r="AO104" s="153">
        <f t="shared" si="10"/>
        <v>10</v>
      </c>
      <c r="AP104" s="167">
        <v>8</v>
      </c>
      <c r="AQ104" s="171" t="s">
        <v>21</v>
      </c>
      <c r="AR104" s="155">
        <v>46238</v>
      </c>
      <c r="AS104" s="156">
        <v>1</v>
      </c>
      <c r="AT104" s="172"/>
      <c r="AU104" s="173"/>
      <c r="AV104" s="161">
        <v>46245</v>
      </c>
      <c r="AW104" s="172"/>
      <c r="AX104" s="173">
        <f t="shared" si="13"/>
        <v>10</v>
      </c>
      <c r="AY104" s="183">
        <f t="shared" si="14"/>
        <v>0</v>
      </c>
      <c r="AZ104" s="153">
        <f t="shared" si="15"/>
        <v>10</v>
      </c>
      <c r="BA104" s="153">
        <f t="shared" si="11"/>
        <v>10</v>
      </c>
      <c r="BB104" s="184"/>
      <c r="BC104" s="26"/>
      <c r="BD104" s="26"/>
      <c r="BE104" s="26"/>
      <c r="BF104" s="26"/>
    </row>
    <row r="105" spans="1:60" ht="24.75" customHeight="1">
      <c r="A105" s="233" t="e">
        <f t="shared" si="16"/>
        <v>#REF!</v>
      </c>
      <c r="B105" s="234"/>
      <c r="C105" s="134" t="s">
        <v>75</v>
      </c>
      <c r="D105" s="148">
        <v>10</v>
      </c>
      <c r="E105" s="148" t="s">
        <v>29</v>
      </c>
      <c r="F105" s="148" t="s">
        <v>29</v>
      </c>
      <c r="G105" s="149" t="e">
        <f>Juli2026!AO99</f>
        <v>#REF!</v>
      </c>
      <c r="H105" s="150" cm="1">
        <f t="array" ref="H105">IFERROR(INDEX(PQ_Aug!$B$2:$AF$1079,MATCH($C105,PQ_Aug!$A$2:$A$1079,0),MATCH(H$3&amp;"",PQ_Aug!$B$1:$AF$1&amp;"",0)),0)</f>
        <v>0</v>
      </c>
      <c r="I105" s="151"/>
      <c r="J105" s="150" cm="1">
        <f t="array" ref="J105">IFERROR(INDEX(PQ_Aug!$B$2:$AF$1079,MATCH($C105,PQ_Aug!$A$2:$A$1079,0),MATCH(J$3&amp;"",PQ_Aug!$B$1:$AF$1&amp;"",0)),0)</f>
        <v>3</v>
      </c>
      <c r="K105" s="150" cm="1">
        <f t="array" ref="K105">IFERROR(INDEX(PQ_Aug!$B$2:$AF$1079,MATCH($C105,PQ_Aug!$A$2:$A$1079,0),MATCH(K$3&amp;"",PQ_Aug!$B$1:$AF$1&amp;"",0)),0)</f>
        <v>0</v>
      </c>
      <c r="L105" s="150" cm="1">
        <f t="array" ref="L105">IFERROR(INDEX(PQ_Aug!$B$2:$AF$1079,MATCH($C105,PQ_Aug!$A$2:$A$1079,0),MATCH(L$3&amp;"",PQ_Aug!$B$1:$AF$1&amp;"",0)),0)</f>
        <v>0</v>
      </c>
      <c r="M105" s="150" cm="1">
        <f t="array" ref="M105">IFERROR(INDEX(PQ_Aug!$B$2:$AF$1079,MATCH($C105,PQ_Aug!$A$2:$A$1079,0),MATCH(M$3&amp;"",PQ_Aug!$B$1:$AF$1&amp;"",0)),0)</f>
        <v>0</v>
      </c>
      <c r="N105" s="150" cm="1">
        <f t="array" ref="N105">IFERROR(INDEX(PQ_Aug!$B$2:$AF$1079,MATCH($C105,PQ_Aug!$A$2:$A$1079,0),MATCH(N$3&amp;"",PQ_Aug!$B$1:$AF$1&amp;"",0)),0)</f>
        <v>0</v>
      </c>
      <c r="O105" s="150" cm="1">
        <f t="array" ref="O105">IFERROR(INDEX(PQ_Aug!$B$2:$AF$1079,MATCH($C105,PQ_Aug!$A$2:$A$1079,0),MATCH(O$3&amp;"",PQ_Aug!$B$1:$AF$1&amp;"",0)),0)</f>
        <v>0</v>
      </c>
      <c r="P105" s="151"/>
      <c r="Q105" s="150" cm="1">
        <f t="array" ref="Q105">IFERROR(INDEX(PQ_Aug!$B$2:$AF$1079,MATCH($C105,PQ_Aug!$A$2:$A$1079,0),MATCH(Q$3&amp;"",PQ_Aug!$B$1:$AF$1&amp;"",0)),0)</f>
        <v>0</v>
      </c>
      <c r="R105" s="150" cm="1">
        <f t="array" ref="R105">IFERROR(INDEX(PQ_Aug!$B$2:$AF$1079,MATCH($C105,PQ_Aug!$A$2:$A$1079,0),MATCH(R$3&amp;"",PQ_Aug!$B$1:$AF$1&amp;"",0)),0)</f>
        <v>0</v>
      </c>
      <c r="S105" s="150" cm="1">
        <f t="array" ref="S105">IFERROR(INDEX(PQ_Aug!$B$2:$AF$1079,MATCH($C105,PQ_Aug!$A$2:$A$1079,0),MATCH(S$3&amp;"",PQ_Aug!$B$1:$AF$1&amp;"",0)),0)</f>
        <v>0</v>
      </c>
      <c r="T105" s="150" cm="1">
        <f t="array" ref="T105">IFERROR(INDEX(PQ_Aug!$B$2:$AF$1079,MATCH($C105,PQ_Aug!$A$2:$A$1079,0),MATCH(T$3&amp;"",PQ_Aug!$B$1:$AF$1&amp;"",0)),0)</f>
        <v>0</v>
      </c>
      <c r="U105" s="150" cm="1">
        <f t="array" ref="U105">IFERROR(INDEX(PQ_Aug!$B$2:$AF$1079,MATCH($C105,PQ_Aug!$A$2:$A$1079,0),MATCH(U$3&amp;"",PQ_Aug!$B$1:$AF$1&amp;"",0)),0)</f>
        <v>0</v>
      </c>
      <c r="V105" s="150" cm="1">
        <f t="array" ref="V105">IFERROR(INDEX(PQ_Aug!$B$2:$AF$1079,MATCH($C105,PQ_Aug!$A$2:$A$1079,0),MATCH(V$3&amp;"",PQ_Aug!$B$1:$AF$1&amp;"",0)),0)</f>
        <v>0</v>
      </c>
      <c r="W105" s="151"/>
      <c r="X105" s="151"/>
      <c r="Y105" s="150" cm="1">
        <f t="array" ref="Y105">IFERROR(INDEX(PQ_Aug!$B$2:$AF$1079,MATCH($C105,PQ_Aug!$A$2:$A$1079,0),MATCH(Y$3&amp;"",PQ_Aug!$B$1:$AF$1&amp;"",0)),0)</f>
        <v>0</v>
      </c>
      <c r="Z105" s="150" cm="1">
        <f t="array" ref="Z105">IFERROR(INDEX(PQ_Aug!$B$2:$AF$1079,MATCH($C105,PQ_Aug!$A$2:$A$1079,0),MATCH(Z$3&amp;"",PQ_Aug!$B$1:$AF$1&amp;"",0)),0)</f>
        <v>0</v>
      </c>
      <c r="AA105" s="150" cm="1">
        <f t="array" ref="AA105">IFERROR(INDEX(PQ_Aug!$B$2:$AF$1079,MATCH($C105,PQ_Aug!$A$2:$A$1079,0),MATCH(AA$3&amp;"",PQ_Aug!$B$1:$AF$1&amp;"",0)),0)</f>
        <v>0</v>
      </c>
      <c r="AB105" s="150" cm="1">
        <f t="array" ref="AB105">IFERROR(INDEX(PQ_Aug!$B$2:$AF$1079,MATCH($C105,PQ_Aug!$A$2:$A$1079,0),MATCH(AB$3&amp;"",PQ_Aug!$B$1:$AF$1&amp;"",0)),0)</f>
        <v>0</v>
      </c>
      <c r="AC105" s="150" cm="1">
        <f t="array" ref="AC105">IFERROR(INDEX(PQ_Aug!$B$2:$AF$1079,MATCH($C105,PQ_Aug!$A$2:$A$1079,0),MATCH(AC$3&amp;"",PQ_Aug!$B$1:$AF$1&amp;"",0)),0)</f>
        <v>0</v>
      </c>
      <c r="AD105" s="151"/>
      <c r="AE105" s="150" cm="1">
        <f t="array" ref="AE105">IFERROR(INDEX(PQ_Aug!$B$2:$AF$1079,MATCH($C105,PQ_Aug!$A$2:$A$1079,0),MATCH(AE$3&amp;"",PQ_Aug!$B$1:$AF$1&amp;"",0)),0)</f>
        <v>1</v>
      </c>
      <c r="AF105" s="151"/>
      <c r="AG105" s="150"/>
      <c r="AH105" s="150"/>
      <c r="AI105" s="186"/>
      <c r="AJ105" s="150"/>
      <c r="AK105" s="151"/>
      <c r="AL105" s="186"/>
      <c r="AM105" s="187"/>
      <c r="AN105" s="150">
        <f t="shared" si="12"/>
        <v>4</v>
      </c>
      <c r="AO105" s="188" t="e">
        <f t="shared" si="10"/>
        <v>#REF!</v>
      </c>
      <c r="AP105" s="189">
        <v>3</v>
      </c>
      <c r="AQ105" s="190" t="s">
        <v>21</v>
      </c>
      <c r="AR105" s="155">
        <v>46238</v>
      </c>
      <c r="AS105" s="156">
        <v>1</v>
      </c>
      <c r="AT105" s="191"/>
      <c r="AU105" s="192"/>
      <c r="AV105" s="161">
        <v>46245</v>
      </c>
      <c r="AW105" s="191"/>
      <c r="AX105" s="173">
        <f t="shared" si="13"/>
        <v>10</v>
      </c>
      <c r="AY105" s="183">
        <f t="shared" si="14"/>
        <v>0</v>
      </c>
      <c r="AZ105" s="153">
        <f t="shared" si="15"/>
        <v>10</v>
      </c>
      <c r="BA105" s="153" t="e">
        <f t="shared" si="11"/>
        <v>#REF!</v>
      </c>
      <c r="BB105" s="136"/>
      <c r="BC105" s="30"/>
      <c r="BD105" s="30"/>
      <c r="BE105" s="30"/>
      <c r="BF105" s="30"/>
    </row>
    <row r="106" spans="1:60" ht="22.5" customHeight="1">
      <c r="A106" s="233" t="e">
        <f t="shared" si="16"/>
        <v>#REF!</v>
      </c>
      <c r="B106" s="234"/>
      <c r="C106" s="137" t="s">
        <v>76</v>
      </c>
      <c r="D106" s="193">
        <v>10</v>
      </c>
      <c r="E106" s="193" t="s">
        <v>29</v>
      </c>
      <c r="F106" s="193" t="s">
        <v>29</v>
      </c>
      <c r="G106" s="149" t="e">
        <f>Juli2026!AO100</f>
        <v>#REF!</v>
      </c>
      <c r="H106" s="150" cm="1">
        <f t="array" ref="H106">IFERROR(INDEX(PQ_Aug!$B$2:$AF$1079,MATCH($C106,PQ_Aug!$A$2:$A$1079,0),MATCH(H$3&amp;"",PQ_Aug!$B$1:$AF$1&amp;"",0)),0)</f>
        <v>0</v>
      </c>
      <c r="I106" s="194"/>
      <c r="J106" s="150" cm="1">
        <f t="array" ref="J106">IFERROR(INDEX(PQ_Aug!$B$2:$AF$1079,MATCH($C106,PQ_Aug!$A$2:$A$1079,0),MATCH(J$3&amp;"",PQ_Aug!$B$1:$AF$1&amp;"",0)),0)</f>
        <v>0</v>
      </c>
      <c r="K106" s="150" cm="1">
        <f t="array" ref="K106">IFERROR(INDEX(PQ_Aug!$B$2:$AF$1079,MATCH($C106,PQ_Aug!$A$2:$A$1079,0),MATCH(K$3&amp;"",PQ_Aug!$B$1:$AF$1&amp;"",0)),0)</f>
        <v>0</v>
      </c>
      <c r="L106" s="150" cm="1">
        <f t="array" ref="L106">IFERROR(INDEX(PQ_Aug!$B$2:$AF$1079,MATCH($C106,PQ_Aug!$A$2:$A$1079,0),MATCH(L$3&amp;"",PQ_Aug!$B$1:$AF$1&amp;"",0)),0)</f>
        <v>0</v>
      </c>
      <c r="M106" s="150" cm="1">
        <f t="array" ref="M106">IFERROR(INDEX(PQ_Aug!$B$2:$AF$1079,MATCH($C106,PQ_Aug!$A$2:$A$1079,0),MATCH(M$3&amp;"",PQ_Aug!$B$1:$AF$1&amp;"",0)),0)</f>
        <v>0</v>
      </c>
      <c r="N106" s="150" cm="1">
        <f t="array" ref="N106">IFERROR(INDEX(PQ_Aug!$B$2:$AF$1079,MATCH($C106,PQ_Aug!$A$2:$A$1079,0),MATCH(N$3&amp;"",PQ_Aug!$B$1:$AF$1&amp;"",0)),0)</f>
        <v>0</v>
      </c>
      <c r="O106" s="150" cm="1">
        <f t="array" ref="O106">IFERROR(INDEX(PQ_Aug!$B$2:$AF$1079,MATCH($C106,PQ_Aug!$A$2:$A$1079,0),MATCH(O$3&amp;"",PQ_Aug!$B$1:$AF$1&amp;"",0)),0)</f>
        <v>1</v>
      </c>
      <c r="P106" s="194"/>
      <c r="Q106" s="150" cm="1">
        <f t="array" ref="Q106">IFERROR(INDEX(PQ_Aug!$B$2:$AF$1079,MATCH($C106,PQ_Aug!$A$2:$A$1079,0),MATCH(Q$3&amp;"",PQ_Aug!$B$1:$AF$1&amp;"",0)),0)</f>
        <v>0</v>
      </c>
      <c r="R106" s="150" cm="1">
        <f t="array" ref="R106">IFERROR(INDEX(PQ_Aug!$B$2:$AF$1079,MATCH($C106,PQ_Aug!$A$2:$A$1079,0),MATCH(R$3&amp;"",PQ_Aug!$B$1:$AF$1&amp;"",0)),0)</f>
        <v>0</v>
      </c>
      <c r="S106" s="150" cm="1">
        <f t="array" ref="S106">IFERROR(INDEX(PQ_Aug!$B$2:$AF$1079,MATCH($C106,PQ_Aug!$A$2:$A$1079,0),MATCH(S$3&amp;"",PQ_Aug!$B$1:$AF$1&amp;"",0)),0)</f>
        <v>0</v>
      </c>
      <c r="T106" s="150" cm="1">
        <f t="array" ref="T106">IFERROR(INDEX(PQ_Aug!$B$2:$AF$1079,MATCH($C106,PQ_Aug!$A$2:$A$1079,0),MATCH(T$3&amp;"",PQ_Aug!$B$1:$AF$1&amp;"",0)),0)</f>
        <v>0</v>
      </c>
      <c r="U106" s="150" cm="1">
        <f t="array" ref="U106">IFERROR(INDEX(PQ_Aug!$B$2:$AF$1079,MATCH($C106,PQ_Aug!$A$2:$A$1079,0),MATCH(U$3&amp;"",PQ_Aug!$B$1:$AF$1&amp;"",0)),0)</f>
        <v>0</v>
      </c>
      <c r="V106" s="150" cm="1">
        <f t="array" ref="V106">IFERROR(INDEX(PQ_Aug!$B$2:$AF$1079,MATCH($C106,PQ_Aug!$A$2:$A$1079,0),MATCH(V$3&amp;"",PQ_Aug!$B$1:$AF$1&amp;"",0)),0)</f>
        <v>0</v>
      </c>
      <c r="W106" s="194"/>
      <c r="X106" s="194"/>
      <c r="Y106" s="150" cm="1">
        <f t="array" ref="Y106">IFERROR(INDEX(PQ_Aug!$B$2:$AF$1079,MATCH($C106,PQ_Aug!$A$2:$A$1079,0),MATCH(Y$3&amp;"",PQ_Aug!$B$1:$AF$1&amp;"",0)),0)</f>
        <v>0</v>
      </c>
      <c r="Z106" s="150" cm="1">
        <f t="array" ref="Z106">IFERROR(INDEX(PQ_Aug!$B$2:$AF$1079,MATCH($C106,PQ_Aug!$A$2:$A$1079,0),MATCH(Z$3&amp;"",PQ_Aug!$B$1:$AF$1&amp;"",0)),0)</f>
        <v>1</v>
      </c>
      <c r="AA106" s="150" cm="1">
        <f t="array" ref="AA106">IFERROR(INDEX(PQ_Aug!$B$2:$AF$1079,MATCH($C106,PQ_Aug!$A$2:$A$1079,0),MATCH(AA$3&amp;"",PQ_Aug!$B$1:$AF$1&amp;"",0)),0)</f>
        <v>0</v>
      </c>
      <c r="AB106" s="150" cm="1">
        <f t="array" ref="AB106">IFERROR(INDEX(PQ_Aug!$B$2:$AF$1079,MATCH($C106,PQ_Aug!$A$2:$A$1079,0),MATCH(AB$3&amp;"",PQ_Aug!$B$1:$AF$1&amp;"",0)),0)</f>
        <v>0</v>
      </c>
      <c r="AC106" s="150" cm="1">
        <f t="array" ref="AC106">IFERROR(INDEX(PQ_Aug!$B$2:$AF$1079,MATCH($C106,PQ_Aug!$A$2:$A$1079,0),MATCH(AC$3&amp;"",PQ_Aug!$B$1:$AF$1&amp;"",0)),0)</f>
        <v>0</v>
      </c>
      <c r="AD106" s="151"/>
      <c r="AE106" s="150" cm="1">
        <f t="array" ref="AE106">IFERROR(INDEX(PQ_Aug!$B$2:$AF$1079,MATCH($C106,PQ_Aug!$A$2:$A$1079,0),MATCH(AE$3&amp;"",PQ_Aug!$B$1:$AF$1&amp;"",0)),0)</f>
        <v>0</v>
      </c>
      <c r="AF106" s="194"/>
      <c r="AG106" s="195"/>
      <c r="AH106" s="195"/>
      <c r="AI106" s="196"/>
      <c r="AJ106" s="195"/>
      <c r="AK106" s="194"/>
      <c r="AL106" s="196"/>
      <c r="AM106" s="197"/>
      <c r="AN106" s="195">
        <f t="shared" si="12"/>
        <v>2</v>
      </c>
      <c r="AO106" s="198" t="e">
        <f t="shared" si="10"/>
        <v>#REF!</v>
      </c>
      <c r="AP106" s="199">
        <v>3</v>
      </c>
      <c r="AQ106" s="200" t="s">
        <v>21</v>
      </c>
      <c r="AR106" s="201"/>
      <c r="AS106" s="202"/>
      <c r="AT106" s="203"/>
      <c r="AU106" s="204"/>
      <c r="AV106" s="205"/>
      <c r="AW106" s="203"/>
      <c r="AX106" s="206">
        <f t="shared" si="13"/>
        <v>0</v>
      </c>
      <c r="AY106" s="207">
        <f t="shared" si="14"/>
        <v>0</v>
      </c>
      <c r="AZ106" s="169">
        <f t="shared" si="15"/>
        <v>0</v>
      </c>
      <c r="BA106" s="153" t="e">
        <f t="shared" si="11"/>
        <v>#REF!</v>
      </c>
      <c r="BB106" s="208"/>
      <c r="BC106" s="30"/>
      <c r="BD106" s="30"/>
      <c r="BE106" s="30"/>
      <c r="BF106" s="30"/>
    </row>
    <row r="107" spans="1:60" s="69" customFormat="1" ht="21.7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48"/>
      <c r="AG107" s="248"/>
      <c r="AH107" s="248"/>
      <c r="AI107" s="248"/>
      <c r="AJ107" s="248"/>
      <c r="AK107" s="248"/>
      <c r="AL107" s="248"/>
      <c r="AM107" s="248"/>
      <c r="AN107" s="248"/>
      <c r="AO107" s="248"/>
      <c r="AP107" s="248"/>
      <c r="AQ107" s="248"/>
      <c r="AR107" s="248"/>
      <c r="AS107" s="248"/>
      <c r="AT107" s="248"/>
      <c r="AU107" s="248"/>
      <c r="AV107" s="248"/>
      <c r="AW107" s="248"/>
      <c r="AX107" s="248"/>
      <c r="AY107" s="248"/>
      <c r="AZ107" s="248"/>
      <c r="BA107" s="248"/>
      <c r="BB107" s="248"/>
      <c r="BC107" s="119"/>
      <c r="BD107" s="119"/>
      <c r="BE107" s="119"/>
      <c r="BF107" s="119"/>
      <c r="BG107" s="119"/>
      <c r="BH107" s="119"/>
    </row>
    <row r="108" spans="1:60" s="4" customFormat="1" ht="15.75" customHeight="1">
      <c r="A108" s="43"/>
      <c r="B108" s="43"/>
      <c r="C108" s="43"/>
      <c r="D108" s="44"/>
      <c r="E108" s="44"/>
      <c r="F108" s="44"/>
      <c r="G108" s="44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35"/>
      <c r="AO108" s="58"/>
      <c r="AP108" s="113"/>
      <c r="AQ108" s="113"/>
      <c r="AR108" s="114"/>
      <c r="AS108" s="115"/>
      <c r="AT108" s="116"/>
      <c r="AU108" s="117"/>
      <c r="AV108" s="116"/>
      <c r="AW108" s="116"/>
      <c r="AX108" s="35"/>
      <c r="AY108" s="35"/>
      <c r="AZ108" s="35"/>
      <c r="BA108" s="35"/>
      <c r="BB108" s="65"/>
      <c r="BC108" s="65"/>
      <c r="BD108" s="65"/>
      <c r="BE108" s="65"/>
      <c r="BF108" s="65"/>
    </row>
    <row r="109" spans="1:60" s="4" customFormat="1" ht="15.75" customHeight="1">
      <c r="A109" s="43"/>
      <c r="B109" s="43"/>
      <c r="C109" s="43"/>
      <c r="D109" s="44"/>
      <c r="E109" s="44"/>
      <c r="F109" s="44"/>
      <c r="G109" s="44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35"/>
      <c r="AO109" s="58"/>
      <c r="AP109" s="113"/>
      <c r="AQ109" s="113"/>
      <c r="AR109" s="114"/>
      <c r="AS109" s="115"/>
      <c r="AT109" s="116"/>
      <c r="AU109" s="117"/>
      <c r="AV109" s="116"/>
      <c r="AW109" s="116"/>
      <c r="AX109" s="35"/>
      <c r="AY109" s="35"/>
      <c r="AZ109" s="35"/>
      <c r="BA109" s="35"/>
      <c r="BB109" s="65"/>
      <c r="BC109" s="65"/>
      <c r="BD109" s="65"/>
      <c r="BE109" s="65"/>
      <c r="BF109" s="65"/>
    </row>
    <row r="110" spans="1:60" s="4" customFormat="1" ht="15.75" customHeight="1">
      <c r="A110" s="43"/>
      <c r="B110" s="43"/>
      <c r="C110" s="43"/>
      <c r="D110" s="44"/>
      <c r="E110" s="44"/>
      <c r="F110" s="44"/>
      <c r="G110" s="44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35"/>
      <c r="AO110" s="58"/>
      <c r="AP110" s="113"/>
      <c r="AQ110" s="113"/>
      <c r="AR110" s="114"/>
      <c r="AS110" s="115"/>
      <c r="AT110" s="116"/>
      <c r="AU110" s="117"/>
      <c r="AV110" s="116"/>
      <c r="AW110" s="116"/>
      <c r="AX110" s="35"/>
      <c r="AY110" s="35"/>
      <c r="AZ110" s="35"/>
      <c r="BA110" s="35"/>
      <c r="BB110" s="65"/>
      <c r="BC110" s="65"/>
      <c r="BD110" s="65"/>
      <c r="BE110" s="65"/>
      <c r="BF110" s="65"/>
    </row>
    <row r="111" spans="1:60" s="4" customFormat="1" ht="15.75" customHeight="1">
      <c r="A111" s="43"/>
      <c r="B111" s="43"/>
      <c r="C111" s="43"/>
      <c r="D111" s="44"/>
      <c r="E111" s="44"/>
      <c r="F111" s="44"/>
      <c r="G111" s="44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35"/>
      <c r="AO111" s="58"/>
      <c r="AP111" s="113"/>
      <c r="AQ111" s="113"/>
      <c r="AR111" s="114"/>
      <c r="AS111" s="115"/>
      <c r="AT111" s="116"/>
      <c r="AU111" s="117"/>
      <c r="AV111" s="116"/>
      <c r="AW111" s="116"/>
      <c r="AX111" s="35"/>
      <c r="AY111" s="35"/>
      <c r="AZ111" s="35"/>
      <c r="BA111" s="35"/>
      <c r="BB111" s="65"/>
      <c r="BC111" s="65"/>
      <c r="BD111" s="65"/>
      <c r="BE111" s="65"/>
      <c r="BF111" s="65"/>
    </row>
    <row r="112" spans="1:60" s="4" customFormat="1" ht="15.75" customHeight="1">
      <c r="A112" s="43"/>
      <c r="B112" s="43"/>
      <c r="C112" s="43"/>
      <c r="D112" s="44"/>
      <c r="E112" s="44"/>
      <c r="F112" s="44"/>
      <c r="G112" s="44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35"/>
      <c r="AO112" s="58"/>
      <c r="AP112" s="113"/>
      <c r="AQ112" s="113"/>
      <c r="AR112" s="114"/>
      <c r="AS112" s="115"/>
      <c r="AT112" s="116"/>
      <c r="AU112" s="117"/>
      <c r="AV112" s="116"/>
      <c r="AW112" s="116"/>
      <c r="AX112" s="35"/>
      <c r="AY112" s="35"/>
      <c r="AZ112" s="35"/>
      <c r="BA112" s="35"/>
      <c r="BB112" s="65"/>
      <c r="BC112" s="65"/>
      <c r="BD112" s="65"/>
      <c r="BE112" s="65"/>
      <c r="BF112" s="65"/>
    </row>
    <row r="113" spans="1:58" s="4" customFormat="1" ht="15.75" customHeight="1">
      <c r="A113" s="43"/>
      <c r="B113" s="43"/>
      <c r="C113" s="43"/>
      <c r="D113" s="44"/>
      <c r="E113" s="44"/>
      <c r="F113" s="44"/>
      <c r="G113" s="44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35"/>
      <c r="AO113" s="58"/>
      <c r="AP113" s="113"/>
      <c r="AQ113" s="113"/>
      <c r="AR113" s="114"/>
      <c r="AS113" s="115"/>
      <c r="AT113" s="116"/>
      <c r="AU113" s="117"/>
      <c r="AV113" s="116"/>
      <c r="AW113" s="116"/>
      <c r="AX113" s="35"/>
      <c r="AY113" s="35"/>
      <c r="AZ113" s="35"/>
      <c r="BA113" s="35"/>
      <c r="BB113" s="65"/>
      <c r="BC113" s="65"/>
      <c r="BD113" s="65"/>
      <c r="BE113" s="65"/>
      <c r="BF113" s="65"/>
    </row>
    <row r="114" spans="1:58" s="4" customFormat="1" ht="15.75" customHeight="1">
      <c r="A114" s="43"/>
      <c r="B114" s="43"/>
      <c r="C114" s="43"/>
      <c r="D114" s="44"/>
      <c r="E114" s="44"/>
      <c r="F114" s="44"/>
      <c r="G114" s="44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35"/>
      <c r="AO114" s="58"/>
      <c r="AP114" s="113"/>
      <c r="AQ114" s="113"/>
      <c r="AR114" s="114"/>
      <c r="AS114" s="115"/>
      <c r="AT114" s="116"/>
      <c r="AU114" s="117"/>
      <c r="AV114" s="116"/>
      <c r="AW114" s="116"/>
      <c r="AX114" s="35"/>
      <c r="AY114" s="35"/>
      <c r="AZ114" s="35"/>
      <c r="BA114" s="35"/>
      <c r="BB114" s="65"/>
      <c r="BC114" s="65"/>
      <c r="BD114" s="65"/>
      <c r="BE114" s="65"/>
      <c r="BF114" s="65"/>
    </row>
    <row r="115" spans="1:58" s="4" customFormat="1" ht="15.75" customHeight="1">
      <c r="A115" s="43"/>
      <c r="B115" s="43"/>
      <c r="C115" s="43"/>
      <c r="D115" s="44"/>
      <c r="E115" s="44"/>
      <c r="F115" s="44"/>
      <c r="G115" s="44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35"/>
      <c r="AO115" s="58"/>
      <c r="AP115" s="113"/>
      <c r="AQ115" s="113"/>
      <c r="AR115" s="114"/>
      <c r="AS115" s="115"/>
      <c r="AT115" s="116"/>
      <c r="AU115" s="117"/>
      <c r="AV115" s="116"/>
      <c r="AW115" s="116"/>
      <c r="AX115" s="35"/>
      <c r="AY115" s="35"/>
      <c r="AZ115" s="35"/>
      <c r="BA115" s="35"/>
      <c r="BB115" s="65"/>
      <c r="BC115" s="65"/>
      <c r="BD115" s="65"/>
      <c r="BE115" s="65"/>
      <c r="BF115" s="65"/>
    </row>
    <row r="116" spans="1:58" s="4" customFormat="1" ht="15.75" customHeight="1">
      <c r="A116" s="43"/>
      <c r="B116" s="43"/>
      <c r="C116" s="43"/>
      <c r="D116" s="44"/>
      <c r="E116" s="44"/>
      <c r="F116" s="44"/>
      <c r="G116" s="44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35"/>
      <c r="AO116" s="58"/>
      <c r="AP116" s="113"/>
      <c r="AQ116" s="113"/>
      <c r="AR116" s="114"/>
      <c r="AS116" s="115"/>
      <c r="AT116" s="116"/>
      <c r="AU116" s="117"/>
      <c r="AV116" s="116"/>
      <c r="AW116" s="116"/>
      <c r="AX116" s="35"/>
      <c r="AY116" s="35"/>
      <c r="AZ116" s="35"/>
      <c r="BA116" s="35"/>
      <c r="BB116" s="65"/>
      <c r="BC116" s="65"/>
      <c r="BD116" s="65"/>
      <c r="BE116" s="65"/>
      <c r="BF116" s="65"/>
    </row>
    <row r="117" spans="1:58" s="4" customFormat="1" ht="15.75" customHeight="1">
      <c r="A117" s="43"/>
      <c r="B117" s="43"/>
      <c r="C117" s="43"/>
      <c r="D117" s="44"/>
      <c r="E117" s="44"/>
      <c r="F117" s="44"/>
      <c r="G117" s="44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35"/>
      <c r="AO117" s="58"/>
      <c r="AP117" s="113"/>
      <c r="AQ117" s="113"/>
      <c r="AR117" s="114"/>
      <c r="AS117" s="115"/>
      <c r="AT117" s="116"/>
      <c r="AU117" s="117"/>
      <c r="AV117" s="116"/>
      <c r="AW117" s="116"/>
      <c r="AX117" s="35"/>
      <c r="AY117" s="35"/>
      <c r="AZ117" s="35"/>
      <c r="BA117" s="35"/>
      <c r="BB117" s="65"/>
      <c r="BC117" s="65"/>
      <c r="BD117" s="65"/>
      <c r="BE117" s="65"/>
      <c r="BF117" s="65"/>
    </row>
    <row r="118" spans="1:58" s="4" customFormat="1" ht="15.75" customHeight="1">
      <c r="A118" s="43"/>
      <c r="B118" s="43"/>
      <c r="C118" s="43"/>
      <c r="D118" s="44"/>
      <c r="E118" s="44"/>
      <c r="F118" s="44"/>
      <c r="G118" s="44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35"/>
      <c r="AO118" s="58"/>
      <c r="AP118" s="113"/>
      <c r="AQ118" s="113"/>
      <c r="AR118" s="114"/>
      <c r="AS118" s="115"/>
      <c r="AT118" s="116"/>
      <c r="AU118" s="117"/>
      <c r="AV118" s="116"/>
      <c r="AW118" s="116"/>
      <c r="AX118" s="35"/>
      <c r="AY118" s="35"/>
      <c r="AZ118" s="35"/>
      <c r="BA118" s="35"/>
      <c r="BB118" s="65"/>
      <c r="BC118" s="65"/>
      <c r="BD118" s="65"/>
      <c r="BE118" s="65"/>
      <c r="BF118" s="65"/>
    </row>
    <row r="119" spans="1:58" s="4" customFormat="1" ht="15.75" customHeight="1">
      <c r="A119" s="43"/>
      <c r="B119" s="43"/>
      <c r="C119" s="43"/>
      <c r="D119" s="44"/>
      <c r="E119" s="44"/>
      <c r="F119" s="44"/>
      <c r="G119" s="44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35"/>
      <c r="AO119" s="58"/>
      <c r="AP119" s="113"/>
      <c r="AQ119" s="113"/>
      <c r="AR119" s="114"/>
      <c r="AS119" s="115"/>
      <c r="AT119" s="116"/>
      <c r="AU119" s="117"/>
      <c r="AV119" s="116"/>
      <c r="AW119" s="116"/>
      <c r="AX119" s="35"/>
      <c r="AY119" s="35"/>
      <c r="AZ119" s="35"/>
      <c r="BA119" s="35"/>
      <c r="BB119" s="65"/>
      <c r="BC119" s="65"/>
      <c r="BD119" s="65"/>
      <c r="BE119" s="65"/>
      <c r="BF119" s="65"/>
    </row>
    <row r="120" spans="1:58" s="4" customFormat="1" ht="15.75" customHeight="1">
      <c r="A120" s="43"/>
      <c r="B120" s="43"/>
      <c r="C120" s="43"/>
      <c r="D120" s="44"/>
      <c r="E120" s="44"/>
      <c r="F120" s="44"/>
      <c r="G120" s="44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35"/>
      <c r="AO120" s="58"/>
      <c r="AP120" s="113"/>
      <c r="AQ120" s="113"/>
      <c r="AR120" s="114"/>
      <c r="AS120" s="115"/>
      <c r="AT120" s="116"/>
      <c r="AU120" s="117"/>
      <c r="AV120" s="116"/>
      <c r="AW120" s="116"/>
      <c r="AX120" s="35"/>
      <c r="AY120" s="35"/>
      <c r="AZ120" s="35"/>
      <c r="BA120" s="35"/>
      <c r="BB120" s="65"/>
      <c r="BC120" s="65"/>
      <c r="BD120" s="65"/>
      <c r="BE120" s="65"/>
      <c r="BF120" s="65"/>
    </row>
    <row r="121" spans="1:58" s="4" customFormat="1" ht="15.75" customHeight="1">
      <c r="A121" s="43"/>
      <c r="B121" s="43"/>
      <c r="C121" s="43"/>
      <c r="D121" s="44"/>
      <c r="E121" s="44"/>
      <c r="F121" s="44"/>
      <c r="G121" s="44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35"/>
      <c r="AO121" s="58"/>
      <c r="AP121" s="113"/>
      <c r="AQ121" s="113"/>
      <c r="AR121" s="114"/>
      <c r="AS121" s="115"/>
      <c r="AT121" s="116"/>
      <c r="AU121" s="117"/>
      <c r="AV121" s="116"/>
      <c r="AW121" s="116"/>
      <c r="AX121" s="35"/>
      <c r="AY121" s="35"/>
      <c r="AZ121" s="35"/>
      <c r="BA121" s="35"/>
      <c r="BB121" s="65"/>
      <c r="BC121" s="65"/>
      <c r="BD121" s="65"/>
      <c r="BE121" s="65"/>
      <c r="BF121" s="65"/>
    </row>
    <row r="122" spans="1:58" s="4" customFormat="1" ht="15.75" customHeight="1">
      <c r="A122" s="43"/>
      <c r="B122" s="43"/>
      <c r="C122" s="43"/>
      <c r="D122" s="44"/>
      <c r="E122" s="44"/>
      <c r="F122" s="44"/>
      <c r="G122" s="44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35"/>
      <c r="AO122" s="58"/>
      <c r="AP122" s="113"/>
      <c r="AQ122" s="113"/>
      <c r="AR122" s="114"/>
      <c r="AS122" s="115"/>
      <c r="AT122" s="116"/>
      <c r="AU122" s="117"/>
      <c r="AV122" s="116"/>
      <c r="AW122" s="116"/>
      <c r="AX122" s="35"/>
      <c r="AY122" s="35"/>
      <c r="AZ122" s="35"/>
      <c r="BA122" s="35"/>
      <c r="BB122" s="65"/>
      <c r="BC122" s="65"/>
      <c r="BD122" s="65"/>
      <c r="BE122" s="65"/>
      <c r="BF122" s="65"/>
    </row>
    <row r="123" spans="1:58" s="4" customFormat="1" ht="15.75" customHeight="1">
      <c r="A123" s="43"/>
      <c r="B123" s="43"/>
      <c r="C123" s="43"/>
      <c r="D123" s="44"/>
      <c r="E123" s="44"/>
      <c r="F123" s="44"/>
      <c r="G123" s="44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35"/>
      <c r="AO123" s="58"/>
      <c r="AP123" s="113"/>
      <c r="AQ123" s="113"/>
      <c r="AR123" s="114"/>
      <c r="AS123" s="115"/>
      <c r="AT123" s="116"/>
      <c r="AU123" s="117"/>
      <c r="AV123" s="116"/>
      <c r="AW123" s="116"/>
      <c r="AX123" s="35"/>
      <c r="AY123" s="35"/>
      <c r="AZ123" s="35"/>
      <c r="BA123" s="35"/>
      <c r="BB123" s="65"/>
      <c r="BC123" s="65"/>
      <c r="BD123" s="65"/>
      <c r="BE123" s="65"/>
      <c r="BF123" s="65"/>
    </row>
    <row r="124" spans="1:58" s="4" customFormat="1" ht="15.75" customHeight="1">
      <c r="A124" s="43"/>
      <c r="B124" s="43"/>
      <c r="C124" s="43"/>
      <c r="D124" s="44"/>
      <c r="E124" s="44"/>
      <c r="F124" s="44"/>
      <c r="G124" s="44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35"/>
      <c r="AO124" s="58"/>
      <c r="AP124" s="113"/>
      <c r="AQ124" s="113"/>
      <c r="AR124" s="114"/>
      <c r="AS124" s="115"/>
      <c r="AT124" s="116"/>
      <c r="AU124" s="117"/>
      <c r="AV124" s="116"/>
      <c r="AW124" s="116"/>
      <c r="AX124" s="35"/>
      <c r="AY124" s="35"/>
      <c r="AZ124" s="35"/>
      <c r="BA124" s="35"/>
      <c r="BB124" s="65"/>
      <c r="BC124" s="65"/>
      <c r="BD124" s="65"/>
      <c r="BE124" s="65"/>
      <c r="BF124" s="65"/>
    </row>
    <row r="125" spans="1:58" s="4" customFormat="1" ht="15.75" customHeight="1">
      <c r="A125" s="43"/>
      <c r="B125" s="43"/>
      <c r="C125" s="43"/>
      <c r="D125" s="44"/>
      <c r="E125" s="44"/>
      <c r="F125" s="44"/>
      <c r="G125" s="44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35"/>
      <c r="AO125" s="58"/>
      <c r="AP125" s="113"/>
      <c r="AQ125" s="113"/>
      <c r="AR125" s="114"/>
      <c r="AS125" s="115"/>
      <c r="AT125" s="116"/>
      <c r="AU125" s="117"/>
      <c r="AV125" s="116"/>
      <c r="AW125" s="116"/>
      <c r="AX125" s="35"/>
      <c r="AY125" s="35"/>
      <c r="AZ125" s="35"/>
      <c r="BA125" s="35"/>
      <c r="BB125" s="65"/>
      <c r="BC125" s="65"/>
      <c r="BD125" s="65"/>
      <c r="BE125" s="65"/>
      <c r="BF125" s="65"/>
    </row>
    <row r="126" spans="1:58" s="4" customFormat="1" ht="15.75" customHeight="1">
      <c r="A126" s="43"/>
      <c r="B126" s="43"/>
      <c r="C126" s="43"/>
      <c r="D126" s="44"/>
      <c r="E126" s="44"/>
      <c r="F126" s="44"/>
      <c r="G126" s="44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35"/>
      <c r="AO126" s="58"/>
      <c r="AP126" s="113"/>
      <c r="AQ126" s="113"/>
      <c r="AR126" s="114"/>
      <c r="AS126" s="115"/>
      <c r="AT126" s="116"/>
      <c r="AU126" s="117"/>
      <c r="AV126" s="116"/>
      <c r="AW126" s="116"/>
      <c r="AX126" s="35"/>
      <c r="AY126" s="35"/>
      <c r="AZ126" s="35"/>
      <c r="BA126" s="35"/>
      <c r="BB126" s="65"/>
      <c r="BC126" s="65"/>
      <c r="BD126" s="65"/>
      <c r="BE126" s="65"/>
      <c r="BF126" s="65"/>
    </row>
    <row r="127" spans="1:58" s="4" customFormat="1" ht="15.75" customHeight="1">
      <c r="A127" s="43"/>
      <c r="B127" s="43"/>
      <c r="C127" s="43"/>
      <c r="D127" s="44"/>
      <c r="E127" s="44"/>
      <c r="F127" s="44"/>
      <c r="G127" s="44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35"/>
      <c r="AO127" s="58"/>
      <c r="AP127" s="113"/>
      <c r="AQ127" s="113"/>
      <c r="AR127" s="114"/>
      <c r="AS127" s="115"/>
      <c r="AT127" s="116"/>
      <c r="AU127" s="117"/>
      <c r="AV127" s="116"/>
      <c r="AW127" s="116"/>
      <c r="AX127" s="35"/>
      <c r="AY127" s="35"/>
      <c r="AZ127" s="35"/>
      <c r="BA127" s="35"/>
      <c r="BB127" s="65"/>
      <c r="BC127" s="65"/>
      <c r="BD127" s="65"/>
      <c r="BE127" s="65"/>
      <c r="BF127" s="65"/>
    </row>
    <row r="128" spans="1:58" s="4" customFormat="1" ht="15.75" customHeight="1">
      <c r="A128" s="43"/>
      <c r="B128" s="43"/>
      <c r="C128" s="43"/>
      <c r="D128" s="44"/>
      <c r="E128" s="44"/>
      <c r="F128" s="44"/>
      <c r="G128" s="44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35"/>
      <c r="AO128" s="58"/>
      <c r="AP128" s="113"/>
      <c r="AQ128" s="113"/>
      <c r="AR128" s="114"/>
      <c r="AS128" s="115"/>
      <c r="AT128" s="116"/>
      <c r="AU128" s="117"/>
      <c r="AV128" s="116"/>
      <c r="AW128" s="116"/>
      <c r="AX128" s="35"/>
      <c r="AY128" s="35"/>
      <c r="AZ128" s="35"/>
      <c r="BA128" s="35"/>
      <c r="BB128" s="65"/>
      <c r="BC128" s="65"/>
      <c r="BD128" s="65"/>
      <c r="BE128" s="65"/>
      <c r="BF128" s="65"/>
    </row>
    <row r="129" spans="1:58" s="4" customFormat="1" ht="15.75" customHeight="1">
      <c r="A129" s="43"/>
      <c r="B129" s="43"/>
      <c r="C129" s="43"/>
      <c r="D129" s="44"/>
      <c r="E129" s="44"/>
      <c r="F129" s="44"/>
      <c r="G129" s="44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35"/>
      <c r="AO129" s="58"/>
      <c r="AP129" s="113"/>
      <c r="AQ129" s="113"/>
      <c r="AR129" s="114"/>
      <c r="AS129" s="115"/>
      <c r="AT129" s="116"/>
      <c r="AU129" s="117"/>
      <c r="AV129" s="116"/>
      <c r="AW129" s="116"/>
      <c r="AX129" s="35"/>
      <c r="AY129" s="35"/>
      <c r="AZ129" s="35"/>
      <c r="BA129" s="35"/>
      <c r="BB129" s="65"/>
      <c r="BC129" s="65"/>
      <c r="BD129" s="65"/>
      <c r="BE129" s="65"/>
      <c r="BF129" s="65"/>
    </row>
    <row r="130" spans="1:58" s="4" customFormat="1" ht="15.75" customHeight="1">
      <c r="A130" s="43"/>
      <c r="B130" s="43"/>
      <c r="C130" s="43"/>
      <c r="D130" s="44"/>
      <c r="E130" s="44"/>
      <c r="F130" s="44"/>
      <c r="G130" s="44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35"/>
      <c r="AO130" s="58"/>
      <c r="AP130" s="113"/>
      <c r="AQ130" s="113"/>
      <c r="AR130" s="114"/>
      <c r="AS130" s="115"/>
      <c r="AT130" s="116"/>
      <c r="AU130" s="117"/>
      <c r="AV130" s="116"/>
      <c r="AW130" s="116"/>
      <c r="AX130" s="35"/>
      <c r="AY130" s="35"/>
      <c r="AZ130" s="35"/>
      <c r="BA130" s="35"/>
      <c r="BB130" s="65"/>
      <c r="BC130" s="65"/>
      <c r="BD130" s="65"/>
      <c r="BE130" s="65"/>
      <c r="BF130" s="65"/>
    </row>
    <row r="131" spans="1:58" s="4" customFormat="1" ht="15.75" customHeight="1">
      <c r="A131" s="43"/>
      <c r="B131" s="43"/>
      <c r="C131" s="43"/>
      <c r="D131" s="44"/>
      <c r="E131" s="44"/>
      <c r="F131" s="44"/>
      <c r="G131" s="44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35"/>
      <c r="AO131" s="58"/>
      <c r="AP131" s="113"/>
      <c r="AQ131" s="113"/>
      <c r="AR131" s="114"/>
      <c r="AS131" s="115"/>
      <c r="AT131" s="116"/>
      <c r="AU131" s="117"/>
      <c r="AV131" s="116"/>
      <c r="AW131" s="116"/>
      <c r="AX131" s="35"/>
      <c r="AY131" s="35"/>
      <c r="AZ131" s="35"/>
      <c r="BA131" s="35"/>
      <c r="BB131" s="65"/>
      <c r="BC131" s="65"/>
      <c r="BD131" s="65"/>
      <c r="BE131" s="65"/>
      <c r="BF131" s="65"/>
    </row>
    <row r="132" spans="1:58" s="4" customFormat="1" ht="15.75" customHeight="1">
      <c r="A132" s="43"/>
      <c r="B132" s="43"/>
      <c r="C132" s="43"/>
      <c r="D132" s="44"/>
      <c r="E132" s="44"/>
      <c r="F132" s="44"/>
      <c r="G132" s="44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35"/>
      <c r="AO132" s="58"/>
      <c r="AP132" s="113"/>
      <c r="AQ132" s="113"/>
      <c r="AR132" s="114"/>
      <c r="AS132" s="115"/>
      <c r="AT132" s="116"/>
      <c r="AU132" s="117"/>
      <c r="AV132" s="116"/>
      <c r="AW132" s="116"/>
      <c r="AX132" s="35"/>
      <c r="AY132" s="35"/>
      <c r="AZ132" s="35"/>
      <c r="BA132" s="35"/>
      <c r="BB132" s="65"/>
      <c r="BC132" s="65"/>
      <c r="BD132" s="65"/>
      <c r="BE132" s="65"/>
      <c r="BF132" s="65"/>
    </row>
    <row r="133" spans="1:58" s="4" customFormat="1" ht="15.75" customHeight="1">
      <c r="A133" s="43"/>
      <c r="B133" s="43"/>
      <c r="C133" s="43"/>
      <c r="D133" s="44"/>
      <c r="E133" s="44"/>
      <c r="F133" s="44"/>
      <c r="G133" s="44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35"/>
      <c r="AO133" s="58"/>
      <c r="AP133" s="113"/>
      <c r="AQ133" s="113"/>
      <c r="AR133" s="114"/>
      <c r="AS133" s="115"/>
      <c r="AT133" s="116"/>
      <c r="AU133" s="117"/>
      <c r="AV133" s="116"/>
      <c r="AW133" s="116"/>
      <c r="AX133" s="35"/>
      <c r="AY133" s="35"/>
      <c r="AZ133" s="35"/>
      <c r="BA133" s="35"/>
      <c r="BB133" s="65"/>
      <c r="BC133" s="65"/>
      <c r="BD133" s="65"/>
      <c r="BE133" s="65"/>
      <c r="BF133" s="65"/>
    </row>
    <row r="134" spans="1:58" s="4" customFormat="1" ht="15.75" customHeight="1">
      <c r="A134" s="43"/>
      <c r="B134" s="43"/>
      <c r="C134" s="43"/>
      <c r="D134" s="44"/>
      <c r="E134" s="44"/>
      <c r="F134" s="44"/>
      <c r="G134" s="44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35"/>
      <c r="AO134" s="58"/>
      <c r="AP134" s="113"/>
      <c r="AQ134" s="113"/>
      <c r="AR134" s="114"/>
      <c r="AS134" s="115"/>
      <c r="AT134" s="116"/>
      <c r="AU134" s="117"/>
      <c r="AV134" s="116"/>
      <c r="AW134" s="116"/>
      <c r="AX134" s="35"/>
      <c r="AY134" s="35"/>
      <c r="AZ134" s="35"/>
      <c r="BA134" s="35"/>
      <c r="BB134" s="65"/>
      <c r="BC134" s="65"/>
      <c r="BD134" s="65"/>
      <c r="BE134" s="65"/>
      <c r="BF134" s="65"/>
    </row>
    <row r="135" spans="1:58" s="4" customFormat="1" ht="15.75" customHeight="1">
      <c r="A135" s="43"/>
      <c r="B135" s="43"/>
      <c r="C135" s="43"/>
      <c r="D135" s="44"/>
      <c r="E135" s="44"/>
      <c r="F135" s="44"/>
      <c r="G135" s="44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35"/>
      <c r="AO135" s="58"/>
      <c r="AP135" s="113"/>
      <c r="AQ135" s="113"/>
      <c r="AR135" s="114"/>
      <c r="AS135" s="115"/>
      <c r="AT135" s="116"/>
      <c r="AU135" s="117"/>
      <c r="AV135" s="116"/>
      <c r="AW135" s="116"/>
      <c r="AX135" s="35"/>
      <c r="AY135" s="35"/>
      <c r="AZ135" s="35"/>
      <c r="BA135" s="35"/>
      <c r="BB135" s="65"/>
      <c r="BC135" s="65"/>
      <c r="BD135" s="65"/>
      <c r="BE135" s="65"/>
      <c r="BF135" s="65"/>
    </row>
    <row r="136" spans="1:58" s="4" customFormat="1" ht="15.75" customHeight="1">
      <c r="A136" s="43"/>
      <c r="B136" s="43"/>
      <c r="C136" s="43"/>
      <c r="D136" s="44"/>
      <c r="E136" s="44"/>
      <c r="F136" s="44"/>
      <c r="G136" s="44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35"/>
      <c r="AO136" s="58"/>
      <c r="AP136" s="113"/>
      <c r="AQ136" s="113"/>
      <c r="AR136" s="114"/>
      <c r="AS136" s="115"/>
      <c r="AT136" s="116"/>
      <c r="AU136" s="117"/>
      <c r="AV136" s="116"/>
      <c r="AW136" s="116"/>
      <c r="AX136" s="35"/>
      <c r="AY136" s="35"/>
      <c r="AZ136" s="35"/>
      <c r="BA136" s="35"/>
      <c r="BB136" s="65"/>
      <c r="BC136" s="65"/>
      <c r="BD136" s="65"/>
      <c r="BE136" s="65"/>
      <c r="BF136" s="65"/>
    </row>
    <row r="137" spans="1:58" s="4" customFormat="1" ht="15.75" customHeight="1">
      <c r="A137" s="43"/>
      <c r="B137" s="43"/>
      <c r="C137" s="43"/>
      <c r="D137" s="44"/>
      <c r="E137" s="44"/>
      <c r="F137" s="44"/>
      <c r="G137" s="44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35"/>
      <c r="AO137" s="58"/>
      <c r="AP137" s="113"/>
      <c r="AQ137" s="113"/>
      <c r="AR137" s="114"/>
      <c r="AS137" s="115"/>
      <c r="AT137" s="116"/>
      <c r="AU137" s="117"/>
      <c r="AV137" s="116"/>
      <c r="AW137" s="116"/>
      <c r="AX137" s="35"/>
      <c r="AY137" s="35"/>
      <c r="AZ137" s="35"/>
      <c r="BA137" s="35"/>
      <c r="BB137" s="65"/>
      <c r="BC137" s="65"/>
      <c r="BD137" s="65"/>
      <c r="BE137" s="65"/>
      <c r="BF137" s="65"/>
    </row>
    <row r="138" spans="1:58" s="4" customFormat="1" ht="15.75" customHeight="1">
      <c r="A138" s="43"/>
      <c r="B138" s="43"/>
      <c r="C138" s="43"/>
      <c r="D138" s="44"/>
      <c r="E138" s="44"/>
      <c r="F138" s="44"/>
      <c r="G138" s="44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35"/>
      <c r="AO138" s="58"/>
      <c r="AP138" s="113"/>
      <c r="AQ138" s="113"/>
      <c r="AR138" s="114"/>
      <c r="AS138" s="115"/>
      <c r="AT138" s="116"/>
      <c r="AU138" s="117"/>
      <c r="AV138" s="116"/>
      <c r="AW138" s="116"/>
      <c r="AX138" s="35"/>
      <c r="AY138" s="35"/>
      <c r="AZ138" s="35"/>
      <c r="BA138" s="35"/>
      <c r="BB138" s="65"/>
      <c r="BC138" s="65"/>
      <c r="BD138" s="65"/>
      <c r="BE138" s="65"/>
      <c r="BF138" s="65"/>
    </row>
    <row r="139" spans="1:58" s="4" customFormat="1" ht="15.75" customHeight="1">
      <c r="A139" s="43"/>
      <c r="B139" s="43"/>
      <c r="C139" s="43"/>
      <c r="D139" s="44"/>
      <c r="E139" s="44"/>
      <c r="F139" s="44"/>
      <c r="G139" s="44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35"/>
      <c r="AO139" s="58"/>
      <c r="AP139" s="113"/>
      <c r="AQ139" s="113"/>
      <c r="AR139" s="114"/>
      <c r="AS139" s="115"/>
      <c r="AT139" s="116"/>
      <c r="AU139" s="117"/>
      <c r="AV139" s="116"/>
      <c r="AW139" s="116"/>
      <c r="AX139" s="35"/>
      <c r="AY139" s="35"/>
      <c r="AZ139" s="35"/>
      <c r="BA139" s="35"/>
      <c r="BB139" s="65"/>
      <c r="BC139" s="65"/>
      <c r="BD139" s="65"/>
      <c r="BE139" s="65"/>
      <c r="BF139" s="65"/>
    </row>
    <row r="140" spans="1:58" s="4" customFormat="1" ht="15.75" customHeight="1">
      <c r="A140" s="43"/>
      <c r="B140" s="43"/>
      <c r="C140" s="43"/>
      <c r="D140" s="44"/>
      <c r="E140" s="44"/>
      <c r="F140" s="44"/>
      <c r="G140" s="44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35"/>
      <c r="AO140" s="58"/>
      <c r="AP140" s="113"/>
      <c r="AQ140" s="113"/>
      <c r="AR140" s="114"/>
      <c r="AS140" s="115"/>
      <c r="AT140" s="116"/>
      <c r="AU140" s="117"/>
      <c r="AV140" s="116"/>
      <c r="AW140" s="116"/>
      <c r="AX140" s="35"/>
      <c r="AY140" s="35"/>
      <c r="AZ140" s="35"/>
      <c r="BA140" s="35"/>
      <c r="BB140" s="65"/>
      <c r="BC140" s="65"/>
      <c r="BD140" s="65"/>
      <c r="BE140" s="65"/>
      <c r="BF140" s="65"/>
    </row>
    <row r="141" spans="1:58" s="4" customFormat="1" ht="15.75" customHeight="1">
      <c r="A141" s="43"/>
      <c r="B141" s="43"/>
      <c r="C141" s="43"/>
      <c r="D141" s="44"/>
      <c r="E141" s="44"/>
      <c r="F141" s="44"/>
      <c r="G141" s="44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35"/>
      <c r="AO141" s="58"/>
      <c r="AP141" s="113"/>
      <c r="AQ141" s="113"/>
      <c r="AR141" s="114"/>
      <c r="AS141" s="115"/>
      <c r="AT141" s="116"/>
      <c r="AU141" s="117"/>
      <c r="AV141" s="116"/>
      <c r="AW141" s="116"/>
      <c r="AX141" s="35"/>
      <c r="AY141" s="35"/>
      <c r="AZ141" s="35"/>
      <c r="BA141" s="35"/>
      <c r="BB141" s="65"/>
      <c r="BC141" s="65"/>
      <c r="BD141" s="65"/>
      <c r="BE141" s="65"/>
      <c r="BF141" s="65"/>
    </row>
    <row r="142" spans="1:58" s="4" customFormat="1" ht="15.75" customHeight="1">
      <c r="A142" s="43"/>
      <c r="B142" s="43"/>
      <c r="C142" s="43"/>
      <c r="D142" s="44"/>
      <c r="E142" s="44"/>
      <c r="F142" s="44"/>
      <c r="G142" s="44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35"/>
      <c r="AO142" s="58"/>
      <c r="AP142" s="113"/>
      <c r="AQ142" s="113"/>
      <c r="AR142" s="114"/>
      <c r="AS142" s="115"/>
      <c r="AT142" s="116"/>
      <c r="AU142" s="117"/>
      <c r="AV142" s="116"/>
      <c r="AW142" s="116"/>
      <c r="AX142" s="35"/>
      <c r="AY142" s="35"/>
      <c r="AZ142" s="35"/>
      <c r="BA142" s="35"/>
      <c r="BB142" s="65"/>
      <c r="BC142" s="65"/>
      <c r="BD142" s="65"/>
      <c r="BE142" s="65"/>
      <c r="BF142" s="65"/>
    </row>
    <row r="143" spans="1:58" s="4" customFormat="1" ht="15.75" customHeight="1">
      <c r="A143" s="43"/>
      <c r="B143" s="43"/>
      <c r="C143" s="43"/>
      <c r="D143" s="44"/>
      <c r="E143" s="44"/>
      <c r="F143" s="44"/>
      <c r="G143" s="44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35"/>
      <c r="AO143" s="58"/>
      <c r="AP143" s="113"/>
      <c r="AQ143" s="113"/>
      <c r="AR143" s="114"/>
      <c r="AS143" s="115"/>
      <c r="AT143" s="116"/>
      <c r="AU143" s="117"/>
      <c r="AV143" s="116"/>
      <c r="AW143" s="116"/>
      <c r="AX143" s="35"/>
      <c r="AY143" s="35"/>
      <c r="AZ143" s="35"/>
      <c r="BA143" s="35"/>
      <c r="BB143" s="65"/>
      <c r="BC143" s="65"/>
      <c r="BD143" s="65"/>
      <c r="BE143" s="65"/>
      <c r="BF143" s="65"/>
    </row>
    <row r="144" spans="1:58" s="4" customFormat="1" ht="15.75" customHeight="1">
      <c r="A144" s="43"/>
      <c r="B144" s="43"/>
      <c r="C144" s="43"/>
      <c r="D144" s="44"/>
      <c r="E144" s="44"/>
      <c r="F144" s="44"/>
      <c r="G144" s="44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35"/>
      <c r="AO144" s="58"/>
      <c r="AP144" s="113"/>
      <c r="AQ144" s="113"/>
      <c r="AR144" s="114"/>
      <c r="AS144" s="115"/>
      <c r="AT144" s="116"/>
      <c r="AU144" s="117"/>
      <c r="AV144" s="116"/>
      <c r="AW144" s="116"/>
      <c r="AX144" s="35"/>
      <c r="AY144" s="35"/>
      <c r="AZ144" s="35"/>
      <c r="BA144" s="35"/>
      <c r="BB144" s="65"/>
      <c r="BC144" s="65"/>
      <c r="BD144" s="65"/>
      <c r="BE144" s="65"/>
      <c r="BF144" s="65"/>
    </row>
    <row r="145" spans="1:58" s="4" customFormat="1" ht="15.75" customHeight="1">
      <c r="A145" s="43"/>
      <c r="B145" s="43"/>
      <c r="C145" s="43"/>
      <c r="D145" s="44"/>
      <c r="E145" s="44"/>
      <c r="F145" s="44"/>
      <c r="G145" s="44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35"/>
      <c r="AO145" s="58"/>
      <c r="AP145" s="113"/>
      <c r="AQ145" s="113"/>
      <c r="AR145" s="114"/>
      <c r="AS145" s="115"/>
      <c r="AT145" s="116"/>
      <c r="AU145" s="117"/>
      <c r="AV145" s="116"/>
      <c r="AW145" s="116"/>
      <c r="AX145" s="35"/>
      <c r="AY145" s="35"/>
      <c r="AZ145" s="35"/>
      <c r="BA145" s="35"/>
      <c r="BB145" s="65"/>
      <c r="BC145" s="65"/>
      <c r="BD145" s="65"/>
      <c r="BE145" s="65"/>
      <c r="BF145" s="65"/>
    </row>
    <row r="146" spans="1:58" s="4" customFormat="1" ht="15.75" customHeight="1">
      <c r="A146" s="43"/>
      <c r="B146" s="43"/>
      <c r="C146" s="43"/>
      <c r="D146" s="44"/>
      <c r="E146" s="44"/>
      <c r="F146" s="44"/>
      <c r="G146" s="44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35"/>
      <c r="AO146" s="58"/>
      <c r="AP146" s="113"/>
      <c r="AQ146" s="113"/>
      <c r="AR146" s="114"/>
      <c r="AS146" s="115"/>
      <c r="AT146" s="116"/>
      <c r="AU146" s="117"/>
      <c r="AV146" s="116"/>
      <c r="AW146" s="116"/>
      <c r="AX146" s="35"/>
      <c r="AY146" s="35"/>
      <c r="AZ146" s="35"/>
      <c r="BA146" s="35"/>
      <c r="BB146" s="65"/>
      <c r="BC146" s="65"/>
      <c r="BD146" s="65"/>
      <c r="BE146" s="65"/>
      <c r="BF146" s="65"/>
    </row>
    <row r="147" spans="1:58" s="4" customFormat="1" ht="15.75" customHeight="1">
      <c r="A147" s="43"/>
      <c r="B147" s="43"/>
      <c r="C147" s="43"/>
      <c r="D147" s="44"/>
      <c r="E147" s="44"/>
      <c r="F147" s="44"/>
      <c r="G147" s="44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35"/>
      <c r="AO147" s="58"/>
      <c r="AP147" s="113"/>
      <c r="AQ147" s="113"/>
      <c r="AR147" s="114"/>
      <c r="AS147" s="115"/>
      <c r="AT147" s="116"/>
      <c r="AU147" s="117"/>
      <c r="AV147" s="116"/>
      <c r="AW147" s="116"/>
      <c r="AX147" s="35"/>
      <c r="AY147" s="35"/>
      <c r="AZ147" s="35"/>
      <c r="BA147" s="35"/>
      <c r="BB147" s="65"/>
      <c r="BC147" s="65"/>
      <c r="BD147" s="65"/>
      <c r="BE147" s="65"/>
      <c r="BF147" s="65"/>
    </row>
    <row r="148" spans="1:58" s="4" customFormat="1" ht="15.75" customHeight="1">
      <c r="A148" s="43"/>
      <c r="B148" s="43"/>
      <c r="C148" s="43"/>
      <c r="D148" s="44"/>
      <c r="E148" s="44"/>
      <c r="F148" s="44"/>
      <c r="G148" s="44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35"/>
      <c r="AO148" s="58"/>
      <c r="AP148" s="113"/>
      <c r="AQ148" s="113"/>
      <c r="AR148" s="114"/>
      <c r="AS148" s="115"/>
      <c r="AT148" s="116"/>
      <c r="AU148" s="117"/>
      <c r="AV148" s="116"/>
      <c r="AW148" s="116"/>
      <c r="AX148" s="35"/>
      <c r="AY148" s="35"/>
      <c r="AZ148" s="35"/>
      <c r="BA148" s="35"/>
      <c r="BB148" s="65"/>
      <c r="BC148" s="65"/>
      <c r="BD148" s="65"/>
      <c r="BE148" s="65"/>
      <c r="BF148" s="65"/>
    </row>
    <row r="149" spans="1:58" s="4" customFormat="1" ht="15.75" customHeight="1">
      <c r="A149" s="43"/>
      <c r="B149" s="43"/>
      <c r="C149" s="43"/>
      <c r="D149" s="44"/>
      <c r="E149" s="44"/>
      <c r="F149" s="44"/>
      <c r="G149" s="44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35"/>
      <c r="AO149" s="58"/>
      <c r="AP149" s="113"/>
      <c r="AQ149" s="113"/>
      <c r="AR149" s="114"/>
      <c r="AS149" s="115"/>
      <c r="AT149" s="116"/>
      <c r="AU149" s="117"/>
      <c r="AV149" s="116"/>
      <c r="AW149" s="116"/>
      <c r="AX149" s="35"/>
      <c r="AY149" s="35"/>
      <c r="AZ149" s="35"/>
      <c r="BA149" s="35"/>
      <c r="BB149" s="65"/>
      <c r="BC149" s="65"/>
      <c r="BD149" s="65"/>
      <c r="BE149" s="65"/>
      <c r="BF149" s="65"/>
    </row>
    <row r="150" spans="1:58" s="4" customFormat="1" ht="15.75" customHeight="1">
      <c r="A150" s="43"/>
      <c r="B150" s="43"/>
      <c r="C150" s="43"/>
      <c r="D150" s="44"/>
      <c r="E150" s="44"/>
      <c r="F150" s="44"/>
      <c r="G150" s="44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35"/>
      <c r="AO150" s="58"/>
      <c r="AP150" s="113"/>
      <c r="AQ150" s="113"/>
      <c r="AR150" s="114"/>
      <c r="AS150" s="115"/>
      <c r="AT150" s="116"/>
      <c r="AU150" s="117"/>
      <c r="AV150" s="116"/>
      <c r="AW150" s="116"/>
      <c r="AX150" s="35"/>
      <c r="AY150" s="35"/>
      <c r="AZ150" s="35"/>
      <c r="BA150" s="35"/>
      <c r="BB150" s="65"/>
      <c r="BC150" s="65"/>
      <c r="BD150" s="65"/>
      <c r="BE150" s="65"/>
      <c r="BF150" s="65"/>
    </row>
    <row r="151" spans="1:58" s="4" customFormat="1" ht="15.75" customHeight="1">
      <c r="A151" s="43"/>
      <c r="B151" s="43"/>
      <c r="C151" s="43"/>
      <c r="D151" s="44"/>
      <c r="E151" s="44"/>
      <c r="F151" s="44"/>
      <c r="G151" s="44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35"/>
      <c r="AO151" s="58"/>
      <c r="AP151" s="113"/>
      <c r="AQ151" s="113"/>
      <c r="AR151" s="114"/>
      <c r="AS151" s="115"/>
      <c r="AT151" s="116"/>
      <c r="AU151" s="117"/>
      <c r="AV151" s="116"/>
      <c r="AW151" s="116"/>
      <c r="AX151" s="35"/>
      <c r="AY151" s="35"/>
      <c r="AZ151" s="35"/>
      <c r="BA151" s="35"/>
      <c r="BB151" s="65"/>
      <c r="BC151" s="65"/>
      <c r="BD151" s="65"/>
      <c r="BE151" s="65"/>
      <c r="BF151" s="65"/>
    </row>
    <row r="152" spans="1:58" s="4" customFormat="1" ht="15.75" customHeight="1">
      <c r="A152" s="43"/>
      <c r="B152" s="43"/>
      <c r="C152" s="43"/>
      <c r="D152" s="44"/>
      <c r="E152" s="44"/>
      <c r="F152" s="44"/>
      <c r="G152" s="44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35"/>
      <c r="AO152" s="58"/>
      <c r="AP152" s="113"/>
      <c r="AQ152" s="113"/>
      <c r="AR152" s="114"/>
      <c r="AS152" s="115"/>
      <c r="AT152" s="116"/>
      <c r="AU152" s="117"/>
      <c r="AV152" s="116"/>
      <c r="AW152" s="116"/>
      <c r="AX152" s="35"/>
      <c r="AY152" s="35"/>
      <c r="AZ152" s="35"/>
      <c r="BA152" s="35"/>
      <c r="BB152" s="65"/>
      <c r="BC152" s="65"/>
      <c r="BD152" s="65"/>
      <c r="BE152" s="65"/>
      <c r="BF152" s="65"/>
    </row>
    <row r="153" spans="1:58" s="4" customFormat="1" ht="15.75" customHeight="1">
      <c r="A153" s="43"/>
      <c r="B153" s="43"/>
      <c r="C153" s="43"/>
      <c r="D153" s="44"/>
      <c r="E153" s="44"/>
      <c r="F153" s="44"/>
      <c r="G153" s="44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35"/>
      <c r="AO153" s="58"/>
      <c r="AP153" s="113"/>
      <c r="AQ153" s="113"/>
      <c r="AR153" s="114"/>
      <c r="AS153" s="115"/>
      <c r="AT153" s="116"/>
      <c r="AU153" s="117"/>
      <c r="AV153" s="116"/>
      <c r="AW153" s="116"/>
      <c r="AX153" s="35"/>
      <c r="AY153" s="35"/>
      <c r="AZ153" s="35"/>
      <c r="BA153" s="35"/>
      <c r="BB153" s="65"/>
      <c r="BC153" s="65"/>
      <c r="BD153" s="65"/>
      <c r="BE153" s="65"/>
      <c r="BF153" s="65"/>
    </row>
    <row r="154" spans="1:58" s="4" customFormat="1" ht="15.75" customHeight="1">
      <c r="A154" s="43"/>
      <c r="B154" s="43"/>
      <c r="C154" s="43"/>
      <c r="D154" s="44"/>
      <c r="E154" s="44"/>
      <c r="F154" s="44"/>
      <c r="G154" s="44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35"/>
      <c r="AO154" s="58"/>
      <c r="AP154" s="113"/>
      <c r="AQ154" s="113"/>
      <c r="AR154" s="114"/>
      <c r="AS154" s="115"/>
      <c r="AT154" s="116"/>
      <c r="AU154" s="117"/>
      <c r="AV154" s="116"/>
      <c r="AW154" s="116"/>
      <c r="AX154" s="35"/>
      <c r="AY154" s="35"/>
      <c r="AZ154" s="35"/>
      <c r="BA154" s="35"/>
      <c r="BB154" s="65"/>
      <c r="BC154" s="65"/>
      <c r="BD154" s="65"/>
      <c r="BE154" s="65"/>
      <c r="BF154" s="65"/>
    </row>
    <row r="155" spans="1:58" s="4" customFormat="1" ht="15.75" customHeight="1">
      <c r="A155" s="43"/>
      <c r="B155" s="43"/>
      <c r="C155" s="43"/>
      <c r="D155" s="44"/>
      <c r="E155" s="44"/>
      <c r="F155" s="44"/>
      <c r="G155" s="44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35"/>
      <c r="AO155" s="58"/>
      <c r="AP155" s="113"/>
      <c r="AQ155" s="113"/>
      <c r="AR155" s="114"/>
      <c r="AS155" s="115"/>
      <c r="AT155" s="116"/>
      <c r="AU155" s="117"/>
      <c r="AV155" s="116"/>
      <c r="AW155" s="116"/>
      <c r="AX155" s="35"/>
      <c r="AY155" s="35"/>
      <c r="AZ155" s="35"/>
      <c r="BA155" s="35"/>
      <c r="BB155" s="65"/>
      <c r="BC155" s="65"/>
      <c r="BD155" s="65"/>
      <c r="BE155" s="65"/>
      <c r="BF155" s="65"/>
    </row>
    <row r="156" spans="1:58" s="4" customFormat="1" ht="15.75" customHeight="1">
      <c r="A156" s="43"/>
      <c r="B156" s="43"/>
      <c r="C156" s="43"/>
      <c r="D156" s="44"/>
      <c r="E156" s="44"/>
      <c r="F156" s="44"/>
      <c r="G156" s="44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35"/>
      <c r="AO156" s="58"/>
      <c r="AP156" s="113"/>
      <c r="AQ156" s="113"/>
      <c r="AR156" s="114"/>
      <c r="AS156" s="115"/>
      <c r="AT156" s="116"/>
      <c r="AU156" s="117"/>
      <c r="AV156" s="116"/>
      <c r="AW156" s="116"/>
      <c r="AX156" s="35"/>
      <c r="AY156" s="35"/>
      <c r="AZ156" s="35"/>
      <c r="BA156" s="35"/>
      <c r="BB156" s="65"/>
      <c r="BC156" s="65"/>
      <c r="BD156" s="65"/>
      <c r="BE156" s="65"/>
      <c r="BF156" s="65"/>
    </row>
    <row r="157" spans="1:58" s="4" customFormat="1" ht="15.75" customHeight="1">
      <c r="A157" s="43"/>
      <c r="B157" s="43"/>
      <c r="C157" s="43"/>
      <c r="D157" s="44"/>
      <c r="E157" s="44"/>
      <c r="F157" s="44"/>
      <c r="G157" s="44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35"/>
      <c r="AO157" s="58"/>
      <c r="AP157" s="113"/>
      <c r="AQ157" s="113"/>
      <c r="AR157" s="114"/>
      <c r="AS157" s="115"/>
      <c r="AT157" s="116"/>
      <c r="AU157" s="117"/>
      <c r="AV157" s="116"/>
      <c r="AW157" s="116"/>
      <c r="AX157" s="35"/>
      <c r="AY157" s="35"/>
      <c r="AZ157" s="35"/>
      <c r="BA157" s="35"/>
      <c r="BB157" s="65"/>
      <c r="BC157" s="65"/>
      <c r="BD157" s="65"/>
      <c r="BE157" s="65"/>
      <c r="BF157" s="65"/>
    </row>
    <row r="158" spans="1:58" s="4" customFormat="1" ht="15.75" customHeight="1">
      <c r="A158" s="43"/>
      <c r="B158" s="43"/>
      <c r="C158" s="43"/>
      <c r="D158" s="44"/>
      <c r="E158" s="44"/>
      <c r="F158" s="44"/>
      <c r="G158" s="44"/>
      <c r="H158" s="45"/>
      <c r="I158" s="45"/>
      <c r="J158" s="9">
        <v>0</v>
      </c>
      <c r="K158" s="9">
        <v>0</v>
      </c>
      <c r="L158" s="10">
        <v>2</v>
      </c>
      <c r="M158" s="10">
        <v>0</v>
      </c>
      <c r="N158" s="10">
        <v>1</v>
      </c>
      <c r="O158" s="66"/>
      <c r="P158" s="10">
        <v>1</v>
      </c>
      <c r="Q158" s="10">
        <v>0</v>
      </c>
      <c r="R158" s="10">
        <v>0</v>
      </c>
      <c r="S158" s="10">
        <v>1</v>
      </c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35"/>
      <c r="AO158" s="58"/>
      <c r="AP158" s="113"/>
      <c r="AQ158" s="113"/>
      <c r="AR158" s="114"/>
      <c r="AS158" s="115"/>
      <c r="AT158" s="116"/>
      <c r="AU158" s="117"/>
      <c r="AV158" s="116"/>
      <c r="AW158" s="116"/>
      <c r="AX158" s="35"/>
      <c r="AY158" s="35"/>
      <c r="AZ158" s="35"/>
      <c r="BA158" s="35"/>
      <c r="BB158" s="65"/>
      <c r="BC158" s="65"/>
      <c r="BD158" s="65"/>
      <c r="BE158" s="65"/>
      <c r="BF158" s="65"/>
    </row>
    <row r="159" spans="1:58" s="4" customFormat="1" ht="15.75" customHeight="1">
      <c r="A159" s="43"/>
      <c r="B159" s="43"/>
      <c r="C159" s="43"/>
      <c r="D159" s="44"/>
      <c r="E159" s="44"/>
      <c r="F159" s="44"/>
      <c r="G159" s="44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35"/>
      <c r="AO159" s="58"/>
      <c r="AP159" s="113"/>
      <c r="AQ159" s="113"/>
      <c r="AR159" s="114"/>
      <c r="AS159" s="115"/>
      <c r="AT159" s="116"/>
      <c r="AU159" s="117"/>
      <c r="AV159" s="116"/>
      <c r="AW159" s="116"/>
      <c r="AX159" s="35"/>
      <c r="AY159" s="35"/>
      <c r="AZ159" s="35"/>
      <c r="BA159" s="35"/>
      <c r="BB159" s="65"/>
      <c r="BC159" s="65"/>
      <c r="BD159" s="65"/>
      <c r="BE159" s="65"/>
      <c r="BF159" s="65"/>
    </row>
    <row r="160" spans="1:58" s="4" customFormat="1" ht="15.75" customHeight="1">
      <c r="A160" s="43"/>
      <c r="B160" s="43"/>
      <c r="C160" s="43"/>
      <c r="D160" s="44"/>
      <c r="E160" s="44"/>
      <c r="F160" s="44"/>
      <c r="G160" s="44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35"/>
      <c r="AO160" s="58"/>
      <c r="AP160" s="113"/>
      <c r="AQ160" s="113"/>
      <c r="AR160" s="114"/>
      <c r="AS160" s="115"/>
      <c r="AT160" s="116"/>
      <c r="AU160" s="117"/>
      <c r="AV160" s="116"/>
      <c r="AW160" s="116"/>
      <c r="AX160" s="35"/>
      <c r="AY160" s="35"/>
      <c r="AZ160" s="35"/>
      <c r="BA160" s="35"/>
      <c r="BB160" s="65"/>
      <c r="BC160" s="65"/>
      <c r="BD160" s="65"/>
      <c r="BE160" s="65"/>
      <c r="BF160" s="65"/>
    </row>
    <row r="161" spans="1:58" s="4" customFormat="1" ht="15.75" customHeight="1">
      <c r="A161" s="43"/>
      <c r="B161" s="43"/>
      <c r="C161" s="43"/>
      <c r="D161" s="44"/>
      <c r="E161" s="44"/>
      <c r="F161" s="44"/>
      <c r="G161" s="44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35"/>
      <c r="AO161" s="58"/>
      <c r="AP161" s="113"/>
      <c r="AQ161" s="113"/>
      <c r="AR161" s="114"/>
      <c r="AS161" s="115"/>
      <c r="AT161" s="116"/>
      <c r="AU161" s="117"/>
      <c r="AV161" s="116"/>
      <c r="AW161" s="116"/>
      <c r="AX161" s="35"/>
      <c r="AY161" s="35"/>
      <c r="AZ161" s="35"/>
      <c r="BA161" s="35"/>
      <c r="BB161" s="65"/>
      <c r="BC161" s="65"/>
      <c r="BD161" s="65"/>
      <c r="BE161" s="65"/>
      <c r="BF161" s="65"/>
    </row>
    <row r="162" spans="1:58" s="4" customFormat="1" ht="15.75" customHeight="1">
      <c r="A162" s="43"/>
      <c r="B162" s="43"/>
      <c r="C162" s="43"/>
      <c r="D162" s="44"/>
      <c r="E162" s="44"/>
      <c r="F162" s="44"/>
      <c r="G162" s="44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35"/>
      <c r="AO162" s="58"/>
      <c r="AP162" s="113"/>
      <c r="AQ162" s="113"/>
      <c r="AR162" s="114"/>
      <c r="AS162" s="115"/>
      <c r="AT162" s="116"/>
      <c r="AU162" s="117"/>
      <c r="AV162" s="116"/>
      <c r="AW162" s="116"/>
      <c r="AX162" s="35"/>
      <c r="AY162" s="35"/>
      <c r="AZ162" s="35"/>
      <c r="BA162" s="35"/>
      <c r="BB162" s="65"/>
      <c r="BC162" s="65"/>
      <c r="BD162" s="65"/>
      <c r="BE162" s="65"/>
      <c r="BF162" s="65"/>
    </row>
    <row r="163" spans="1:58" s="4" customFormat="1" ht="15.75" customHeight="1">
      <c r="A163" s="43"/>
      <c r="B163" s="43"/>
      <c r="C163" s="43"/>
      <c r="D163" s="44"/>
      <c r="E163" s="44"/>
      <c r="F163" s="44"/>
      <c r="G163" s="44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35"/>
      <c r="AO163" s="58"/>
      <c r="AP163" s="113"/>
      <c r="AQ163" s="113"/>
      <c r="AR163" s="114"/>
      <c r="AS163" s="115"/>
      <c r="AT163" s="116"/>
      <c r="AU163" s="117"/>
      <c r="AV163" s="116"/>
      <c r="AW163" s="116"/>
      <c r="AX163" s="35"/>
      <c r="AY163" s="35"/>
      <c r="AZ163" s="35"/>
      <c r="BA163" s="35"/>
      <c r="BB163" s="65"/>
      <c r="BC163" s="65"/>
      <c r="BD163" s="65"/>
      <c r="BE163" s="65"/>
      <c r="BF163" s="65"/>
    </row>
    <row r="164" spans="1:58" s="4" customFormat="1" ht="15.75" customHeight="1">
      <c r="A164" s="43"/>
      <c r="B164" s="43"/>
      <c r="C164" s="43"/>
      <c r="D164" s="44"/>
      <c r="E164" s="44"/>
      <c r="F164" s="44"/>
      <c r="G164" s="44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35"/>
      <c r="AO164" s="58"/>
      <c r="AP164" s="113"/>
      <c r="AQ164" s="113"/>
      <c r="AR164" s="114"/>
      <c r="AS164" s="115"/>
      <c r="AT164" s="116"/>
      <c r="AU164" s="117"/>
      <c r="AV164" s="116"/>
      <c r="AW164" s="116"/>
      <c r="AX164" s="35"/>
      <c r="AY164" s="35"/>
      <c r="AZ164" s="35"/>
      <c r="BA164" s="35"/>
      <c r="BB164" s="65"/>
      <c r="BC164" s="65"/>
      <c r="BD164" s="65"/>
      <c r="BE164" s="65"/>
      <c r="BF164" s="65"/>
    </row>
    <row r="165" spans="1:58" s="4" customFormat="1" ht="15.75" customHeight="1">
      <c r="A165" s="43"/>
      <c r="B165" s="43"/>
      <c r="C165" s="43"/>
      <c r="D165" s="44"/>
      <c r="E165" s="44"/>
      <c r="F165" s="44"/>
      <c r="G165" s="44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35"/>
      <c r="AO165" s="58"/>
      <c r="AP165" s="113"/>
      <c r="AQ165" s="113"/>
      <c r="AR165" s="114"/>
      <c r="AS165" s="115"/>
      <c r="AT165" s="116"/>
      <c r="AU165" s="117"/>
      <c r="AV165" s="116"/>
      <c r="AW165" s="116"/>
      <c r="AX165" s="35"/>
      <c r="AY165" s="35"/>
      <c r="AZ165" s="35"/>
      <c r="BA165" s="35"/>
      <c r="BB165" s="65"/>
      <c r="BC165" s="65"/>
      <c r="BD165" s="65"/>
      <c r="BE165" s="65"/>
      <c r="BF165" s="65"/>
    </row>
    <row r="166" spans="1:58" s="4" customFormat="1" ht="15.75" customHeight="1">
      <c r="A166" s="43"/>
      <c r="B166" s="43"/>
      <c r="C166" s="43"/>
      <c r="D166" s="44"/>
      <c r="E166" s="44"/>
      <c r="F166" s="44"/>
      <c r="G166" s="44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35"/>
      <c r="AO166" s="58"/>
      <c r="AP166" s="113"/>
      <c r="AQ166" s="113"/>
      <c r="AR166" s="114"/>
      <c r="AS166" s="115"/>
      <c r="AT166" s="116"/>
      <c r="AU166" s="117"/>
      <c r="AV166" s="116"/>
      <c r="AW166" s="116"/>
      <c r="AX166" s="35"/>
      <c r="AY166" s="35"/>
      <c r="AZ166" s="35"/>
      <c r="BA166" s="35"/>
      <c r="BB166" s="65"/>
      <c r="BC166" s="65"/>
      <c r="BD166" s="65"/>
      <c r="BE166" s="65"/>
      <c r="BF166" s="65"/>
    </row>
    <row r="167" spans="1:58" s="4" customFormat="1" ht="15.75" customHeight="1">
      <c r="A167" s="43"/>
      <c r="B167" s="43"/>
      <c r="C167" s="43"/>
      <c r="D167" s="44"/>
      <c r="E167" s="44"/>
      <c r="F167" s="44"/>
      <c r="G167" s="44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35"/>
      <c r="AO167" s="58"/>
      <c r="AP167" s="113"/>
      <c r="AQ167" s="113"/>
      <c r="AR167" s="114"/>
      <c r="AS167" s="115"/>
      <c r="AT167" s="116"/>
      <c r="AU167" s="117"/>
      <c r="AV167" s="116"/>
      <c r="AW167" s="116"/>
      <c r="AX167" s="35"/>
      <c r="AY167" s="35"/>
      <c r="AZ167" s="35"/>
      <c r="BA167" s="35"/>
      <c r="BB167" s="65"/>
      <c r="BC167" s="65"/>
      <c r="BD167" s="65"/>
      <c r="BE167" s="65"/>
      <c r="BF167" s="65"/>
    </row>
    <row r="168" spans="1:58" s="4" customFormat="1" ht="15.75" customHeight="1">
      <c r="A168" s="43"/>
      <c r="B168" s="43"/>
      <c r="C168" s="43"/>
      <c r="D168" s="44"/>
      <c r="E168" s="44"/>
      <c r="F168" s="44"/>
      <c r="G168" s="44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35"/>
      <c r="AO168" s="58"/>
      <c r="AP168" s="113"/>
      <c r="AQ168" s="113"/>
      <c r="AR168" s="114"/>
      <c r="AS168" s="115"/>
      <c r="AT168" s="116"/>
      <c r="AU168" s="117"/>
      <c r="AV168" s="116"/>
      <c r="AW168" s="116"/>
      <c r="AX168" s="35"/>
      <c r="AY168" s="35"/>
      <c r="AZ168" s="35"/>
      <c r="BA168" s="35"/>
      <c r="BB168" s="65"/>
      <c r="BC168" s="65"/>
      <c r="BD168" s="65"/>
      <c r="BE168" s="65"/>
      <c r="BF168" s="65"/>
    </row>
    <row r="169" spans="1:58" s="4" customFormat="1" ht="15.75" customHeight="1">
      <c r="A169" s="43"/>
      <c r="B169" s="43"/>
      <c r="C169" s="43"/>
      <c r="D169" s="44"/>
      <c r="E169" s="44"/>
      <c r="F169" s="44"/>
      <c r="G169" s="44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35"/>
      <c r="AO169" s="58"/>
      <c r="AP169" s="113"/>
      <c r="AQ169" s="113"/>
      <c r="AR169" s="114"/>
      <c r="AS169" s="115"/>
      <c r="AT169" s="116"/>
      <c r="AU169" s="117"/>
      <c r="AV169" s="116"/>
      <c r="AW169" s="116"/>
      <c r="AX169" s="35"/>
      <c r="AY169" s="35"/>
      <c r="AZ169" s="35"/>
      <c r="BA169" s="35"/>
      <c r="BB169" s="65"/>
      <c r="BC169" s="65"/>
      <c r="BD169" s="65"/>
      <c r="BE169" s="65"/>
      <c r="BF169" s="65"/>
    </row>
    <row r="170" spans="1:58" s="4" customFormat="1" ht="15.75" customHeight="1">
      <c r="A170" s="43"/>
      <c r="B170" s="43"/>
      <c r="C170" s="43"/>
      <c r="D170" s="44"/>
      <c r="E170" s="44"/>
      <c r="F170" s="44"/>
      <c r="G170" s="44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35"/>
      <c r="AO170" s="58"/>
      <c r="AP170" s="113"/>
      <c r="AQ170" s="113"/>
      <c r="AR170" s="114"/>
      <c r="AS170" s="115"/>
      <c r="AT170" s="116"/>
      <c r="AU170" s="117"/>
      <c r="AV170" s="116"/>
      <c r="AW170" s="116"/>
      <c r="AX170" s="35"/>
      <c r="AY170" s="35"/>
      <c r="AZ170" s="35"/>
      <c r="BA170" s="35"/>
      <c r="BB170" s="65"/>
      <c r="BC170" s="65"/>
      <c r="BD170" s="65"/>
      <c r="BE170" s="65"/>
      <c r="BF170" s="65"/>
    </row>
    <row r="171" spans="1:58" s="4" customFormat="1" ht="15.75" customHeight="1">
      <c r="A171" s="43"/>
      <c r="B171" s="43"/>
      <c r="C171" s="43"/>
      <c r="D171" s="44"/>
      <c r="E171" s="44"/>
      <c r="F171" s="44"/>
      <c r="G171" s="44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35"/>
      <c r="AO171" s="58"/>
      <c r="AP171" s="113"/>
      <c r="AQ171" s="113"/>
      <c r="AR171" s="114"/>
      <c r="AS171" s="115"/>
      <c r="AT171" s="116"/>
      <c r="AU171" s="117"/>
      <c r="AV171" s="116"/>
      <c r="AW171" s="116"/>
      <c r="AX171" s="35"/>
      <c r="AY171" s="35"/>
      <c r="AZ171" s="35"/>
      <c r="BA171" s="35"/>
      <c r="BB171" s="65"/>
      <c r="BC171" s="65"/>
      <c r="BD171" s="65"/>
      <c r="BE171" s="65"/>
      <c r="BF171" s="65"/>
    </row>
    <row r="172" spans="1:58" s="4" customFormat="1" ht="15.75" customHeight="1">
      <c r="A172" s="43"/>
      <c r="B172" s="43"/>
      <c r="C172" s="43"/>
      <c r="D172" s="44"/>
      <c r="E172" s="44"/>
      <c r="F172" s="44"/>
      <c r="G172" s="44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35"/>
      <c r="AO172" s="58"/>
      <c r="AP172" s="113"/>
      <c r="AQ172" s="113"/>
      <c r="AR172" s="114"/>
      <c r="AS172" s="115"/>
      <c r="AT172" s="116"/>
      <c r="AU172" s="117"/>
      <c r="AV172" s="116"/>
      <c r="AW172" s="116"/>
      <c r="AX172" s="35"/>
      <c r="AY172" s="35"/>
      <c r="AZ172" s="35"/>
      <c r="BA172" s="35"/>
      <c r="BB172" s="65"/>
      <c r="BC172" s="65"/>
      <c r="BD172" s="65"/>
      <c r="BE172" s="65"/>
      <c r="BF172" s="65"/>
    </row>
    <row r="173" spans="1:58" s="4" customFormat="1" ht="15.75" customHeight="1">
      <c r="A173" s="43"/>
      <c r="B173" s="43"/>
      <c r="C173" s="43"/>
      <c r="D173" s="44"/>
      <c r="E173" s="44"/>
      <c r="F173" s="44"/>
      <c r="G173" s="44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35"/>
      <c r="AO173" s="58"/>
      <c r="AP173" s="113"/>
      <c r="AQ173" s="113"/>
      <c r="AR173" s="114"/>
      <c r="AS173" s="115"/>
      <c r="AT173" s="116"/>
      <c r="AU173" s="117"/>
      <c r="AV173" s="116"/>
      <c r="AW173" s="116"/>
      <c r="AX173" s="35"/>
      <c r="AY173" s="35"/>
      <c r="AZ173" s="35"/>
      <c r="BA173" s="35"/>
      <c r="BB173" s="65"/>
      <c r="BC173" s="65"/>
      <c r="BD173" s="65"/>
      <c r="BE173" s="65"/>
      <c r="BF173" s="65"/>
    </row>
    <row r="174" spans="1:58" s="4" customFormat="1" ht="15.75" customHeight="1">
      <c r="A174" s="43"/>
      <c r="B174" s="43"/>
      <c r="C174" s="43"/>
      <c r="D174" s="44"/>
      <c r="E174" s="44"/>
      <c r="F174" s="44"/>
      <c r="G174" s="44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35"/>
      <c r="AO174" s="58"/>
      <c r="AP174" s="113"/>
      <c r="AQ174" s="113"/>
      <c r="AR174" s="114"/>
      <c r="AS174" s="115"/>
      <c r="AT174" s="116"/>
      <c r="AU174" s="117"/>
      <c r="AV174" s="116"/>
      <c r="AW174" s="116"/>
      <c r="AX174" s="35"/>
      <c r="AY174" s="35"/>
      <c r="AZ174" s="35"/>
      <c r="BA174" s="35"/>
      <c r="BB174" s="65"/>
      <c r="BC174" s="65"/>
      <c r="BD174" s="65"/>
      <c r="BE174" s="65"/>
      <c r="BF174" s="65"/>
    </row>
    <row r="175" spans="1:58" s="4" customFormat="1" ht="15.75" customHeight="1">
      <c r="A175" s="43"/>
      <c r="B175" s="43"/>
      <c r="C175" s="43"/>
      <c r="D175" s="44"/>
      <c r="E175" s="44"/>
      <c r="F175" s="44"/>
      <c r="G175" s="44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35"/>
      <c r="AO175" s="58"/>
      <c r="AP175" s="113"/>
      <c r="AQ175" s="113"/>
      <c r="AR175" s="114"/>
      <c r="AS175" s="115"/>
      <c r="AT175" s="116"/>
      <c r="AU175" s="117"/>
      <c r="AV175" s="116"/>
      <c r="AW175" s="116"/>
      <c r="AX175" s="35"/>
      <c r="AY175" s="35"/>
      <c r="AZ175" s="35"/>
      <c r="BA175" s="35"/>
      <c r="BB175" s="65"/>
      <c r="BC175" s="65"/>
      <c r="BD175" s="65"/>
      <c r="BE175" s="65"/>
      <c r="BF175" s="65"/>
    </row>
    <row r="176" spans="1:58" s="4" customFormat="1" ht="15.75" customHeight="1">
      <c r="A176" s="43"/>
      <c r="B176" s="43"/>
      <c r="C176" s="43"/>
      <c r="D176" s="44"/>
      <c r="E176" s="44"/>
      <c r="F176" s="44"/>
      <c r="G176" s="44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35"/>
      <c r="AO176" s="58"/>
      <c r="AP176" s="113"/>
      <c r="AQ176" s="113"/>
      <c r="AR176" s="114"/>
      <c r="AS176" s="115"/>
      <c r="AT176" s="116"/>
      <c r="AU176" s="117"/>
      <c r="AV176" s="116"/>
      <c r="AW176" s="116"/>
      <c r="AX176" s="35"/>
      <c r="AY176" s="35"/>
      <c r="AZ176" s="35"/>
      <c r="BA176" s="35"/>
      <c r="BB176" s="65"/>
      <c r="BC176" s="65"/>
      <c r="BD176" s="65"/>
      <c r="BE176" s="65"/>
      <c r="BF176" s="65"/>
    </row>
    <row r="177" spans="1:58" s="4" customFormat="1" ht="15.75" customHeight="1">
      <c r="A177" s="43"/>
      <c r="B177" s="43"/>
      <c r="C177" s="43"/>
      <c r="D177" s="44"/>
      <c r="E177" s="44"/>
      <c r="F177" s="44"/>
      <c r="G177" s="44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35"/>
      <c r="AO177" s="58"/>
      <c r="AP177" s="113"/>
      <c r="AQ177" s="113"/>
      <c r="AR177" s="114"/>
      <c r="AS177" s="115"/>
      <c r="AT177" s="116"/>
      <c r="AU177" s="117"/>
      <c r="AV177" s="116"/>
      <c r="AW177" s="116"/>
      <c r="AX177" s="35"/>
      <c r="AY177" s="35"/>
      <c r="AZ177" s="35"/>
      <c r="BA177" s="35"/>
      <c r="BB177" s="65"/>
      <c r="BC177" s="65"/>
      <c r="BD177" s="65"/>
      <c r="BE177" s="65"/>
      <c r="BF177" s="65"/>
    </row>
    <row r="178" spans="1:58" s="4" customFormat="1" ht="15.75" customHeight="1">
      <c r="A178" s="43"/>
      <c r="B178" s="43"/>
      <c r="C178" s="43"/>
      <c r="D178" s="44"/>
      <c r="E178" s="44"/>
      <c r="F178" s="44"/>
      <c r="G178" s="44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35"/>
      <c r="AO178" s="58"/>
      <c r="AP178" s="113"/>
      <c r="AQ178" s="113"/>
      <c r="AR178" s="114"/>
      <c r="AS178" s="115"/>
      <c r="AT178" s="116"/>
      <c r="AU178" s="117"/>
      <c r="AV178" s="116"/>
      <c r="AW178" s="116"/>
      <c r="AX178" s="35"/>
      <c r="AY178" s="35"/>
      <c r="AZ178" s="35"/>
      <c r="BA178" s="35"/>
      <c r="BB178" s="65"/>
      <c r="BC178" s="65"/>
      <c r="BD178" s="65"/>
      <c r="BE178" s="65"/>
      <c r="BF178" s="65"/>
    </row>
    <row r="179" spans="1:58" s="4" customFormat="1" ht="15.75" customHeight="1">
      <c r="A179" s="43"/>
      <c r="B179" s="43"/>
      <c r="C179" s="43"/>
      <c r="D179" s="44"/>
      <c r="E179" s="44"/>
      <c r="F179" s="44"/>
      <c r="G179" s="44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35"/>
      <c r="AO179" s="58"/>
      <c r="AP179" s="113"/>
      <c r="AQ179" s="113"/>
      <c r="AR179" s="114"/>
      <c r="AS179" s="115"/>
      <c r="AT179" s="116"/>
      <c r="AU179" s="117"/>
      <c r="AV179" s="116"/>
      <c r="AW179" s="116"/>
      <c r="AX179" s="35"/>
      <c r="AY179" s="35"/>
      <c r="AZ179" s="35"/>
      <c r="BA179" s="35"/>
      <c r="BB179" s="65"/>
      <c r="BC179" s="65"/>
      <c r="BD179" s="65"/>
      <c r="BE179" s="65"/>
      <c r="BF179" s="65"/>
    </row>
    <row r="180" spans="1:58" s="4" customFormat="1" ht="15.75" customHeight="1">
      <c r="A180" s="43"/>
      <c r="B180" s="43"/>
      <c r="C180" s="43"/>
      <c r="D180" s="44"/>
      <c r="E180" s="44"/>
      <c r="F180" s="44"/>
      <c r="G180" s="44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35"/>
      <c r="AO180" s="58"/>
      <c r="AP180" s="113"/>
      <c r="AQ180" s="113"/>
      <c r="AR180" s="114"/>
      <c r="AS180" s="115"/>
      <c r="AT180" s="116"/>
      <c r="AU180" s="117"/>
      <c r="AV180" s="116"/>
      <c r="AW180" s="116"/>
      <c r="AX180" s="35"/>
      <c r="AY180" s="35"/>
      <c r="AZ180" s="35"/>
      <c r="BA180" s="35"/>
      <c r="BB180" s="65"/>
      <c r="BC180" s="65"/>
      <c r="BD180" s="65"/>
      <c r="BE180" s="65"/>
      <c r="BF180" s="65"/>
    </row>
    <row r="181" spans="1:58" s="4" customFormat="1" ht="15.75" customHeight="1">
      <c r="A181" s="43"/>
      <c r="B181" s="43"/>
      <c r="C181" s="43"/>
      <c r="D181" s="44"/>
      <c r="E181" s="44"/>
      <c r="F181" s="44"/>
      <c r="G181" s="44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35"/>
      <c r="AO181" s="58"/>
      <c r="AP181" s="113"/>
      <c r="AQ181" s="113"/>
      <c r="AR181" s="114"/>
      <c r="AS181" s="115"/>
      <c r="AT181" s="116"/>
      <c r="AU181" s="117"/>
      <c r="AV181" s="116"/>
      <c r="AW181" s="116"/>
      <c r="AX181" s="35"/>
      <c r="AY181" s="35"/>
      <c r="AZ181" s="35"/>
      <c r="BA181" s="35"/>
      <c r="BB181" s="65"/>
      <c r="BC181" s="65"/>
      <c r="BD181" s="65"/>
      <c r="BE181" s="65"/>
      <c r="BF181" s="65"/>
    </row>
    <row r="182" spans="1:58" s="4" customFormat="1" ht="15.75" customHeight="1">
      <c r="A182" s="43"/>
      <c r="B182" s="43"/>
      <c r="C182" s="43"/>
      <c r="D182" s="44"/>
      <c r="E182" s="44"/>
      <c r="F182" s="44"/>
      <c r="G182" s="44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35"/>
      <c r="AO182" s="58"/>
      <c r="AP182" s="113"/>
      <c r="AQ182" s="113"/>
      <c r="AR182" s="114"/>
      <c r="AS182" s="115"/>
      <c r="AT182" s="116"/>
      <c r="AU182" s="117"/>
      <c r="AV182" s="116"/>
      <c r="AW182" s="116"/>
      <c r="AX182" s="35"/>
      <c r="AY182" s="35"/>
      <c r="AZ182" s="35"/>
      <c r="BA182" s="35"/>
      <c r="BB182" s="65"/>
      <c r="BC182" s="65"/>
      <c r="BD182" s="65"/>
      <c r="BE182" s="65"/>
      <c r="BF182" s="65"/>
    </row>
    <row r="183" spans="1:58" s="4" customFormat="1" ht="15.75" customHeight="1">
      <c r="A183" s="43"/>
      <c r="B183" s="43"/>
      <c r="C183" s="43"/>
      <c r="D183" s="44"/>
      <c r="E183" s="44"/>
      <c r="F183" s="44"/>
      <c r="G183" s="44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35"/>
      <c r="AO183" s="58"/>
      <c r="AP183" s="113"/>
      <c r="AQ183" s="113"/>
      <c r="AR183" s="114"/>
      <c r="AS183" s="115"/>
      <c r="AT183" s="116"/>
      <c r="AU183" s="117"/>
      <c r="AV183" s="116"/>
      <c r="AW183" s="116"/>
      <c r="AX183" s="35"/>
      <c r="AY183" s="35"/>
      <c r="AZ183" s="35"/>
      <c r="BA183" s="35"/>
      <c r="BB183" s="65"/>
      <c r="BC183" s="65"/>
      <c r="BD183" s="65"/>
      <c r="BE183" s="65"/>
      <c r="BF183" s="65"/>
    </row>
    <row r="184" spans="1:58" s="4" customFormat="1" ht="15.75" customHeight="1">
      <c r="A184" s="43"/>
      <c r="B184" s="43"/>
      <c r="C184" s="43"/>
      <c r="D184" s="44"/>
      <c r="E184" s="44"/>
      <c r="F184" s="44"/>
      <c r="G184" s="44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35"/>
      <c r="AO184" s="58"/>
      <c r="AP184" s="113"/>
      <c r="AQ184" s="113"/>
      <c r="AR184" s="114"/>
      <c r="AS184" s="115"/>
      <c r="AT184" s="116"/>
      <c r="AU184" s="117"/>
      <c r="AV184" s="116"/>
      <c r="AW184" s="116"/>
      <c r="AX184" s="35"/>
      <c r="AY184" s="35"/>
      <c r="AZ184" s="35"/>
      <c r="BA184" s="35"/>
      <c r="BB184" s="65"/>
      <c r="BC184" s="65"/>
      <c r="BD184" s="65"/>
      <c r="BE184" s="65"/>
      <c r="BF184" s="65"/>
    </row>
    <row r="185" spans="1:58" s="4" customFormat="1" ht="15.75" customHeight="1">
      <c r="A185" s="43"/>
      <c r="B185" s="43"/>
      <c r="C185" s="43"/>
      <c r="D185" s="44"/>
      <c r="E185" s="44"/>
      <c r="F185" s="44"/>
      <c r="G185" s="44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35"/>
      <c r="AO185" s="58"/>
      <c r="AP185" s="113"/>
      <c r="AQ185" s="113"/>
      <c r="AR185" s="114"/>
      <c r="AS185" s="115"/>
      <c r="AT185" s="116"/>
      <c r="AU185" s="117"/>
      <c r="AV185" s="116"/>
      <c r="AW185" s="116"/>
      <c r="AX185" s="35"/>
      <c r="AY185" s="35"/>
      <c r="AZ185" s="35"/>
      <c r="BA185" s="35"/>
      <c r="BB185" s="65"/>
      <c r="BC185" s="65"/>
      <c r="BD185" s="65"/>
      <c r="BE185" s="65"/>
      <c r="BF185" s="65"/>
    </row>
    <row r="186" spans="1:58" s="4" customFormat="1" ht="15.75" customHeight="1">
      <c r="A186" s="43"/>
      <c r="B186" s="43"/>
      <c r="C186" s="43"/>
      <c r="D186" s="44"/>
      <c r="E186" s="44"/>
      <c r="F186" s="44"/>
      <c r="G186" s="44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35"/>
      <c r="AO186" s="58"/>
      <c r="AP186" s="113"/>
      <c r="AQ186" s="113"/>
      <c r="AR186" s="114"/>
      <c r="AS186" s="115"/>
      <c r="AT186" s="116"/>
      <c r="AU186" s="117"/>
      <c r="AV186" s="116"/>
      <c r="AW186" s="116"/>
      <c r="AX186" s="35"/>
      <c r="AY186" s="35"/>
      <c r="AZ186" s="35"/>
      <c r="BA186" s="35"/>
      <c r="BB186" s="65"/>
      <c r="BC186" s="65"/>
      <c r="BD186" s="65"/>
      <c r="BE186" s="65"/>
      <c r="BF186" s="65"/>
    </row>
    <row r="187" spans="1:58" s="4" customFormat="1" ht="15.75" customHeight="1">
      <c r="A187" s="43"/>
      <c r="B187" s="43"/>
      <c r="C187" s="43"/>
      <c r="D187" s="44"/>
      <c r="E187" s="44"/>
      <c r="F187" s="44"/>
      <c r="G187" s="44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35"/>
      <c r="AO187" s="58"/>
      <c r="AP187" s="113"/>
      <c r="AQ187" s="113"/>
      <c r="AR187" s="114"/>
      <c r="AS187" s="115"/>
      <c r="AT187" s="116"/>
      <c r="AU187" s="117"/>
      <c r="AV187" s="116"/>
      <c r="AW187" s="116"/>
      <c r="AX187" s="35"/>
      <c r="AY187" s="35"/>
      <c r="AZ187" s="35"/>
      <c r="BA187" s="35"/>
      <c r="BB187" s="65"/>
      <c r="BC187" s="65"/>
      <c r="BD187" s="65"/>
      <c r="BE187" s="65"/>
      <c r="BF187" s="65"/>
    </row>
    <row r="188" spans="1:58" s="4" customFormat="1" ht="15.75" customHeight="1">
      <c r="A188" s="43"/>
      <c r="B188" s="43"/>
      <c r="C188" s="43"/>
      <c r="D188" s="44"/>
      <c r="E188" s="44"/>
      <c r="F188" s="44"/>
      <c r="G188" s="44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35"/>
      <c r="AO188" s="58"/>
      <c r="AP188" s="113"/>
      <c r="AQ188" s="113"/>
      <c r="AR188" s="114"/>
      <c r="AS188" s="115"/>
      <c r="AT188" s="116"/>
      <c r="AU188" s="117"/>
      <c r="AV188" s="116"/>
      <c r="AW188" s="116"/>
      <c r="AX188" s="35"/>
      <c r="AY188" s="35"/>
      <c r="AZ188" s="35"/>
      <c r="BA188" s="35"/>
      <c r="BB188" s="65"/>
      <c r="BC188" s="65"/>
      <c r="BD188" s="65"/>
      <c r="BE188" s="65"/>
      <c r="BF188" s="65"/>
    </row>
    <row r="189" spans="1:58" s="4" customFormat="1" ht="15.75" customHeight="1">
      <c r="A189" s="43"/>
      <c r="B189" s="43"/>
      <c r="C189" s="43"/>
      <c r="D189" s="44"/>
      <c r="E189" s="44"/>
      <c r="F189" s="44"/>
      <c r="G189" s="44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35"/>
      <c r="AO189" s="58"/>
      <c r="AP189" s="113"/>
      <c r="AQ189" s="113"/>
      <c r="AR189" s="114"/>
      <c r="AS189" s="115"/>
      <c r="AT189" s="116"/>
      <c r="AU189" s="117"/>
      <c r="AV189" s="116"/>
      <c r="AW189" s="116"/>
      <c r="AX189" s="35"/>
      <c r="AY189" s="35"/>
      <c r="AZ189" s="35"/>
      <c r="BA189" s="35"/>
      <c r="BB189" s="65"/>
      <c r="BC189" s="65"/>
      <c r="BD189" s="65"/>
      <c r="BE189" s="65"/>
      <c r="BF189" s="65"/>
    </row>
    <row r="190" spans="1:58" s="4" customFormat="1" ht="15.75" customHeight="1">
      <c r="A190" s="43"/>
      <c r="B190" s="43"/>
      <c r="C190" s="43"/>
      <c r="D190" s="44"/>
      <c r="E190" s="44"/>
      <c r="F190" s="44"/>
      <c r="G190" s="4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35"/>
      <c r="AO190" s="58"/>
      <c r="AP190" s="113"/>
      <c r="AQ190" s="113"/>
      <c r="AR190" s="114"/>
      <c r="AS190" s="115"/>
      <c r="AT190" s="116"/>
      <c r="AU190" s="117"/>
      <c r="AV190" s="116"/>
      <c r="AW190" s="116"/>
      <c r="AX190" s="35"/>
      <c r="AY190" s="35"/>
      <c r="AZ190" s="35"/>
      <c r="BA190" s="35"/>
      <c r="BB190" s="65"/>
      <c r="BC190" s="65"/>
      <c r="BD190" s="65"/>
      <c r="BE190" s="65"/>
      <c r="BF190" s="65"/>
    </row>
    <row r="191" spans="1:58" s="4" customFormat="1" ht="15.75" customHeight="1">
      <c r="A191" s="43"/>
      <c r="B191" s="43"/>
      <c r="C191" s="43"/>
      <c r="D191" s="44"/>
      <c r="E191" s="44"/>
      <c r="F191" s="44"/>
      <c r="G191" s="44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35"/>
      <c r="AO191" s="58"/>
      <c r="AP191" s="113"/>
      <c r="AQ191" s="113"/>
      <c r="AR191" s="114"/>
      <c r="AS191" s="115"/>
      <c r="AT191" s="116"/>
      <c r="AU191" s="117"/>
      <c r="AV191" s="116"/>
      <c r="AW191" s="116"/>
      <c r="AX191" s="35"/>
      <c r="AY191" s="35"/>
      <c r="AZ191" s="35"/>
      <c r="BA191" s="35"/>
      <c r="BB191" s="65"/>
      <c r="BC191" s="65"/>
      <c r="BD191" s="65"/>
      <c r="BE191" s="65"/>
      <c r="BF191" s="65"/>
    </row>
    <row r="192" spans="1:58" s="4" customFormat="1" ht="15.75" customHeight="1">
      <c r="A192" s="43"/>
      <c r="B192" s="43"/>
      <c r="C192" s="43"/>
      <c r="D192" s="44"/>
      <c r="E192" s="44"/>
      <c r="F192" s="44"/>
      <c r="G192" s="44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35"/>
      <c r="AO192" s="58"/>
      <c r="AP192" s="113"/>
      <c r="AQ192" s="113"/>
      <c r="AR192" s="114"/>
      <c r="AS192" s="115"/>
      <c r="AT192" s="116"/>
      <c r="AU192" s="117"/>
      <c r="AV192" s="116"/>
      <c r="AW192" s="116"/>
      <c r="AX192" s="35"/>
      <c r="AY192" s="35"/>
      <c r="AZ192" s="35"/>
      <c r="BA192" s="35"/>
      <c r="BB192" s="65"/>
      <c r="BC192" s="65"/>
      <c r="BD192" s="65"/>
      <c r="BE192" s="65"/>
      <c r="BF192" s="65"/>
    </row>
    <row r="193" spans="1:58" s="4" customFormat="1" ht="15.75" customHeight="1">
      <c r="A193" s="43"/>
      <c r="B193" s="43"/>
      <c r="C193" s="43"/>
      <c r="D193" s="44"/>
      <c r="E193" s="44"/>
      <c r="F193" s="44"/>
      <c r="G193" s="44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35"/>
      <c r="AO193" s="58"/>
      <c r="AP193" s="113"/>
      <c r="AQ193" s="113"/>
      <c r="AR193" s="114"/>
      <c r="AS193" s="115"/>
      <c r="AT193" s="116"/>
      <c r="AU193" s="117"/>
      <c r="AV193" s="116"/>
      <c r="AW193" s="116"/>
      <c r="AX193" s="35"/>
      <c r="AY193" s="35"/>
      <c r="AZ193" s="35"/>
      <c r="BA193" s="35"/>
      <c r="BB193" s="65"/>
      <c r="BC193" s="65"/>
      <c r="BD193" s="65"/>
      <c r="BE193" s="65"/>
      <c r="BF193" s="65"/>
    </row>
    <row r="194" spans="1:58" s="4" customFormat="1" ht="15.75" customHeight="1">
      <c r="A194" s="43"/>
      <c r="B194" s="43"/>
      <c r="C194" s="43"/>
      <c r="D194" s="44"/>
      <c r="E194" s="44"/>
      <c r="F194" s="44"/>
      <c r="G194" s="44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35"/>
      <c r="AO194" s="58"/>
      <c r="AP194" s="113"/>
      <c r="AQ194" s="113"/>
      <c r="AR194" s="114"/>
      <c r="AS194" s="115"/>
      <c r="AT194" s="116"/>
      <c r="AU194" s="117"/>
      <c r="AV194" s="116"/>
      <c r="AW194" s="116"/>
      <c r="AX194" s="35"/>
      <c r="AY194" s="35"/>
      <c r="AZ194" s="35"/>
      <c r="BA194" s="35"/>
      <c r="BB194" s="65"/>
      <c r="BC194" s="65"/>
      <c r="BD194" s="65"/>
      <c r="BE194" s="65"/>
      <c r="BF194" s="65"/>
    </row>
    <row r="195" spans="1:58" s="4" customFormat="1" ht="15.75" customHeight="1">
      <c r="A195" s="43"/>
      <c r="B195" s="43"/>
      <c r="C195" s="43"/>
      <c r="D195" s="44"/>
      <c r="E195" s="44"/>
      <c r="F195" s="44"/>
      <c r="G195" s="44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35"/>
      <c r="AO195" s="58"/>
      <c r="AP195" s="113"/>
      <c r="AQ195" s="113"/>
      <c r="AR195" s="114"/>
      <c r="AS195" s="115"/>
      <c r="AT195" s="116"/>
      <c r="AU195" s="117"/>
      <c r="AV195" s="116"/>
      <c r="AW195" s="116"/>
      <c r="AX195" s="35"/>
      <c r="AY195" s="35"/>
      <c r="AZ195" s="35"/>
      <c r="BA195" s="35"/>
      <c r="BB195" s="65"/>
      <c r="BC195" s="65"/>
      <c r="BD195" s="65"/>
      <c r="BE195" s="65"/>
      <c r="BF195" s="65"/>
    </row>
    <row r="196" spans="1:58" s="4" customFormat="1" ht="15.75" customHeight="1">
      <c r="A196" s="43"/>
      <c r="B196" s="43"/>
      <c r="C196" s="43"/>
      <c r="D196" s="44"/>
      <c r="E196" s="44"/>
      <c r="F196" s="44"/>
      <c r="G196" s="44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35"/>
      <c r="AO196" s="58"/>
      <c r="AP196" s="113"/>
      <c r="AQ196" s="113"/>
      <c r="AR196" s="114"/>
      <c r="AS196" s="115"/>
      <c r="AT196" s="116"/>
      <c r="AU196" s="117"/>
      <c r="AV196" s="116"/>
      <c r="AW196" s="116"/>
      <c r="AX196" s="35"/>
      <c r="AY196" s="35"/>
      <c r="AZ196" s="35"/>
      <c r="BA196" s="35"/>
      <c r="BB196" s="65"/>
      <c r="BC196" s="65"/>
      <c r="BD196" s="65"/>
      <c r="BE196" s="65"/>
      <c r="BF196" s="65"/>
    </row>
    <row r="197" spans="1:58" s="4" customFormat="1" ht="15.75" customHeight="1">
      <c r="A197" s="43"/>
      <c r="B197" s="43"/>
      <c r="C197" s="43"/>
      <c r="D197" s="44"/>
      <c r="E197" s="44"/>
      <c r="F197" s="44"/>
      <c r="G197" s="44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35"/>
      <c r="AO197" s="58"/>
      <c r="AP197" s="113"/>
      <c r="AQ197" s="113"/>
      <c r="AR197" s="114"/>
      <c r="AS197" s="115"/>
      <c r="AT197" s="116"/>
      <c r="AU197" s="117"/>
      <c r="AV197" s="116"/>
      <c r="AW197" s="116"/>
      <c r="AX197" s="35"/>
      <c r="AY197" s="35"/>
      <c r="AZ197" s="35"/>
      <c r="BA197" s="35"/>
      <c r="BB197" s="65"/>
      <c r="BC197" s="65"/>
      <c r="BD197" s="65"/>
      <c r="BE197" s="65"/>
      <c r="BF197" s="65"/>
    </row>
    <row r="198" spans="1:58" s="4" customFormat="1" ht="15.75" customHeight="1">
      <c r="A198" s="43"/>
      <c r="B198" s="43"/>
      <c r="C198" s="43"/>
      <c r="D198" s="44"/>
      <c r="E198" s="44"/>
      <c r="F198" s="44"/>
      <c r="G198" s="44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35"/>
      <c r="AO198" s="58"/>
      <c r="AP198" s="113"/>
      <c r="AQ198" s="113"/>
      <c r="AR198" s="114"/>
      <c r="AS198" s="115"/>
      <c r="AT198" s="116"/>
      <c r="AU198" s="117"/>
      <c r="AV198" s="116"/>
      <c r="AW198" s="116"/>
      <c r="AX198" s="35"/>
      <c r="AY198" s="35"/>
      <c r="AZ198" s="35"/>
      <c r="BA198" s="35"/>
      <c r="BB198" s="65"/>
      <c r="BC198" s="65"/>
      <c r="BD198" s="65"/>
      <c r="BE198" s="65"/>
      <c r="BF198" s="65"/>
    </row>
    <row r="199" spans="1:58" ht="15.75" customHeight="1">
      <c r="A199" s="67"/>
      <c r="B199" s="67"/>
      <c r="C199" s="67"/>
      <c r="D199" s="68"/>
      <c r="E199" s="68"/>
      <c r="F199" s="68"/>
      <c r="G199" s="68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30"/>
      <c r="AO199" s="25"/>
      <c r="AP199" s="120"/>
      <c r="AQ199" s="120"/>
      <c r="AR199" s="121"/>
      <c r="AS199" s="96"/>
      <c r="AT199" s="122"/>
      <c r="AU199" s="123"/>
      <c r="AV199" s="122"/>
      <c r="AW199" s="122"/>
      <c r="AX199" s="30"/>
      <c r="AY199" s="30"/>
      <c r="AZ199" s="30"/>
      <c r="BA199" s="30"/>
      <c r="BB199" s="26"/>
      <c r="BC199" s="26"/>
      <c r="BD199" s="26"/>
      <c r="BE199" s="26"/>
      <c r="BF199" s="26"/>
    </row>
    <row r="200" spans="1:58" ht="15.75" customHeight="1">
      <c r="A200" s="67"/>
      <c r="B200" s="67"/>
      <c r="C200" s="67"/>
      <c r="D200" s="68"/>
      <c r="E200" s="68"/>
      <c r="F200" s="68"/>
      <c r="G200" s="68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30"/>
      <c r="AO200" s="25"/>
      <c r="AP200" s="120"/>
      <c r="AQ200" s="120"/>
      <c r="AR200" s="121"/>
      <c r="AS200" s="96"/>
      <c r="AT200" s="122"/>
      <c r="AU200" s="123"/>
      <c r="AV200" s="122"/>
      <c r="AW200" s="122"/>
      <c r="AX200" s="30"/>
      <c r="AY200" s="30"/>
      <c r="AZ200" s="30"/>
      <c r="BA200" s="30"/>
      <c r="BB200" s="26"/>
      <c r="BC200" s="26"/>
      <c r="BD200" s="26"/>
      <c r="BE200" s="26"/>
      <c r="BF200" s="26"/>
    </row>
    <row r="201" spans="1:58" ht="15.75" customHeight="1">
      <c r="A201" s="67"/>
      <c r="B201" s="67"/>
      <c r="C201" s="67"/>
      <c r="D201" s="68"/>
      <c r="E201" s="68"/>
      <c r="F201" s="68"/>
      <c r="G201" s="68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30"/>
      <c r="AO201" s="25"/>
      <c r="AP201" s="120"/>
      <c r="AQ201" s="120"/>
      <c r="AR201" s="121"/>
      <c r="AS201" s="96"/>
      <c r="AT201" s="122"/>
      <c r="AU201" s="123"/>
      <c r="AV201" s="122"/>
      <c r="AW201" s="122"/>
      <c r="AX201" s="30"/>
      <c r="AY201" s="30"/>
      <c r="AZ201" s="30"/>
      <c r="BA201" s="30"/>
      <c r="BB201" s="26"/>
      <c r="BC201" s="26"/>
      <c r="BD201" s="26"/>
      <c r="BE201" s="26"/>
      <c r="BF201" s="26"/>
    </row>
    <row r="202" spans="1:58" ht="15.75" customHeight="1">
      <c r="A202" s="67"/>
      <c r="B202" s="67"/>
      <c r="C202" s="67"/>
      <c r="D202" s="68"/>
      <c r="E202" s="68"/>
      <c r="F202" s="68"/>
      <c r="G202" s="68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30"/>
      <c r="AO202" s="25"/>
      <c r="AP202" s="120"/>
      <c r="AQ202" s="120"/>
      <c r="AR202" s="121"/>
      <c r="AS202" s="96"/>
      <c r="AT202" s="122"/>
      <c r="AU202" s="123"/>
      <c r="AV202" s="122"/>
      <c r="AW202" s="122"/>
      <c r="AX202" s="30"/>
      <c r="AY202" s="30"/>
      <c r="AZ202" s="30"/>
      <c r="BA202" s="30"/>
      <c r="BB202" s="26"/>
      <c r="BC202" s="26"/>
      <c r="BD202" s="26"/>
      <c r="BE202" s="26"/>
      <c r="BF202" s="26"/>
    </row>
    <row r="203" spans="1:58" ht="15.75" customHeight="1">
      <c r="A203" s="67"/>
      <c r="B203" s="67"/>
      <c r="C203" s="67"/>
      <c r="D203" s="68"/>
      <c r="E203" s="68"/>
      <c r="F203" s="68"/>
      <c r="G203" s="68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30"/>
      <c r="AO203" s="25"/>
      <c r="AP203" s="120"/>
      <c r="AQ203" s="120"/>
      <c r="AR203" s="121"/>
      <c r="AS203" s="96"/>
      <c r="AT203" s="122"/>
      <c r="AU203" s="123"/>
      <c r="AV203" s="122"/>
      <c r="AW203" s="122"/>
      <c r="AX203" s="30"/>
      <c r="AY203" s="30"/>
      <c r="AZ203" s="30"/>
      <c r="BA203" s="30"/>
      <c r="BB203" s="26"/>
      <c r="BC203" s="26"/>
      <c r="BD203" s="26"/>
      <c r="BE203" s="26"/>
      <c r="BF203" s="26"/>
    </row>
    <row r="204" spans="1:58" ht="15.75" customHeight="1">
      <c r="A204" s="67"/>
      <c r="B204" s="67"/>
      <c r="C204" s="67"/>
      <c r="D204" s="68"/>
      <c r="E204" s="68"/>
      <c r="F204" s="68"/>
      <c r="G204" s="68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30"/>
      <c r="AO204" s="25"/>
      <c r="AP204" s="120"/>
      <c r="AQ204" s="120"/>
      <c r="AR204" s="121"/>
      <c r="AS204" s="96"/>
      <c r="AT204" s="122"/>
      <c r="AU204" s="123"/>
      <c r="AV204" s="122"/>
      <c r="AW204" s="122"/>
      <c r="AX204" s="30"/>
      <c r="AY204" s="30"/>
      <c r="AZ204" s="30"/>
      <c r="BA204" s="30"/>
      <c r="BB204" s="26"/>
      <c r="BC204" s="26"/>
      <c r="BD204" s="26"/>
      <c r="BE204" s="26"/>
      <c r="BF204" s="26"/>
    </row>
    <row r="205" spans="1:58" ht="15.75" customHeight="1">
      <c r="A205" s="67"/>
      <c r="B205" s="67"/>
      <c r="C205" s="67"/>
      <c r="D205" s="68"/>
      <c r="E205" s="68"/>
      <c r="F205" s="68"/>
      <c r="G205" s="68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30"/>
      <c r="AO205" s="25"/>
      <c r="AP205" s="120"/>
      <c r="AQ205" s="120"/>
      <c r="AR205" s="121"/>
      <c r="AS205" s="96"/>
      <c r="AT205" s="122"/>
      <c r="AU205" s="123"/>
      <c r="AV205" s="122"/>
      <c r="AW205" s="122"/>
      <c r="AX205" s="30"/>
      <c r="AY205" s="30"/>
      <c r="AZ205" s="30"/>
      <c r="BA205" s="30"/>
      <c r="BB205" s="26"/>
      <c r="BC205" s="26"/>
      <c r="BD205" s="26"/>
      <c r="BE205" s="26"/>
      <c r="BF205" s="26"/>
    </row>
    <row r="206" spans="1:58" ht="15.75" customHeight="1">
      <c r="A206" s="67"/>
      <c r="B206" s="67"/>
      <c r="C206" s="67"/>
      <c r="D206" s="68"/>
      <c r="E206" s="68"/>
      <c r="F206" s="68"/>
      <c r="G206" s="68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30"/>
      <c r="AO206" s="25"/>
      <c r="AP206" s="120"/>
      <c r="AQ206" s="120"/>
      <c r="AR206" s="121"/>
      <c r="AS206" s="96"/>
      <c r="AT206" s="122"/>
      <c r="AU206" s="123"/>
      <c r="AV206" s="122"/>
      <c r="AW206" s="122"/>
      <c r="AX206" s="30"/>
      <c r="AY206" s="30"/>
      <c r="AZ206" s="30"/>
      <c r="BA206" s="30"/>
      <c r="BB206" s="26"/>
      <c r="BC206" s="26"/>
      <c r="BD206" s="26"/>
      <c r="BE206" s="26"/>
      <c r="BF206" s="26"/>
    </row>
    <row r="207" spans="1:58" ht="15.75" customHeight="1">
      <c r="A207" s="67"/>
      <c r="B207" s="67"/>
      <c r="C207" s="67"/>
      <c r="D207" s="68"/>
      <c r="E207" s="68"/>
      <c r="F207" s="68"/>
      <c r="G207" s="68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30"/>
      <c r="AO207" s="25"/>
      <c r="AP207" s="120"/>
      <c r="AQ207" s="120"/>
      <c r="AR207" s="121"/>
      <c r="AS207" s="96"/>
      <c r="AT207" s="122"/>
      <c r="AU207" s="123"/>
      <c r="AV207" s="122"/>
      <c r="AW207" s="122"/>
      <c r="AX207" s="30"/>
      <c r="AY207" s="30"/>
      <c r="AZ207" s="30"/>
      <c r="BA207" s="30"/>
      <c r="BB207" s="26"/>
      <c r="BC207" s="26"/>
      <c r="BD207" s="26"/>
      <c r="BE207" s="26"/>
      <c r="BF207" s="26"/>
    </row>
    <row r="208" spans="1:58" ht="15.75" customHeight="1">
      <c r="A208" s="67"/>
      <c r="B208" s="67"/>
      <c r="C208" s="67"/>
      <c r="D208" s="68"/>
      <c r="E208" s="68"/>
      <c r="F208" s="68"/>
      <c r="G208" s="68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30"/>
      <c r="AO208" s="25"/>
      <c r="AP208" s="120"/>
      <c r="AQ208" s="120"/>
      <c r="AR208" s="121"/>
      <c r="AS208" s="96"/>
      <c r="AT208" s="122"/>
      <c r="AU208" s="123"/>
      <c r="AV208" s="122"/>
      <c r="AW208" s="122"/>
      <c r="AX208" s="30"/>
      <c r="AY208" s="30"/>
      <c r="AZ208" s="30"/>
      <c r="BA208" s="30"/>
      <c r="BB208" s="26"/>
      <c r="BC208" s="26"/>
      <c r="BD208" s="26"/>
      <c r="BE208" s="26"/>
      <c r="BF208" s="26"/>
    </row>
    <row r="209" spans="1:58" ht="15.75" customHeight="1">
      <c r="A209" s="67"/>
      <c r="B209" s="67"/>
      <c r="C209" s="67"/>
      <c r="D209" s="68"/>
      <c r="E209" s="68"/>
      <c r="F209" s="68"/>
      <c r="G209" s="68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30"/>
      <c r="AO209" s="25"/>
      <c r="AP209" s="120"/>
      <c r="AQ209" s="120"/>
      <c r="AR209" s="121"/>
      <c r="AS209" s="96"/>
      <c r="AT209" s="122"/>
      <c r="AU209" s="123"/>
      <c r="AV209" s="122"/>
      <c r="AW209" s="122"/>
      <c r="AX209" s="30"/>
      <c r="AY209" s="30"/>
      <c r="AZ209" s="30"/>
      <c r="BA209" s="30"/>
      <c r="BB209" s="26"/>
      <c r="BC209" s="26"/>
      <c r="BD209" s="26"/>
      <c r="BE209" s="26"/>
      <c r="BF209" s="26"/>
    </row>
    <row r="210" spans="1:58" ht="15.75" customHeight="1">
      <c r="A210" s="67"/>
      <c r="B210" s="67"/>
      <c r="C210" s="67"/>
      <c r="D210" s="68"/>
      <c r="E210" s="68"/>
      <c r="F210" s="68"/>
      <c r="G210" s="68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30"/>
      <c r="AO210" s="25"/>
      <c r="AP210" s="120"/>
      <c r="AQ210" s="120"/>
      <c r="AR210" s="121"/>
      <c r="AS210" s="96"/>
      <c r="AT210" s="122"/>
      <c r="AU210" s="123"/>
      <c r="AV210" s="122"/>
      <c r="AW210" s="122"/>
      <c r="AX210" s="30"/>
      <c r="AY210" s="30"/>
      <c r="AZ210" s="30"/>
      <c r="BA210" s="30"/>
      <c r="BB210" s="26"/>
      <c r="BC210" s="26"/>
      <c r="BD210" s="26"/>
      <c r="BE210" s="26"/>
      <c r="BF210" s="26"/>
    </row>
    <row r="211" spans="1:58" ht="15.75" customHeight="1">
      <c r="A211" s="67"/>
      <c r="B211" s="67"/>
      <c r="C211" s="67"/>
      <c r="D211" s="68"/>
      <c r="E211" s="68"/>
      <c r="F211" s="68"/>
      <c r="G211" s="68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30"/>
      <c r="AO211" s="25"/>
      <c r="AP211" s="120"/>
      <c r="AQ211" s="120"/>
      <c r="AR211" s="121"/>
      <c r="AS211" s="96"/>
      <c r="AT211" s="122"/>
      <c r="AU211" s="123"/>
      <c r="AV211" s="122"/>
      <c r="AW211" s="122"/>
      <c r="AX211" s="30"/>
      <c r="AY211" s="30"/>
      <c r="AZ211" s="30"/>
      <c r="BA211" s="30"/>
      <c r="BB211" s="26"/>
      <c r="BC211" s="26"/>
      <c r="BD211" s="26"/>
      <c r="BE211" s="26"/>
      <c r="BF211" s="26"/>
    </row>
    <row r="212" spans="1:58" ht="15.75" customHeight="1">
      <c r="A212" s="67"/>
      <c r="B212" s="67"/>
      <c r="C212" s="67"/>
      <c r="D212" s="68"/>
      <c r="E212" s="68"/>
      <c r="F212" s="68"/>
      <c r="G212" s="68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30"/>
      <c r="AO212" s="25"/>
      <c r="AP212" s="120"/>
      <c r="AQ212" s="120"/>
      <c r="AR212" s="121"/>
      <c r="AS212" s="96"/>
      <c r="AT212" s="122"/>
      <c r="AU212" s="123"/>
      <c r="AV212" s="122"/>
      <c r="AW212" s="122"/>
      <c r="AX212" s="30"/>
      <c r="AY212" s="30"/>
      <c r="AZ212" s="30"/>
      <c r="BA212" s="30"/>
      <c r="BB212" s="26"/>
      <c r="BC212" s="26"/>
      <c r="BD212" s="26"/>
      <c r="BE212" s="26"/>
      <c r="BF212" s="26"/>
    </row>
    <row r="213" spans="1:58" ht="15.75" customHeight="1">
      <c r="A213" s="67"/>
      <c r="B213" s="67"/>
      <c r="C213" s="67"/>
      <c r="D213" s="68"/>
      <c r="E213" s="68"/>
      <c r="F213" s="68"/>
      <c r="G213" s="68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30"/>
      <c r="AO213" s="25"/>
      <c r="AP213" s="120"/>
      <c r="AQ213" s="120"/>
      <c r="AR213" s="121"/>
      <c r="AS213" s="96"/>
      <c r="AT213" s="122"/>
      <c r="AU213" s="123"/>
      <c r="AV213" s="122"/>
      <c r="AW213" s="122"/>
      <c r="AX213" s="30"/>
      <c r="AY213" s="30"/>
      <c r="AZ213" s="30"/>
      <c r="BA213" s="30"/>
      <c r="BB213" s="26"/>
      <c r="BC213" s="26"/>
      <c r="BD213" s="26"/>
      <c r="BE213" s="26"/>
      <c r="BF213" s="26"/>
    </row>
    <row r="214" spans="1:58" ht="15.75" customHeight="1">
      <c r="A214" s="67"/>
      <c r="B214" s="67"/>
      <c r="C214" s="67"/>
      <c r="D214" s="68"/>
      <c r="E214" s="68"/>
      <c r="F214" s="68"/>
      <c r="G214" s="68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30"/>
      <c r="AO214" s="25"/>
      <c r="AP214" s="120"/>
      <c r="AQ214" s="120"/>
      <c r="AR214" s="121"/>
      <c r="AS214" s="96"/>
      <c r="AT214" s="122"/>
      <c r="AU214" s="123"/>
      <c r="AV214" s="122"/>
      <c r="AW214" s="122"/>
      <c r="AX214" s="30"/>
      <c r="AY214" s="30"/>
      <c r="AZ214" s="30"/>
      <c r="BA214" s="30"/>
      <c r="BB214" s="26"/>
      <c r="BC214" s="26"/>
      <c r="BD214" s="26"/>
      <c r="BE214" s="26"/>
      <c r="BF214" s="26"/>
    </row>
    <row r="215" spans="1:58" ht="15.75" customHeight="1">
      <c r="A215" s="67"/>
      <c r="B215" s="67"/>
      <c r="C215" s="67"/>
      <c r="D215" s="68"/>
      <c r="E215" s="68"/>
      <c r="F215" s="68"/>
      <c r="G215" s="68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30"/>
      <c r="AO215" s="25"/>
      <c r="AP215" s="120"/>
      <c r="AQ215" s="120"/>
      <c r="AR215" s="121"/>
      <c r="AS215" s="96"/>
      <c r="AT215" s="122"/>
      <c r="AU215" s="123"/>
      <c r="AV215" s="122"/>
      <c r="AW215" s="122"/>
      <c r="AX215" s="30"/>
      <c r="AY215" s="30"/>
      <c r="AZ215" s="30"/>
      <c r="BA215" s="30"/>
      <c r="BB215" s="26"/>
      <c r="BC215" s="26"/>
      <c r="BD215" s="26"/>
      <c r="BE215" s="26"/>
      <c r="BF215" s="26"/>
    </row>
    <row r="216" spans="1:58" ht="15.75" customHeight="1">
      <c r="A216" s="67"/>
      <c r="B216" s="67"/>
      <c r="C216" s="67"/>
      <c r="D216" s="68"/>
      <c r="E216" s="68"/>
      <c r="F216" s="68"/>
      <c r="G216" s="68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30"/>
      <c r="AO216" s="25"/>
      <c r="AP216" s="120"/>
      <c r="AQ216" s="120"/>
      <c r="AR216" s="121"/>
      <c r="AS216" s="96"/>
      <c r="AT216" s="122"/>
      <c r="AU216" s="123"/>
      <c r="AV216" s="122"/>
      <c r="AW216" s="122"/>
      <c r="AX216" s="30"/>
      <c r="AY216" s="30"/>
      <c r="AZ216" s="30"/>
      <c r="BA216" s="30"/>
      <c r="BB216" s="26"/>
      <c r="BC216" s="26"/>
      <c r="BD216" s="26"/>
      <c r="BE216" s="26"/>
      <c r="BF216" s="26"/>
    </row>
    <row r="217" spans="1:58" ht="15.75" customHeight="1">
      <c r="A217" s="67"/>
      <c r="B217" s="67"/>
      <c r="C217" s="67"/>
      <c r="D217" s="68"/>
      <c r="E217" s="68"/>
      <c r="F217" s="68"/>
      <c r="G217" s="68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30"/>
      <c r="AO217" s="25"/>
      <c r="AP217" s="120"/>
      <c r="AQ217" s="120"/>
      <c r="AR217" s="121"/>
      <c r="AS217" s="96"/>
      <c r="AT217" s="122"/>
      <c r="AU217" s="123"/>
      <c r="AV217" s="122"/>
      <c r="AW217" s="122"/>
      <c r="AX217" s="30"/>
      <c r="AY217" s="30"/>
      <c r="AZ217" s="30"/>
      <c r="BA217" s="30"/>
      <c r="BB217" s="26"/>
      <c r="BC217" s="26"/>
      <c r="BD217" s="26"/>
      <c r="BE217" s="26"/>
      <c r="BF217" s="26"/>
    </row>
    <row r="218" spans="1:58" ht="15.75" customHeight="1">
      <c r="A218" s="67"/>
      <c r="B218" s="67"/>
      <c r="C218" s="67"/>
      <c r="D218" s="68"/>
      <c r="E218" s="68"/>
      <c r="F218" s="68"/>
      <c r="G218" s="68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30"/>
      <c r="AO218" s="25"/>
      <c r="AP218" s="120"/>
      <c r="AQ218" s="120"/>
      <c r="AR218" s="121"/>
      <c r="AS218" s="96"/>
      <c r="AT218" s="122"/>
      <c r="AU218" s="123"/>
      <c r="AV218" s="122"/>
      <c r="AW218" s="122"/>
      <c r="AX218" s="30"/>
      <c r="AY218" s="30"/>
      <c r="AZ218" s="30"/>
      <c r="BA218" s="30"/>
      <c r="BB218" s="26"/>
      <c r="BC218" s="26"/>
      <c r="BD218" s="26"/>
      <c r="BE218" s="26"/>
      <c r="BF218" s="26"/>
    </row>
    <row r="219" spans="1:58" ht="15.75" customHeight="1">
      <c r="A219" s="67"/>
      <c r="B219" s="67"/>
      <c r="C219" s="67"/>
      <c r="D219" s="68"/>
      <c r="E219" s="68"/>
      <c r="F219" s="68"/>
      <c r="G219" s="68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30"/>
      <c r="AO219" s="25"/>
      <c r="AP219" s="120"/>
      <c r="AQ219" s="120"/>
      <c r="AR219" s="121"/>
      <c r="AS219" s="96"/>
      <c r="AT219" s="122"/>
      <c r="AU219" s="123"/>
      <c r="AV219" s="122"/>
      <c r="AW219" s="122"/>
      <c r="AX219" s="30"/>
      <c r="AY219" s="30"/>
      <c r="AZ219" s="30"/>
      <c r="BA219" s="30"/>
      <c r="BB219" s="26"/>
      <c r="BC219" s="26"/>
      <c r="BD219" s="26"/>
      <c r="BE219" s="26"/>
      <c r="BF219" s="26"/>
    </row>
    <row r="220" spans="1:58" ht="15.75" customHeight="1">
      <c r="A220" s="67"/>
      <c r="B220" s="67"/>
      <c r="C220" s="67"/>
      <c r="D220" s="68"/>
      <c r="E220" s="68"/>
      <c r="F220" s="68"/>
      <c r="G220" s="68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30"/>
      <c r="AO220" s="25"/>
      <c r="AP220" s="120"/>
      <c r="AQ220" s="120"/>
      <c r="AR220" s="121"/>
      <c r="AS220" s="96"/>
      <c r="AT220" s="122"/>
      <c r="AU220" s="123"/>
      <c r="AV220" s="122"/>
      <c r="AW220" s="122"/>
      <c r="AX220" s="30"/>
      <c r="AY220" s="30"/>
      <c r="AZ220" s="30"/>
      <c r="BA220" s="30"/>
      <c r="BB220" s="26"/>
      <c r="BC220" s="26"/>
      <c r="BD220" s="26"/>
      <c r="BE220" s="26"/>
      <c r="BF220" s="26"/>
    </row>
    <row r="221" spans="1:58" ht="15.75" customHeight="1">
      <c r="A221" s="67"/>
      <c r="B221" s="67"/>
      <c r="C221" s="67"/>
      <c r="D221" s="68"/>
      <c r="E221" s="68"/>
      <c r="F221" s="68"/>
      <c r="G221" s="68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30"/>
      <c r="AO221" s="25"/>
      <c r="AP221" s="120"/>
      <c r="AQ221" s="120"/>
      <c r="AR221" s="121"/>
      <c r="AS221" s="96"/>
      <c r="AT221" s="122"/>
      <c r="AU221" s="123"/>
      <c r="AV221" s="122"/>
      <c r="AW221" s="122"/>
      <c r="AX221" s="30"/>
      <c r="AY221" s="30"/>
      <c r="AZ221" s="30"/>
      <c r="BA221" s="30"/>
      <c r="BB221" s="26"/>
      <c r="BC221" s="26"/>
      <c r="BD221" s="26"/>
      <c r="BE221" s="26"/>
      <c r="BF221" s="26"/>
    </row>
    <row r="222" spans="1:58" ht="15.75" customHeight="1">
      <c r="A222" s="67"/>
      <c r="B222" s="67"/>
      <c r="C222" s="67"/>
      <c r="D222" s="68"/>
      <c r="E222" s="68"/>
      <c r="F222" s="68"/>
      <c r="G222" s="68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30"/>
      <c r="AO222" s="25"/>
      <c r="AP222" s="120"/>
      <c r="AQ222" s="120"/>
      <c r="AR222" s="121"/>
      <c r="AS222" s="96"/>
      <c r="AT222" s="122"/>
      <c r="AU222" s="123"/>
      <c r="AV222" s="122"/>
      <c r="AW222" s="122"/>
      <c r="AX222" s="30"/>
      <c r="AY222" s="30"/>
      <c r="AZ222" s="30"/>
      <c r="BA222" s="30"/>
      <c r="BB222" s="26"/>
      <c r="BC222" s="26"/>
      <c r="BD222" s="26"/>
      <c r="BE222" s="26"/>
      <c r="BF222" s="26"/>
    </row>
    <row r="223" spans="1:58" ht="15.75" customHeight="1">
      <c r="A223" s="67"/>
      <c r="B223" s="67"/>
      <c r="C223" s="67"/>
      <c r="D223" s="68"/>
      <c r="E223" s="68"/>
      <c r="F223" s="68"/>
      <c r="G223" s="68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30"/>
      <c r="AO223" s="25"/>
      <c r="AP223" s="120"/>
      <c r="AQ223" s="120"/>
      <c r="AR223" s="121"/>
      <c r="AS223" s="96"/>
      <c r="AT223" s="122"/>
      <c r="AU223" s="123"/>
      <c r="AV223" s="122"/>
      <c r="AW223" s="122"/>
      <c r="AX223" s="30"/>
      <c r="AY223" s="30"/>
      <c r="AZ223" s="30"/>
      <c r="BA223" s="30"/>
      <c r="BB223" s="26"/>
      <c r="BC223" s="26"/>
      <c r="BD223" s="26"/>
      <c r="BE223" s="26"/>
      <c r="BF223" s="26"/>
    </row>
    <row r="224" spans="1:58" ht="15.75" customHeight="1">
      <c r="A224" s="67"/>
      <c r="B224" s="67"/>
      <c r="C224" s="67"/>
      <c r="D224" s="68"/>
      <c r="E224" s="68"/>
      <c r="F224" s="68"/>
      <c r="G224" s="68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30"/>
      <c r="AO224" s="25"/>
      <c r="AP224" s="120"/>
      <c r="AQ224" s="120"/>
      <c r="AR224" s="121"/>
      <c r="AS224" s="96"/>
      <c r="AT224" s="122"/>
      <c r="AU224" s="123"/>
      <c r="AV224" s="122"/>
      <c r="AW224" s="122"/>
      <c r="AX224" s="30"/>
      <c r="AY224" s="30"/>
      <c r="AZ224" s="30"/>
      <c r="BA224" s="30"/>
      <c r="BB224" s="26"/>
      <c r="BC224" s="26"/>
      <c r="BD224" s="26"/>
      <c r="BE224" s="26"/>
      <c r="BF224" s="26"/>
    </row>
    <row r="225" spans="1:58" ht="15.75" customHeight="1">
      <c r="A225" s="67"/>
      <c r="B225" s="67"/>
      <c r="C225" s="67"/>
      <c r="D225" s="68"/>
      <c r="E225" s="68"/>
      <c r="F225" s="68"/>
      <c r="G225" s="68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30"/>
      <c r="AO225" s="25"/>
      <c r="AP225" s="120"/>
      <c r="AQ225" s="120"/>
      <c r="AR225" s="121"/>
      <c r="AS225" s="96"/>
      <c r="AT225" s="122"/>
      <c r="AU225" s="123"/>
      <c r="AV225" s="122"/>
      <c r="AW225" s="122"/>
      <c r="AX225" s="30"/>
      <c r="AY225" s="30"/>
      <c r="AZ225" s="30"/>
      <c r="BA225" s="30"/>
      <c r="BB225" s="26"/>
      <c r="BC225" s="26"/>
      <c r="BD225" s="26"/>
      <c r="BE225" s="26"/>
      <c r="BF225" s="26"/>
    </row>
    <row r="226" spans="1:58" ht="15.75" customHeight="1">
      <c r="A226" s="67"/>
      <c r="B226" s="67"/>
      <c r="C226" s="67"/>
      <c r="D226" s="68"/>
      <c r="E226" s="68"/>
      <c r="F226" s="68"/>
      <c r="G226" s="68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30"/>
      <c r="AO226" s="25"/>
      <c r="AP226" s="120"/>
      <c r="AQ226" s="120"/>
      <c r="AR226" s="121"/>
      <c r="AS226" s="96"/>
      <c r="AT226" s="122"/>
      <c r="AU226" s="123"/>
      <c r="AV226" s="122"/>
      <c r="AW226" s="122"/>
      <c r="AX226" s="30"/>
      <c r="AY226" s="30"/>
      <c r="AZ226" s="30"/>
      <c r="BA226" s="30"/>
      <c r="BB226" s="26"/>
      <c r="BC226" s="26"/>
      <c r="BD226" s="26"/>
      <c r="BE226" s="26"/>
      <c r="BF226" s="26"/>
    </row>
    <row r="227" spans="1:58" ht="15.75" customHeight="1">
      <c r="A227" s="67"/>
      <c r="B227" s="67"/>
      <c r="C227" s="67"/>
      <c r="D227" s="68"/>
      <c r="E227" s="68"/>
      <c r="F227" s="68"/>
      <c r="G227" s="68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30"/>
      <c r="AO227" s="25"/>
      <c r="AP227" s="120"/>
      <c r="AQ227" s="120"/>
      <c r="AR227" s="121"/>
      <c r="AS227" s="96"/>
      <c r="AT227" s="122"/>
      <c r="AU227" s="123"/>
      <c r="AV227" s="122"/>
      <c r="AW227" s="122"/>
      <c r="AX227" s="30"/>
      <c r="AY227" s="30"/>
      <c r="AZ227" s="30"/>
      <c r="BA227" s="30"/>
      <c r="BB227" s="26"/>
      <c r="BC227" s="26"/>
      <c r="BD227" s="26"/>
      <c r="BE227" s="26"/>
      <c r="BF227" s="26"/>
    </row>
    <row r="228" spans="1:58" ht="15.75" customHeight="1">
      <c r="A228" s="67"/>
      <c r="B228" s="67"/>
      <c r="C228" s="67"/>
      <c r="D228" s="68"/>
      <c r="E228" s="68"/>
      <c r="F228" s="68"/>
      <c r="G228" s="68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30"/>
      <c r="AO228" s="25"/>
      <c r="AP228" s="120"/>
      <c r="AQ228" s="120"/>
      <c r="AR228" s="121"/>
      <c r="AS228" s="96"/>
      <c r="AT228" s="122"/>
      <c r="AU228" s="123"/>
      <c r="AV228" s="122"/>
      <c r="AW228" s="122"/>
      <c r="AX228" s="30"/>
      <c r="AY228" s="30"/>
      <c r="AZ228" s="30"/>
      <c r="BA228" s="30"/>
      <c r="BB228" s="26"/>
      <c r="BC228" s="26"/>
      <c r="BD228" s="26"/>
      <c r="BE228" s="26"/>
      <c r="BF228" s="26"/>
    </row>
    <row r="229" spans="1:58" ht="15.75" customHeight="1">
      <c r="A229" s="67"/>
      <c r="B229" s="67"/>
      <c r="C229" s="67"/>
      <c r="D229" s="68"/>
      <c r="E229" s="68"/>
      <c r="F229" s="68"/>
      <c r="G229" s="68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30"/>
      <c r="AO229" s="25"/>
      <c r="AP229" s="120"/>
      <c r="AQ229" s="120"/>
      <c r="AR229" s="121"/>
      <c r="AS229" s="96"/>
      <c r="AT229" s="122"/>
      <c r="AU229" s="123"/>
      <c r="AV229" s="122"/>
      <c r="AW229" s="122"/>
      <c r="AX229" s="30"/>
      <c r="AY229" s="30"/>
      <c r="AZ229" s="30"/>
      <c r="BA229" s="30"/>
      <c r="BB229" s="26"/>
      <c r="BC229" s="26"/>
      <c r="BD229" s="26"/>
      <c r="BE229" s="26"/>
      <c r="BF229" s="26"/>
    </row>
    <row r="230" spans="1:58" ht="15.75" customHeight="1">
      <c r="A230" s="67"/>
      <c r="B230" s="67"/>
      <c r="C230" s="67"/>
      <c r="D230" s="68"/>
      <c r="E230" s="68"/>
      <c r="F230" s="68"/>
      <c r="G230" s="68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30"/>
      <c r="AO230" s="25"/>
      <c r="AP230" s="120"/>
      <c r="AQ230" s="120"/>
      <c r="AR230" s="121"/>
      <c r="AS230" s="96"/>
      <c r="AT230" s="122"/>
      <c r="AU230" s="123"/>
      <c r="AV230" s="122"/>
      <c r="AW230" s="122"/>
      <c r="AX230" s="30"/>
      <c r="AY230" s="30"/>
      <c r="AZ230" s="30"/>
      <c r="BA230" s="30"/>
      <c r="BB230" s="26"/>
      <c r="BC230" s="26"/>
      <c r="BD230" s="26"/>
      <c r="BE230" s="26"/>
      <c r="BF230" s="26"/>
    </row>
    <row r="231" spans="1:58" ht="15.75" customHeight="1">
      <c r="A231" s="67"/>
      <c r="B231" s="67"/>
      <c r="C231" s="67"/>
      <c r="D231" s="68"/>
      <c r="E231" s="68"/>
      <c r="F231" s="68"/>
      <c r="G231" s="68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30"/>
      <c r="AO231" s="25"/>
      <c r="AP231" s="120"/>
      <c r="AQ231" s="120"/>
      <c r="AR231" s="121"/>
      <c r="AS231" s="96"/>
      <c r="AT231" s="122"/>
      <c r="AU231" s="123"/>
      <c r="AV231" s="122"/>
      <c r="AW231" s="122"/>
      <c r="AX231" s="30"/>
      <c r="AY231" s="30"/>
      <c r="AZ231" s="30"/>
      <c r="BA231" s="30"/>
      <c r="BB231" s="26"/>
      <c r="BC231" s="26"/>
      <c r="BD231" s="26"/>
      <c r="BE231" s="26"/>
      <c r="BF231" s="26"/>
    </row>
    <row r="232" spans="1:58" ht="15.75" customHeight="1">
      <c r="A232" s="67"/>
      <c r="B232" s="67"/>
      <c r="C232" s="67"/>
      <c r="D232" s="68"/>
      <c r="E232" s="68"/>
      <c r="F232" s="68"/>
      <c r="G232" s="68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30"/>
      <c r="AO232" s="25"/>
      <c r="AP232" s="120"/>
      <c r="AQ232" s="120"/>
      <c r="AR232" s="121"/>
      <c r="AS232" s="96"/>
      <c r="AT232" s="122"/>
      <c r="AU232" s="123"/>
      <c r="AV232" s="122"/>
      <c r="AW232" s="122"/>
      <c r="AX232" s="30"/>
      <c r="AY232" s="30"/>
      <c r="AZ232" s="30"/>
      <c r="BA232" s="30"/>
      <c r="BB232" s="26"/>
      <c r="BC232" s="26"/>
      <c r="BD232" s="26"/>
      <c r="BE232" s="26"/>
      <c r="BF232" s="26"/>
    </row>
    <row r="233" spans="1:58" ht="15.75" customHeight="1">
      <c r="A233" s="67"/>
      <c r="B233" s="67"/>
      <c r="C233" s="67"/>
      <c r="D233" s="68"/>
      <c r="E233" s="68"/>
      <c r="F233" s="68"/>
      <c r="G233" s="68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30"/>
      <c r="AO233" s="25"/>
      <c r="AP233" s="120"/>
      <c r="AQ233" s="120"/>
      <c r="AR233" s="121"/>
      <c r="AS233" s="96"/>
      <c r="AT233" s="122"/>
      <c r="AU233" s="123"/>
      <c r="AV233" s="122"/>
      <c r="AW233" s="122"/>
      <c r="AX233" s="30"/>
      <c r="AY233" s="30"/>
      <c r="AZ233" s="30"/>
      <c r="BA233" s="30"/>
      <c r="BB233" s="26"/>
      <c r="BC233" s="26"/>
      <c r="BD233" s="26"/>
      <c r="BE233" s="26"/>
      <c r="BF233" s="26"/>
    </row>
    <row r="234" spans="1:58" ht="15.75" customHeight="1">
      <c r="A234" s="67"/>
      <c r="B234" s="67"/>
      <c r="C234" s="67"/>
      <c r="D234" s="68"/>
      <c r="E234" s="68"/>
      <c r="F234" s="68"/>
      <c r="G234" s="68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30"/>
      <c r="AO234" s="25"/>
      <c r="AP234" s="120"/>
      <c r="AQ234" s="120"/>
      <c r="AR234" s="121"/>
      <c r="AS234" s="96"/>
      <c r="AT234" s="122"/>
      <c r="AU234" s="123"/>
      <c r="AV234" s="122"/>
      <c r="AW234" s="122"/>
      <c r="AX234" s="30"/>
      <c r="AY234" s="30"/>
      <c r="AZ234" s="30"/>
      <c r="BA234" s="30"/>
      <c r="BB234" s="26"/>
      <c r="BC234" s="26"/>
      <c r="BD234" s="26"/>
      <c r="BE234" s="26"/>
      <c r="BF234" s="26"/>
    </row>
    <row r="235" spans="1:58" ht="15.75" customHeight="1">
      <c r="A235" s="67"/>
      <c r="B235" s="67"/>
      <c r="C235" s="67"/>
      <c r="D235" s="68"/>
      <c r="E235" s="68"/>
      <c r="F235" s="68"/>
      <c r="G235" s="68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30"/>
      <c r="AO235" s="25"/>
      <c r="AP235" s="120"/>
      <c r="AQ235" s="120"/>
      <c r="AR235" s="121"/>
      <c r="AS235" s="96"/>
      <c r="AT235" s="122"/>
      <c r="AU235" s="123"/>
      <c r="AV235" s="122"/>
      <c r="AW235" s="122"/>
      <c r="AX235" s="30"/>
      <c r="AY235" s="30"/>
      <c r="AZ235" s="30"/>
      <c r="BA235" s="30"/>
      <c r="BB235" s="26"/>
      <c r="BC235" s="26"/>
      <c r="BD235" s="26"/>
      <c r="BE235" s="26"/>
      <c r="BF235" s="26"/>
    </row>
    <row r="236" spans="1:58" ht="15.75" customHeight="1">
      <c r="A236" s="67"/>
      <c r="B236" s="67"/>
      <c r="C236" s="67"/>
      <c r="D236" s="68"/>
      <c r="E236" s="68"/>
      <c r="F236" s="68"/>
      <c r="G236" s="68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30"/>
      <c r="AO236" s="25"/>
      <c r="AP236" s="120"/>
      <c r="AQ236" s="120"/>
      <c r="AR236" s="121"/>
      <c r="AS236" s="96"/>
      <c r="AT236" s="122"/>
      <c r="AU236" s="123"/>
      <c r="AV236" s="122"/>
      <c r="AW236" s="122"/>
      <c r="AX236" s="30"/>
      <c r="AY236" s="30"/>
      <c r="AZ236" s="30"/>
      <c r="BA236" s="30"/>
      <c r="BB236" s="26"/>
      <c r="BC236" s="26"/>
      <c r="BD236" s="26"/>
      <c r="BE236" s="26"/>
      <c r="BF236" s="26"/>
    </row>
    <row r="237" spans="1:58" ht="15.75" customHeight="1">
      <c r="A237" s="67"/>
      <c r="B237" s="67"/>
      <c r="C237" s="67"/>
      <c r="D237" s="68"/>
      <c r="E237" s="68"/>
      <c r="F237" s="68"/>
      <c r="G237" s="68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30"/>
      <c r="AO237" s="25"/>
      <c r="AP237" s="120"/>
      <c r="AQ237" s="120"/>
      <c r="AR237" s="121"/>
      <c r="AS237" s="96"/>
      <c r="AT237" s="122"/>
      <c r="AU237" s="123"/>
      <c r="AV237" s="122"/>
      <c r="AW237" s="122"/>
      <c r="AX237" s="30"/>
      <c r="AY237" s="30"/>
      <c r="AZ237" s="30"/>
      <c r="BA237" s="30"/>
      <c r="BB237" s="26"/>
      <c r="BC237" s="26"/>
      <c r="BD237" s="26"/>
      <c r="BE237" s="26"/>
      <c r="BF237" s="26"/>
    </row>
    <row r="238" spans="1:58" ht="15.75" customHeight="1">
      <c r="A238" s="67"/>
      <c r="B238" s="67"/>
      <c r="C238" s="67"/>
      <c r="D238" s="68"/>
      <c r="E238" s="68"/>
      <c r="F238" s="68"/>
      <c r="G238" s="68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30"/>
      <c r="AO238" s="25"/>
      <c r="AP238" s="120"/>
      <c r="AQ238" s="120"/>
      <c r="AR238" s="121"/>
      <c r="AS238" s="96"/>
      <c r="AT238" s="122"/>
      <c r="AU238" s="123"/>
      <c r="AV238" s="122"/>
      <c r="AW238" s="122"/>
      <c r="AX238" s="30"/>
      <c r="AY238" s="30"/>
      <c r="AZ238" s="30"/>
      <c r="BA238" s="30"/>
      <c r="BB238" s="26"/>
      <c r="BC238" s="26"/>
      <c r="BD238" s="26"/>
      <c r="BE238" s="26"/>
      <c r="BF238" s="26"/>
    </row>
    <row r="239" spans="1:58" ht="15.75" customHeight="1">
      <c r="A239" s="67"/>
      <c r="B239" s="67"/>
      <c r="C239" s="67"/>
      <c r="D239" s="68"/>
      <c r="E239" s="68"/>
      <c r="F239" s="68"/>
      <c r="G239" s="68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30"/>
      <c r="AO239" s="25"/>
      <c r="AP239" s="120"/>
      <c r="AQ239" s="120"/>
      <c r="AR239" s="121"/>
      <c r="AS239" s="96"/>
      <c r="AT239" s="122"/>
      <c r="AU239" s="123"/>
      <c r="AV239" s="122"/>
      <c r="AW239" s="122"/>
      <c r="AX239" s="30"/>
      <c r="AY239" s="30"/>
      <c r="AZ239" s="30"/>
      <c r="BA239" s="30"/>
      <c r="BB239" s="26"/>
      <c r="BC239" s="26"/>
      <c r="BD239" s="26"/>
      <c r="BE239" s="26"/>
      <c r="BF239" s="26"/>
    </row>
    <row r="240" spans="1:58" ht="15.75" customHeight="1">
      <c r="A240" s="67"/>
      <c r="B240" s="67"/>
      <c r="C240" s="67"/>
      <c r="D240" s="68"/>
      <c r="E240" s="68"/>
      <c r="F240" s="68"/>
      <c r="G240" s="68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30"/>
      <c r="AO240" s="25"/>
      <c r="AP240" s="120"/>
      <c r="AQ240" s="120"/>
      <c r="AR240" s="121"/>
      <c r="AS240" s="96"/>
      <c r="AT240" s="122"/>
      <c r="AU240" s="123"/>
      <c r="AV240" s="122"/>
      <c r="AW240" s="122"/>
      <c r="AX240" s="30"/>
      <c r="AY240" s="30"/>
      <c r="AZ240" s="30"/>
      <c r="BA240" s="30"/>
      <c r="BB240" s="26"/>
      <c r="BC240" s="26"/>
      <c r="BD240" s="26"/>
      <c r="BE240" s="26"/>
      <c r="BF240" s="26"/>
    </row>
    <row r="241" spans="1:58" ht="15.75" customHeight="1">
      <c r="A241" s="67"/>
      <c r="B241" s="67"/>
      <c r="C241" s="67"/>
      <c r="D241" s="68"/>
      <c r="E241" s="68"/>
      <c r="F241" s="68"/>
      <c r="G241" s="68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30"/>
      <c r="AO241" s="25"/>
      <c r="AP241" s="120"/>
      <c r="AQ241" s="120"/>
      <c r="AR241" s="121"/>
      <c r="AS241" s="96"/>
      <c r="AT241" s="122"/>
      <c r="AU241" s="123"/>
      <c r="AV241" s="122"/>
      <c r="AW241" s="122"/>
      <c r="AX241" s="30"/>
      <c r="AY241" s="30"/>
      <c r="AZ241" s="30"/>
      <c r="BA241" s="30"/>
      <c r="BB241" s="26"/>
      <c r="BC241" s="26"/>
      <c r="BD241" s="26"/>
      <c r="BE241" s="26"/>
      <c r="BF241" s="26"/>
    </row>
    <row r="242" spans="1:58" ht="15.75" customHeight="1">
      <c r="A242" s="67"/>
      <c r="B242" s="67"/>
      <c r="C242" s="67"/>
      <c r="D242" s="68"/>
      <c r="E242" s="68"/>
      <c r="F242" s="68"/>
      <c r="G242" s="68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30"/>
      <c r="AO242" s="25"/>
      <c r="AP242" s="120"/>
      <c r="AQ242" s="120"/>
      <c r="AR242" s="121"/>
      <c r="AS242" s="96"/>
      <c r="AT242" s="122"/>
      <c r="AU242" s="123"/>
      <c r="AV242" s="122"/>
      <c r="AW242" s="122"/>
      <c r="AX242" s="30"/>
      <c r="AY242" s="30"/>
      <c r="AZ242" s="30"/>
      <c r="BA242" s="30"/>
      <c r="BB242" s="26"/>
      <c r="BC242" s="26"/>
      <c r="BD242" s="26"/>
      <c r="BE242" s="26"/>
      <c r="BF242" s="26"/>
    </row>
    <row r="243" spans="1:58" ht="15.75" customHeight="1">
      <c r="A243" s="67"/>
      <c r="B243" s="67"/>
      <c r="C243" s="67"/>
      <c r="D243" s="68"/>
      <c r="E243" s="68"/>
      <c r="F243" s="68"/>
      <c r="G243" s="68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30"/>
      <c r="AO243" s="25"/>
      <c r="AP243" s="120"/>
      <c r="AQ243" s="120"/>
      <c r="AR243" s="121"/>
      <c r="AS243" s="96"/>
      <c r="AT243" s="122"/>
      <c r="AU243" s="123"/>
      <c r="AV243" s="122"/>
      <c r="AW243" s="122"/>
      <c r="AX243" s="30"/>
      <c r="AY243" s="30"/>
      <c r="AZ243" s="30"/>
      <c r="BA243" s="30"/>
      <c r="BB243" s="26"/>
      <c r="BC243" s="26"/>
      <c r="BD243" s="26"/>
      <c r="BE243" s="26"/>
      <c r="BF243" s="26"/>
    </row>
    <row r="244" spans="1:58" ht="15.75" customHeight="1">
      <c r="A244" s="67"/>
      <c r="B244" s="67"/>
      <c r="C244" s="67"/>
      <c r="D244" s="68"/>
      <c r="E244" s="68"/>
      <c r="F244" s="68"/>
      <c r="G244" s="68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30"/>
      <c r="AO244" s="25"/>
      <c r="AP244" s="120"/>
      <c r="AQ244" s="120"/>
      <c r="AR244" s="121"/>
      <c r="AS244" s="96"/>
      <c r="AT244" s="122"/>
      <c r="AU244" s="123"/>
      <c r="AV244" s="122"/>
      <c r="AW244" s="122"/>
      <c r="AX244" s="30"/>
      <c r="AY244" s="30"/>
      <c r="AZ244" s="30"/>
      <c r="BA244" s="30"/>
      <c r="BB244" s="26"/>
      <c r="BC244" s="26"/>
      <c r="BD244" s="26"/>
      <c r="BE244" s="26"/>
      <c r="BF244" s="26"/>
    </row>
    <row r="245" spans="1:58" ht="15.75" customHeight="1">
      <c r="A245" s="67"/>
      <c r="B245" s="67"/>
      <c r="C245" s="67"/>
      <c r="D245" s="68"/>
      <c r="E245" s="68"/>
      <c r="F245" s="68"/>
      <c r="G245" s="68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30"/>
      <c r="AO245" s="25"/>
      <c r="AP245" s="120"/>
      <c r="AQ245" s="120"/>
      <c r="AR245" s="121"/>
      <c r="AS245" s="96"/>
      <c r="AT245" s="122"/>
      <c r="AU245" s="123"/>
      <c r="AV245" s="122"/>
      <c r="AW245" s="122"/>
      <c r="AX245" s="30"/>
      <c r="AY245" s="30"/>
      <c r="AZ245" s="30"/>
      <c r="BA245" s="30"/>
      <c r="BB245" s="26"/>
      <c r="BC245" s="26"/>
      <c r="BD245" s="26"/>
      <c r="BE245" s="26"/>
      <c r="BF245" s="26"/>
    </row>
    <row r="246" spans="1:58" ht="15.75" customHeight="1">
      <c r="A246" s="67"/>
      <c r="B246" s="67"/>
      <c r="C246" s="67"/>
      <c r="D246" s="68"/>
      <c r="E246" s="68"/>
      <c r="F246" s="68"/>
      <c r="G246" s="68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30"/>
      <c r="AO246" s="25"/>
      <c r="AP246" s="120"/>
      <c r="AQ246" s="120"/>
      <c r="AR246" s="121"/>
      <c r="AS246" s="96"/>
      <c r="AT246" s="122"/>
      <c r="AU246" s="123"/>
      <c r="AV246" s="122"/>
      <c r="AW246" s="122"/>
      <c r="AX246" s="30"/>
      <c r="AY246" s="30"/>
      <c r="AZ246" s="30"/>
      <c r="BA246" s="30"/>
      <c r="BB246" s="26"/>
      <c r="BC246" s="26"/>
      <c r="BD246" s="26"/>
      <c r="BE246" s="26"/>
      <c r="BF246" s="26"/>
    </row>
    <row r="247" spans="1:58" ht="15.75" customHeight="1">
      <c r="A247" s="67"/>
      <c r="B247" s="67"/>
      <c r="C247" s="67"/>
      <c r="D247" s="68"/>
      <c r="E247" s="68"/>
      <c r="F247" s="68"/>
      <c r="G247" s="68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30"/>
      <c r="AO247" s="25"/>
      <c r="AP247" s="120"/>
      <c r="AQ247" s="120"/>
      <c r="AR247" s="121"/>
      <c r="AS247" s="96"/>
      <c r="AT247" s="122"/>
      <c r="AU247" s="123"/>
      <c r="AV247" s="122"/>
      <c r="AW247" s="122"/>
      <c r="AX247" s="30"/>
      <c r="AY247" s="30"/>
      <c r="AZ247" s="30"/>
      <c r="BA247" s="30"/>
      <c r="BB247" s="26"/>
      <c r="BC247" s="26"/>
      <c r="BD247" s="26"/>
      <c r="BE247" s="26"/>
      <c r="BF247" s="26"/>
    </row>
    <row r="248" spans="1:58" ht="15.75" customHeight="1">
      <c r="A248" s="67"/>
      <c r="B248" s="67"/>
      <c r="C248" s="67"/>
      <c r="D248" s="68"/>
      <c r="E248" s="68"/>
      <c r="F248" s="68"/>
      <c r="G248" s="68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30"/>
      <c r="AO248" s="25"/>
      <c r="AP248" s="120"/>
      <c r="AQ248" s="120"/>
      <c r="AR248" s="121"/>
      <c r="AS248" s="96"/>
      <c r="AT248" s="122"/>
      <c r="AU248" s="123"/>
      <c r="AV248" s="122"/>
      <c r="AW248" s="122"/>
      <c r="AX248" s="30"/>
      <c r="AY248" s="30"/>
      <c r="AZ248" s="30"/>
      <c r="BA248" s="30"/>
      <c r="BB248" s="26"/>
      <c r="BC248" s="26"/>
      <c r="BD248" s="26"/>
      <c r="BE248" s="26"/>
      <c r="BF248" s="26"/>
    </row>
    <row r="249" spans="1:58" ht="15.75" customHeight="1">
      <c r="A249" s="67"/>
      <c r="B249" s="67"/>
      <c r="C249" s="67"/>
      <c r="D249" s="68"/>
      <c r="E249" s="68"/>
      <c r="F249" s="68"/>
      <c r="G249" s="68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30"/>
      <c r="AO249" s="25"/>
      <c r="AP249" s="120"/>
      <c r="AQ249" s="120"/>
      <c r="AR249" s="121"/>
      <c r="AS249" s="96"/>
      <c r="AT249" s="122"/>
      <c r="AU249" s="123"/>
      <c r="AV249" s="122"/>
      <c r="AW249" s="122"/>
      <c r="AX249" s="30"/>
      <c r="AY249" s="30"/>
      <c r="AZ249" s="30"/>
      <c r="BA249" s="30"/>
      <c r="BB249" s="26"/>
      <c r="BC249" s="26"/>
      <c r="BD249" s="26"/>
      <c r="BE249" s="26"/>
      <c r="BF249" s="26"/>
    </row>
    <row r="250" spans="1:58" ht="15.75" customHeight="1">
      <c r="A250" s="67"/>
      <c r="B250" s="67"/>
      <c r="C250" s="67"/>
      <c r="D250" s="68"/>
      <c r="E250" s="68"/>
      <c r="F250" s="68"/>
      <c r="G250" s="68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30"/>
      <c r="AO250" s="25"/>
      <c r="AP250" s="120"/>
      <c r="AQ250" s="120"/>
      <c r="AR250" s="121"/>
      <c r="AS250" s="96"/>
      <c r="AT250" s="122"/>
      <c r="AU250" s="123"/>
      <c r="AV250" s="122"/>
      <c r="AW250" s="122"/>
      <c r="AX250" s="30"/>
      <c r="AY250" s="30"/>
      <c r="AZ250" s="30"/>
      <c r="BA250" s="30"/>
      <c r="BB250" s="26"/>
      <c r="BC250" s="26"/>
      <c r="BD250" s="26"/>
      <c r="BE250" s="26"/>
      <c r="BF250" s="26"/>
    </row>
    <row r="251" spans="1:58" ht="15.75" customHeight="1">
      <c r="A251" s="67"/>
      <c r="B251" s="67"/>
      <c r="C251" s="67"/>
      <c r="D251" s="68"/>
      <c r="E251" s="68"/>
      <c r="F251" s="68"/>
      <c r="G251" s="68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30"/>
      <c r="AO251" s="25"/>
      <c r="AP251" s="120"/>
      <c r="AQ251" s="120"/>
      <c r="AR251" s="121"/>
      <c r="AS251" s="96"/>
      <c r="AT251" s="122"/>
      <c r="AU251" s="123"/>
      <c r="AV251" s="122"/>
      <c r="AW251" s="122"/>
      <c r="AX251" s="30"/>
      <c r="AY251" s="30"/>
      <c r="AZ251" s="30"/>
      <c r="BA251" s="30"/>
      <c r="BB251" s="26"/>
      <c r="BC251" s="26"/>
      <c r="BD251" s="26"/>
      <c r="BE251" s="26"/>
      <c r="BF251" s="26"/>
    </row>
    <row r="252" spans="1:58" ht="15.75" customHeight="1">
      <c r="A252" s="67"/>
      <c r="B252" s="67"/>
      <c r="C252" s="67"/>
      <c r="D252" s="68"/>
      <c r="E252" s="68"/>
      <c r="F252" s="68"/>
      <c r="G252" s="68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30"/>
      <c r="AO252" s="25"/>
      <c r="AP252" s="120"/>
      <c r="AQ252" s="120"/>
      <c r="AR252" s="121"/>
      <c r="AS252" s="96"/>
      <c r="AT252" s="122"/>
      <c r="AU252" s="123"/>
      <c r="AV252" s="122"/>
      <c r="AW252" s="122"/>
      <c r="AX252" s="30"/>
      <c r="AY252" s="30"/>
      <c r="AZ252" s="30"/>
      <c r="BA252" s="30"/>
      <c r="BB252" s="26"/>
      <c r="BC252" s="26"/>
      <c r="BD252" s="26"/>
      <c r="BE252" s="26"/>
      <c r="BF252" s="26"/>
    </row>
    <row r="253" spans="1:58" ht="15.75" customHeight="1">
      <c r="A253" s="67"/>
      <c r="B253" s="67"/>
      <c r="C253" s="67"/>
      <c r="D253" s="68"/>
      <c r="E253" s="68"/>
      <c r="F253" s="68"/>
      <c r="G253" s="68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30"/>
      <c r="AO253" s="25"/>
      <c r="AP253" s="120"/>
      <c r="AQ253" s="120"/>
      <c r="AR253" s="121"/>
      <c r="AS253" s="96"/>
      <c r="AT253" s="122"/>
      <c r="AU253" s="123"/>
      <c r="AV253" s="122"/>
      <c r="AW253" s="122"/>
      <c r="AX253" s="30"/>
      <c r="AY253" s="30"/>
      <c r="AZ253" s="30"/>
      <c r="BA253" s="30"/>
      <c r="BB253" s="26"/>
      <c r="BC253" s="26"/>
      <c r="BD253" s="26"/>
      <c r="BE253" s="26"/>
      <c r="BF253" s="26"/>
    </row>
    <row r="254" spans="1:58" ht="15.75" customHeight="1">
      <c r="A254" s="67"/>
      <c r="B254" s="67"/>
      <c r="C254" s="67"/>
      <c r="D254" s="68"/>
      <c r="E254" s="68"/>
      <c r="F254" s="68"/>
      <c r="G254" s="68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30"/>
      <c r="AO254" s="25"/>
      <c r="AP254" s="120"/>
      <c r="AQ254" s="120"/>
      <c r="AR254" s="121"/>
      <c r="AS254" s="96"/>
      <c r="AT254" s="122"/>
      <c r="AU254" s="123"/>
      <c r="AV254" s="122"/>
      <c r="AW254" s="122"/>
      <c r="AX254" s="30"/>
      <c r="AY254" s="30"/>
      <c r="AZ254" s="30"/>
      <c r="BA254" s="30"/>
      <c r="BB254" s="26"/>
      <c r="BC254" s="26"/>
      <c r="BD254" s="26"/>
      <c r="BE254" s="26"/>
      <c r="BF254" s="26"/>
    </row>
    <row r="255" spans="1:58" ht="15.75" customHeight="1">
      <c r="A255" s="67"/>
      <c r="B255" s="67"/>
      <c r="C255" s="67"/>
      <c r="D255" s="68"/>
      <c r="E255" s="68"/>
      <c r="F255" s="68"/>
      <c r="G255" s="68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30"/>
      <c r="AO255" s="25"/>
      <c r="AP255" s="120"/>
      <c r="AQ255" s="120"/>
      <c r="AR255" s="121"/>
      <c r="AS255" s="96"/>
      <c r="AT255" s="122"/>
      <c r="AU255" s="123"/>
      <c r="AV255" s="122"/>
      <c r="AW255" s="122"/>
      <c r="AX255" s="30"/>
      <c r="AY255" s="30"/>
      <c r="AZ255" s="30"/>
      <c r="BA255" s="30"/>
      <c r="BB255" s="26"/>
      <c r="BC255" s="26"/>
      <c r="BD255" s="26"/>
      <c r="BE255" s="26"/>
      <c r="BF255" s="26"/>
    </row>
    <row r="256" spans="1:58" ht="15.75" customHeight="1">
      <c r="A256" s="67"/>
      <c r="B256" s="67"/>
      <c r="C256" s="67"/>
      <c r="D256" s="68"/>
      <c r="E256" s="68"/>
      <c r="F256" s="68"/>
      <c r="G256" s="68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30"/>
      <c r="AO256" s="25"/>
      <c r="AP256" s="120"/>
      <c r="AQ256" s="120"/>
      <c r="AR256" s="121"/>
      <c r="AS256" s="96"/>
      <c r="AT256" s="122"/>
      <c r="AU256" s="123"/>
      <c r="AV256" s="122"/>
      <c r="AW256" s="122"/>
      <c r="AX256" s="30"/>
      <c r="AY256" s="30"/>
      <c r="AZ256" s="30"/>
      <c r="BA256" s="30"/>
      <c r="BB256" s="26"/>
      <c r="BC256" s="26"/>
      <c r="BD256" s="26"/>
      <c r="BE256" s="26"/>
      <c r="BF256" s="26"/>
    </row>
    <row r="257" spans="1:58" ht="15.75" customHeight="1">
      <c r="A257" s="67"/>
      <c r="B257" s="67"/>
      <c r="C257" s="67"/>
      <c r="D257" s="68"/>
      <c r="E257" s="68"/>
      <c r="F257" s="68"/>
      <c r="G257" s="68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30"/>
      <c r="AO257" s="25"/>
      <c r="AP257" s="120"/>
      <c r="AQ257" s="120"/>
      <c r="AR257" s="121"/>
      <c r="AS257" s="96"/>
      <c r="AT257" s="122"/>
      <c r="AU257" s="123"/>
      <c r="AV257" s="122"/>
      <c r="AW257" s="122"/>
      <c r="AX257" s="30"/>
      <c r="AY257" s="30"/>
      <c r="AZ257" s="30"/>
      <c r="BA257" s="30"/>
      <c r="BB257" s="26"/>
      <c r="BC257" s="26"/>
      <c r="BD257" s="26"/>
      <c r="BE257" s="26"/>
      <c r="BF257" s="26"/>
    </row>
    <row r="258" spans="1:58" ht="15.75" customHeight="1">
      <c r="A258" s="67"/>
      <c r="B258" s="67"/>
      <c r="C258" s="67"/>
      <c r="D258" s="68"/>
      <c r="E258" s="68"/>
      <c r="F258" s="68"/>
      <c r="G258" s="68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30"/>
      <c r="AO258" s="25"/>
      <c r="AP258" s="120"/>
      <c r="AQ258" s="120"/>
      <c r="AR258" s="121"/>
      <c r="AS258" s="96"/>
      <c r="AT258" s="122"/>
      <c r="AU258" s="123"/>
      <c r="AV258" s="122"/>
      <c r="AW258" s="122"/>
      <c r="AX258" s="30"/>
      <c r="AY258" s="30"/>
      <c r="AZ258" s="30"/>
      <c r="BA258" s="30"/>
      <c r="BB258" s="26"/>
      <c r="BC258" s="26"/>
      <c r="BD258" s="26"/>
      <c r="BE258" s="26"/>
      <c r="BF258" s="26"/>
    </row>
    <row r="259" spans="1:58" ht="15.75" customHeight="1">
      <c r="A259" s="67"/>
      <c r="B259" s="67"/>
      <c r="C259" s="67"/>
      <c r="D259" s="68"/>
      <c r="E259" s="68"/>
      <c r="F259" s="68"/>
      <c r="G259" s="68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30"/>
      <c r="AO259" s="25"/>
      <c r="AP259" s="120"/>
      <c r="AQ259" s="120"/>
      <c r="AR259" s="121"/>
      <c r="AS259" s="96"/>
      <c r="AT259" s="122"/>
      <c r="AU259" s="123"/>
      <c r="AV259" s="122"/>
      <c r="AW259" s="122"/>
      <c r="AX259" s="30"/>
      <c r="AY259" s="30"/>
      <c r="AZ259" s="30"/>
      <c r="BA259" s="30"/>
      <c r="BB259" s="26"/>
      <c r="BC259" s="26"/>
      <c r="BD259" s="26"/>
      <c r="BE259" s="26"/>
      <c r="BF259" s="26"/>
    </row>
    <row r="260" spans="1:58" ht="15.75" customHeight="1">
      <c r="A260" s="67"/>
      <c r="B260" s="67"/>
      <c r="C260" s="67"/>
      <c r="D260" s="68"/>
      <c r="E260" s="68"/>
      <c r="F260" s="68"/>
      <c r="G260" s="68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30"/>
      <c r="AO260" s="25"/>
      <c r="AP260" s="120"/>
      <c r="AQ260" s="120"/>
      <c r="AR260" s="121"/>
      <c r="AS260" s="96"/>
      <c r="AT260" s="122"/>
      <c r="AU260" s="123"/>
      <c r="AV260" s="122"/>
      <c r="AW260" s="122"/>
      <c r="AX260" s="30"/>
      <c r="AY260" s="30"/>
      <c r="AZ260" s="30"/>
      <c r="BA260" s="30"/>
      <c r="BB260" s="26"/>
      <c r="BC260" s="26"/>
      <c r="BD260" s="26"/>
      <c r="BE260" s="26"/>
      <c r="BF260" s="26"/>
    </row>
    <row r="261" spans="1:58" ht="15.75" customHeight="1">
      <c r="A261" s="67"/>
      <c r="B261" s="67"/>
      <c r="C261" s="67"/>
      <c r="D261" s="68"/>
      <c r="E261" s="68"/>
      <c r="F261" s="68"/>
      <c r="G261" s="68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30"/>
      <c r="AO261" s="25"/>
      <c r="AP261" s="120"/>
      <c r="AQ261" s="120"/>
      <c r="AR261" s="121"/>
      <c r="AS261" s="96"/>
      <c r="AT261" s="122"/>
      <c r="AU261" s="123"/>
      <c r="AV261" s="122"/>
      <c r="AW261" s="122"/>
      <c r="AX261" s="30"/>
      <c r="AY261" s="30"/>
      <c r="AZ261" s="30"/>
      <c r="BA261" s="30"/>
      <c r="BB261" s="26"/>
      <c r="BC261" s="26"/>
      <c r="BD261" s="26"/>
      <c r="BE261" s="26"/>
      <c r="BF261" s="26"/>
    </row>
    <row r="262" spans="1:58" ht="15.75" customHeight="1">
      <c r="A262" s="67"/>
      <c r="B262" s="67"/>
      <c r="C262" s="67"/>
      <c r="D262" s="68"/>
      <c r="E262" s="68"/>
      <c r="F262" s="68"/>
      <c r="G262" s="68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30"/>
      <c r="AO262" s="25"/>
      <c r="AP262" s="120"/>
      <c r="AQ262" s="120"/>
      <c r="AR262" s="121"/>
      <c r="AS262" s="96"/>
      <c r="AT262" s="122"/>
      <c r="AU262" s="123"/>
      <c r="AV262" s="122"/>
      <c r="AW262" s="122"/>
      <c r="AX262" s="30"/>
      <c r="AY262" s="30"/>
      <c r="AZ262" s="30"/>
      <c r="BA262" s="30"/>
      <c r="BB262" s="26"/>
      <c r="BC262" s="26"/>
      <c r="BD262" s="26"/>
      <c r="BE262" s="26"/>
      <c r="BF262" s="26"/>
    </row>
    <row r="263" spans="1:58" ht="15.75" customHeight="1">
      <c r="A263" s="67"/>
      <c r="B263" s="67"/>
      <c r="C263" s="67"/>
      <c r="D263" s="68"/>
      <c r="E263" s="68"/>
      <c r="F263" s="68"/>
      <c r="G263" s="68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30"/>
      <c r="AO263" s="25"/>
      <c r="AP263" s="120"/>
      <c r="AQ263" s="120"/>
      <c r="AR263" s="121"/>
      <c r="AS263" s="96"/>
      <c r="AT263" s="122"/>
      <c r="AU263" s="123"/>
      <c r="AV263" s="122"/>
      <c r="AW263" s="122"/>
      <c r="AX263" s="30"/>
      <c r="AY263" s="30"/>
      <c r="AZ263" s="30"/>
      <c r="BA263" s="30"/>
      <c r="BB263" s="26"/>
      <c r="BC263" s="26"/>
      <c r="BD263" s="26"/>
      <c r="BE263" s="26"/>
      <c r="BF263" s="26"/>
    </row>
    <row r="264" spans="1:58" ht="15.75" customHeight="1">
      <c r="A264" s="67"/>
      <c r="B264" s="67"/>
      <c r="C264" s="67"/>
      <c r="D264" s="68"/>
      <c r="E264" s="68"/>
      <c r="F264" s="68"/>
      <c r="G264" s="68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30"/>
      <c r="AO264" s="25"/>
      <c r="AP264" s="120"/>
      <c r="AQ264" s="120"/>
      <c r="AR264" s="121"/>
      <c r="AS264" s="96"/>
      <c r="AT264" s="122"/>
      <c r="AU264" s="123"/>
      <c r="AV264" s="122"/>
      <c r="AW264" s="122"/>
      <c r="AX264" s="30"/>
      <c r="AY264" s="30"/>
      <c r="AZ264" s="30"/>
      <c r="BA264" s="30"/>
      <c r="BB264" s="26"/>
      <c r="BC264" s="26"/>
      <c r="BD264" s="26"/>
      <c r="BE264" s="26"/>
      <c r="BF264" s="26"/>
    </row>
    <row r="265" spans="1:58" ht="15.75" customHeight="1">
      <c r="A265" s="67"/>
      <c r="B265" s="67"/>
      <c r="C265" s="67"/>
      <c r="D265" s="68"/>
      <c r="E265" s="68"/>
      <c r="F265" s="68"/>
      <c r="G265" s="68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30"/>
      <c r="AO265" s="25"/>
      <c r="AP265" s="120"/>
      <c r="AQ265" s="120"/>
      <c r="AR265" s="121"/>
      <c r="AS265" s="96"/>
      <c r="AT265" s="122"/>
      <c r="AU265" s="123"/>
      <c r="AV265" s="122"/>
      <c r="AW265" s="122"/>
      <c r="AX265" s="30"/>
      <c r="AY265" s="30"/>
      <c r="AZ265" s="30"/>
      <c r="BA265" s="30"/>
      <c r="BB265" s="26"/>
      <c r="BC265" s="26"/>
      <c r="BD265" s="26"/>
      <c r="BE265" s="26"/>
      <c r="BF265" s="26"/>
    </row>
    <row r="266" spans="1:58" ht="15.75" customHeight="1">
      <c r="A266" s="67"/>
      <c r="B266" s="67"/>
      <c r="C266" s="67"/>
      <c r="D266" s="68"/>
      <c r="E266" s="68"/>
      <c r="F266" s="68"/>
      <c r="G266" s="68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30"/>
      <c r="AO266" s="25"/>
      <c r="AP266" s="120"/>
      <c r="AQ266" s="120"/>
      <c r="AR266" s="121"/>
      <c r="AS266" s="96"/>
      <c r="AT266" s="122"/>
      <c r="AU266" s="123"/>
      <c r="AV266" s="122"/>
      <c r="AW266" s="122"/>
      <c r="AX266" s="30"/>
      <c r="AY266" s="30"/>
      <c r="AZ266" s="30"/>
      <c r="BA266" s="30"/>
      <c r="BB266" s="26"/>
      <c r="BC266" s="26"/>
      <c r="BD266" s="26"/>
      <c r="BE266" s="26"/>
      <c r="BF266" s="26"/>
    </row>
    <row r="267" spans="1:58" ht="15.75" customHeight="1">
      <c r="A267" s="67"/>
      <c r="B267" s="67"/>
      <c r="C267" s="67"/>
      <c r="D267" s="68"/>
      <c r="E267" s="68"/>
      <c r="F267" s="68"/>
      <c r="G267" s="68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30"/>
      <c r="AO267" s="25"/>
      <c r="AP267" s="120"/>
      <c r="AQ267" s="120"/>
      <c r="AR267" s="121"/>
      <c r="AS267" s="96"/>
      <c r="AT267" s="122"/>
      <c r="AU267" s="123"/>
      <c r="AV267" s="122"/>
      <c r="AW267" s="122"/>
      <c r="AX267" s="30"/>
      <c r="AY267" s="30"/>
      <c r="AZ267" s="30"/>
      <c r="BA267" s="30"/>
      <c r="BB267" s="26"/>
      <c r="BC267" s="26"/>
      <c r="BD267" s="26"/>
      <c r="BE267" s="26"/>
      <c r="BF267" s="26"/>
    </row>
    <row r="268" spans="1:58" ht="15.75" customHeight="1">
      <c r="A268" s="67"/>
      <c r="B268" s="67"/>
      <c r="C268" s="67"/>
      <c r="D268" s="68"/>
      <c r="E268" s="68"/>
      <c r="F268" s="68"/>
      <c r="G268" s="68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30"/>
      <c r="AO268" s="25"/>
      <c r="AP268" s="120"/>
      <c r="AQ268" s="120"/>
      <c r="AR268" s="121"/>
      <c r="AS268" s="96"/>
      <c r="AT268" s="122"/>
      <c r="AU268" s="123"/>
      <c r="AV268" s="122"/>
      <c r="AW268" s="122"/>
      <c r="AX268" s="30"/>
      <c r="AY268" s="30"/>
      <c r="AZ268" s="30"/>
      <c r="BA268" s="30"/>
      <c r="BB268" s="26"/>
      <c r="BC268" s="26"/>
      <c r="BD268" s="26"/>
      <c r="BE268" s="26"/>
      <c r="BF268" s="26"/>
    </row>
    <row r="269" spans="1:58" ht="15.75" customHeight="1">
      <c r="A269" s="67"/>
      <c r="B269" s="67"/>
      <c r="C269" s="67"/>
      <c r="D269" s="68"/>
      <c r="E269" s="68"/>
      <c r="F269" s="68"/>
      <c r="G269" s="68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30"/>
      <c r="AO269" s="25"/>
      <c r="AP269" s="120"/>
      <c r="AQ269" s="120"/>
      <c r="AR269" s="121"/>
      <c r="AS269" s="96"/>
      <c r="AT269" s="122"/>
      <c r="AU269" s="123"/>
      <c r="AV269" s="122"/>
      <c r="AW269" s="122"/>
      <c r="AX269" s="30"/>
      <c r="AY269" s="30"/>
      <c r="AZ269" s="30"/>
      <c r="BA269" s="30"/>
      <c r="BB269" s="26"/>
      <c r="BC269" s="26"/>
      <c r="BD269" s="26"/>
      <c r="BE269" s="26"/>
      <c r="BF269" s="26"/>
    </row>
    <row r="270" spans="1:58" ht="15.75" customHeight="1">
      <c r="A270" s="67"/>
      <c r="B270" s="67"/>
      <c r="C270" s="67"/>
      <c r="D270" s="68"/>
      <c r="E270" s="68"/>
      <c r="F270" s="68"/>
      <c r="G270" s="68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30"/>
      <c r="AO270" s="25"/>
      <c r="AP270" s="120"/>
      <c r="AQ270" s="120"/>
      <c r="AR270" s="121"/>
      <c r="AS270" s="96"/>
      <c r="AT270" s="122"/>
      <c r="AU270" s="123"/>
      <c r="AV270" s="122"/>
      <c r="AW270" s="122"/>
      <c r="AX270" s="30"/>
      <c r="AY270" s="30"/>
      <c r="AZ270" s="30"/>
      <c r="BA270" s="30"/>
      <c r="BB270" s="26"/>
      <c r="BC270" s="26"/>
      <c r="BD270" s="26"/>
      <c r="BE270" s="26"/>
      <c r="BF270" s="26"/>
    </row>
    <row r="271" spans="1:58" ht="15.75" customHeight="1">
      <c r="A271" s="67"/>
      <c r="B271" s="67"/>
      <c r="C271" s="67"/>
      <c r="D271" s="68"/>
      <c r="E271" s="68"/>
      <c r="F271" s="68"/>
      <c r="G271" s="68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30"/>
      <c r="AO271" s="25"/>
      <c r="AP271" s="120"/>
      <c r="AQ271" s="120"/>
      <c r="AR271" s="121"/>
      <c r="AS271" s="96"/>
      <c r="AT271" s="122"/>
      <c r="AU271" s="123"/>
      <c r="AV271" s="122"/>
      <c r="AW271" s="122"/>
      <c r="AX271" s="30"/>
      <c r="AY271" s="30"/>
      <c r="AZ271" s="30"/>
      <c r="BA271" s="30"/>
      <c r="BB271" s="26"/>
      <c r="BC271" s="26"/>
      <c r="BD271" s="26"/>
      <c r="BE271" s="26"/>
      <c r="BF271" s="26"/>
    </row>
    <row r="272" spans="1:58" ht="15.75" customHeight="1">
      <c r="A272" s="67"/>
      <c r="B272" s="67"/>
      <c r="C272" s="67"/>
      <c r="D272" s="68"/>
      <c r="E272" s="68"/>
      <c r="F272" s="68"/>
      <c r="G272" s="68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30"/>
      <c r="AO272" s="25"/>
      <c r="AP272" s="120"/>
      <c r="AQ272" s="120"/>
      <c r="AR272" s="121"/>
      <c r="AS272" s="96"/>
      <c r="AT272" s="122"/>
      <c r="AU272" s="123"/>
      <c r="AV272" s="122"/>
      <c r="AW272" s="122"/>
      <c r="AX272" s="30"/>
      <c r="AY272" s="30"/>
      <c r="AZ272" s="30"/>
      <c r="BA272" s="30"/>
      <c r="BB272" s="26"/>
      <c r="BC272" s="26"/>
      <c r="BD272" s="26"/>
      <c r="BE272" s="26"/>
      <c r="BF272" s="26"/>
    </row>
    <row r="273" spans="1:58" ht="15.75" customHeight="1">
      <c r="A273" s="67"/>
      <c r="B273" s="67"/>
      <c r="C273" s="67"/>
      <c r="D273" s="68"/>
      <c r="E273" s="68"/>
      <c r="F273" s="68"/>
      <c r="G273" s="68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30"/>
      <c r="AO273" s="25"/>
      <c r="AP273" s="120"/>
      <c r="AQ273" s="120"/>
      <c r="AR273" s="121"/>
      <c r="AS273" s="96"/>
      <c r="AT273" s="122"/>
      <c r="AU273" s="123"/>
      <c r="AV273" s="122"/>
      <c r="AW273" s="122"/>
      <c r="AX273" s="30"/>
      <c r="AY273" s="30"/>
      <c r="AZ273" s="30"/>
      <c r="BA273" s="30"/>
      <c r="BB273" s="26"/>
      <c r="BC273" s="26"/>
      <c r="BD273" s="26"/>
      <c r="BE273" s="26"/>
      <c r="BF273" s="26"/>
    </row>
    <row r="274" spans="1:58" ht="15.75" customHeight="1">
      <c r="A274" s="67"/>
      <c r="B274" s="67"/>
      <c r="C274" s="67"/>
      <c r="D274" s="68"/>
      <c r="E274" s="68"/>
      <c r="F274" s="68"/>
      <c r="G274" s="68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30"/>
      <c r="AO274" s="25"/>
      <c r="AP274" s="120"/>
      <c r="AQ274" s="120"/>
      <c r="AR274" s="121"/>
      <c r="AS274" s="96"/>
      <c r="AT274" s="122"/>
      <c r="AU274" s="123"/>
      <c r="AV274" s="122"/>
      <c r="AW274" s="122"/>
      <c r="AX274" s="30"/>
      <c r="AY274" s="30"/>
      <c r="AZ274" s="30"/>
      <c r="BA274" s="30"/>
      <c r="BB274" s="26"/>
      <c r="BC274" s="26"/>
      <c r="BD274" s="26"/>
      <c r="BE274" s="26"/>
      <c r="BF274" s="26"/>
    </row>
    <row r="275" spans="1:58" ht="15.75" customHeight="1">
      <c r="A275" s="67"/>
      <c r="B275" s="67"/>
      <c r="C275" s="67"/>
      <c r="D275" s="68"/>
      <c r="E275" s="68"/>
      <c r="F275" s="68"/>
      <c r="G275" s="68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30"/>
      <c r="AO275" s="25"/>
      <c r="AP275" s="120"/>
      <c r="AQ275" s="120"/>
      <c r="AR275" s="121"/>
      <c r="AS275" s="96"/>
      <c r="AT275" s="122"/>
      <c r="AU275" s="123"/>
      <c r="AV275" s="122"/>
      <c r="AW275" s="122"/>
      <c r="AX275" s="30"/>
      <c r="AY275" s="30"/>
      <c r="AZ275" s="30"/>
      <c r="BA275" s="30"/>
      <c r="BB275" s="26"/>
      <c r="BC275" s="26"/>
      <c r="BD275" s="26"/>
      <c r="BE275" s="26"/>
      <c r="BF275" s="26"/>
    </row>
    <row r="276" spans="1:58" ht="15.75" customHeight="1">
      <c r="A276" s="67"/>
      <c r="B276" s="67"/>
      <c r="C276" s="67"/>
      <c r="D276" s="68"/>
      <c r="E276" s="68"/>
      <c r="F276" s="68"/>
      <c r="G276" s="68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30"/>
      <c r="AO276" s="25"/>
      <c r="AP276" s="120"/>
      <c r="AQ276" s="120"/>
      <c r="AR276" s="121"/>
      <c r="AS276" s="96"/>
      <c r="AT276" s="122"/>
      <c r="AU276" s="123"/>
      <c r="AV276" s="122"/>
      <c r="AW276" s="122"/>
      <c r="AX276" s="30"/>
      <c r="AY276" s="30"/>
      <c r="AZ276" s="30"/>
      <c r="BA276" s="30"/>
      <c r="BB276" s="26"/>
      <c r="BC276" s="26"/>
      <c r="BD276" s="26"/>
      <c r="BE276" s="26"/>
      <c r="BF276" s="26"/>
    </row>
    <row r="277" spans="1:58" ht="15.75" customHeight="1">
      <c r="A277" s="67"/>
      <c r="B277" s="67"/>
      <c r="C277" s="67"/>
      <c r="D277" s="68"/>
      <c r="E277" s="68"/>
      <c r="F277" s="68"/>
      <c r="G277" s="68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30"/>
      <c r="AO277" s="25"/>
      <c r="AP277" s="120"/>
      <c r="AQ277" s="120"/>
      <c r="AR277" s="121"/>
      <c r="AS277" s="96"/>
      <c r="AT277" s="122"/>
      <c r="AU277" s="123"/>
      <c r="AV277" s="122"/>
      <c r="AW277" s="122"/>
      <c r="AX277" s="30"/>
      <c r="AY277" s="30"/>
      <c r="AZ277" s="30"/>
      <c r="BA277" s="30"/>
      <c r="BB277" s="26"/>
      <c r="BC277" s="26"/>
      <c r="BD277" s="26"/>
      <c r="BE277" s="26"/>
      <c r="BF277" s="26"/>
    </row>
    <row r="278" spans="1:58" ht="15.75" customHeight="1">
      <c r="A278" s="67"/>
      <c r="B278" s="67"/>
      <c r="C278" s="67"/>
      <c r="D278" s="68"/>
      <c r="E278" s="68"/>
      <c r="F278" s="68"/>
      <c r="G278" s="68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30"/>
      <c r="AO278" s="25"/>
      <c r="AP278" s="120"/>
      <c r="AQ278" s="120"/>
      <c r="AR278" s="121"/>
      <c r="AS278" s="96"/>
      <c r="AT278" s="122"/>
      <c r="AU278" s="123"/>
      <c r="AV278" s="122"/>
      <c r="AW278" s="122"/>
      <c r="AX278" s="30"/>
      <c r="AY278" s="30"/>
      <c r="AZ278" s="30"/>
      <c r="BA278" s="30"/>
      <c r="BB278" s="26"/>
      <c r="BC278" s="26"/>
      <c r="BD278" s="26"/>
      <c r="BE278" s="26"/>
      <c r="BF278" s="26"/>
    </row>
    <row r="279" spans="1:58" ht="15.75" customHeight="1">
      <c r="A279" s="67"/>
      <c r="B279" s="67"/>
      <c r="C279" s="67"/>
      <c r="D279" s="68"/>
      <c r="E279" s="68"/>
      <c r="F279" s="68"/>
      <c r="G279" s="68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30"/>
      <c r="AO279" s="25"/>
      <c r="AP279" s="120"/>
      <c r="AQ279" s="120"/>
      <c r="AR279" s="121"/>
      <c r="AS279" s="96"/>
      <c r="AT279" s="122"/>
      <c r="AU279" s="123"/>
      <c r="AV279" s="122"/>
      <c r="AW279" s="122"/>
      <c r="AX279" s="30"/>
      <c r="AY279" s="30"/>
      <c r="AZ279" s="30"/>
      <c r="BA279" s="30"/>
      <c r="BB279" s="26"/>
      <c r="BC279" s="26"/>
      <c r="BD279" s="26"/>
      <c r="BE279" s="26"/>
      <c r="BF279" s="26"/>
    </row>
    <row r="280" spans="1:58" ht="15.75" customHeight="1">
      <c r="A280" s="67"/>
      <c r="B280" s="67"/>
      <c r="C280" s="67"/>
      <c r="D280" s="68"/>
      <c r="E280" s="68"/>
      <c r="F280" s="68"/>
      <c r="G280" s="68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30"/>
      <c r="AO280" s="25"/>
      <c r="AP280" s="120"/>
      <c r="AQ280" s="120"/>
      <c r="AR280" s="121"/>
      <c r="AS280" s="96"/>
      <c r="AT280" s="122"/>
      <c r="AU280" s="123"/>
      <c r="AV280" s="122"/>
      <c r="AW280" s="122"/>
      <c r="AX280" s="30"/>
      <c r="AY280" s="30"/>
      <c r="AZ280" s="30"/>
      <c r="BA280" s="30"/>
      <c r="BB280" s="26"/>
      <c r="BC280" s="26"/>
      <c r="BD280" s="26"/>
      <c r="BE280" s="26"/>
      <c r="BF280" s="26"/>
    </row>
    <row r="281" spans="1:58" ht="15.75" customHeight="1">
      <c r="A281" s="67"/>
      <c r="B281" s="67"/>
      <c r="C281" s="67"/>
      <c r="D281" s="68"/>
      <c r="E281" s="68"/>
      <c r="F281" s="68"/>
      <c r="G281" s="68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30"/>
      <c r="AO281" s="25"/>
      <c r="AP281" s="120"/>
      <c r="AQ281" s="120"/>
      <c r="AR281" s="121"/>
      <c r="AS281" s="96"/>
      <c r="AT281" s="122"/>
      <c r="AU281" s="123"/>
      <c r="AV281" s="122"/>
      <c r="AW281" s="122"/>
      <c r="AX281" s="30"/>
      <c r="AY281" s="30"/>
      <c r="AZ281" s="30"/>
      <c r="BA281" s="30"/>
      <c r="BB281" s="26"/>
      <c r="BC281" s="26"/>
      <c r="BD281" s="26"/>
      <c r="BE281" s="26"/>
      <c r="BF281" s="26"/>
    </row>
    <row r="282" spans="1:58" ht="15.75" customHeight="1">
      <c r="A282" s="67"/>
      <c r="B282" s="67"/>
      <c r="C282" s="67"/>
      <c r="D282" s="68"/>
      <c r="E282" s="68"/>
      <c r="F282" s="68"/>
      <c r="G282" s="68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30"/>
      <c r="AO282" s="25"/>
      <c r="AP282" s="120"/>
      <c r="AQ282" s="120"/>
      <c r="AR282" s="121"/>
      <c r="AS282" s="96"/>
      <c r="AT282" s="122"/>
      <c r="AU282" s="123"/>
      <c r="AV282" s="122"/>
      <c r="AW282" s="122"/>
      <c r="AX282" s="30"/>
      <c r="AY282" s="30"/>
      <c r="AZ282" s="30"/>
      <c r="BA282" s="30"/>
      <c r="BB282" s="26"/>
      <c r="BC282" s="26"/>
      <c r="BD282" s="26"/>
      <c r="BE282" s="26"/>
      <c r="BF282" s="26"/>
    </row>
    <row r="283" spans="1:58" ht="15.75" customHeight="1">
      <c r="A283" s="67"/>
      <c r="B283" s="67"/>
      <c r="C283" s="67"/>
      <c r="D283" s="68"/>
      <c r="E283" s="68"/>
      <c r="F283" s="68"/>
      <c r="G283" s="68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30"/>
      <c r="AO283" s="25"/>
      <c r="AP283" s="120"/>
      <c r="AQ283" s="120"/>
      <c r="AR283" s="121"/>
      <c r="AS283" s="96"/>
      <c r="AT283" s="122"/>
      <c r="AU283" s="123"/>
      <c r="AV283" s="122"/>
      <c r="AW283" s="122"/>
      <c r="AX283" s="30"/>
      <c r="AY283" s="30"/>
      <c r="AZ283" s="30"/>
      <c r="BA283" s="30"/>
      <c r="BB283" s="26"/>
      <c r="BC283" s="26"/>
      <c r="BD283" s="26"/>
      <c r="BE283" s="26"/>
      <c r="BF283" s="26"/>
    </row>
    <row r="284" spans="1:58" ht="15.75" customHeight="1">
      <c r="A284" s="67"/>
      <c r="B284" s="67"/>
      <c r="C284" s="67"/>
      <c r="D284" s="68"/>
      <c r="E284" s="68"/>
      <c r="F284" s="68"/>
      <c r="G284" s="68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30"/>
      <c r="AO284" s="25"/>
      <c r="AP284" s="120"/>
      <c r="AQ284" s="120"/>
      <c r="AR284" s="121"/>
      <c r="AS284" s="96"/>
      <c r="AT284" s="122"/>
      <c r="AU284" s="123"/>
      <c r="AV284" s="122"/>
      <c r="AW284" s="122"/>
      <c r="AX284" s="30"/>
      <c r="AY284" s="30"/>
      <c r="AZ284" s="30"/>
      <c r="BA284" s="30"/>
      <c r="BB284" s="26"/>
      <c r="BC284" s="26"/>
      <c r="BD284" s="26"/>
      <c r="BE284" s="26"/>
      <c r="BF284" s="26"/>
    </row>
    <row r="285" spans="1:58" ht="15.75" customHeight="1">
      <c r="A285" s="67"/>
      <c r="B285" s="67"/>
      <c r="C285" s="67"/>
      <c r="D285" s="68"/>
      <c r="E285" s="68"/>
      <c r="F285" s="68"/>
      <c r="G285" s="68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30"/>
      <c r="AO285" s="25"/>
      <c r="AP285" s="120"/>
      <c r="AQ285" s="120"/>
      <c r="AR285" s="121"/>
      <c r="AS285" s="96"/>
      <c r="AT285" s="122"/>
      <c r="AU285" s="123"/>
      <c r="AV285" s="122"/>
      <c r="AW285" s="122"/>
      <c r="AX285" s="30"/>
      <c r="AY285" s="30"/>
      <c r="AZ285" s="30"/>
      <c r="BA285" s="30"/>
      <c r="BB285" s="26"/>
      <c r="BC285" s="26"/>
      <c r="BD285" s="26"/>
      <c r="BE285" s="26"/>
      <c r="BF285" s="26"/>
    </row>
    <row r="286" spans="1:58" ht="15.75" customHeight="1">
      <c r="A286" s="67"/>
      <c r="B286" s="67"/>
      <c r="C286" s="67"/>
      <c r="D286" s="68"/>
      <c r="E286" s="68"/>
      <c r="F286" s="68"/>
      <c r="G286" s="68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30"/>
      <c r="AO286" s="25"/>
      <c r="AP286" s="120"/>
      <c r="AQ286" s="120"/>
      <c r="AR286" s="121"/>
      <c r="AS286" s="96"/>
      <c r="AT286" s="122"/>
      <c r="AU286" s="123"/>
      <c r="AV286" s="122"/>
      <c r="AW286" s="122"/>
      <c r="AX286" s="30"/>
      <c r="AY286" s="30"/>
      <c r="AZ286" s="30"/>
      <c r="BA286" s="30"/>
      <c r="BB286" s="26"/>
      <c r="BC286" s="26"/>
      <c r="BD286" s="26"/>
      <c r="BE286" s="26"/>
      <c r="BF286" s="26"/>
    </row>
    <row r="287" spans="1:58" ht="15.75" customHeight="1">
      <c r="A287" s="67"/>
      <c r="B287" s="67"/>
      <c r="C287" s="67"/>
      <c r="D287" s="68"/>
      <c r="E287" s="68"/>
      <c r="F287" s="68"/>
      <c r="G287" s="68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30"/>
      <c r="AO287" s="25"/>
      <c r="AP287" s="120"/>
      <c r="AQ287" s="120"/>
      <c r="AR287" s="121"/>
      <c r="AS287" s="96"/>
      <c r="AT287" s="122"/>
      <c r="AU287" s="123"/>
      <c r="AV287" s="122"/>
      <c r="AW287" s="122"/>
      <c r="AX287" s="30"/>
      <c r="AY287" s="30"/>
      <c r="AZ287" s="30"/>
      <c r="BA287" s="30"/>
      <c r="BB287" s="26"/>
      <c r="BC287" s="26"/>
      <c r="BD287" s="26"/>
      <c r="BE287" s="26"/>
      <c r="BF287" s="26"/>
    </row>
    <row r="288" spans="1:58" ht="15.75" customHeight="1">
      <c r="A288" s="67"/>
      <c r="B288" s="67"/>
      <c r="C288" s="67"/>
      <c r="D288" s="68"/>
      <c r="E288" s="68"/>
      <c r="F288" s="68"/>
      <c r="G288" s="68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30"/>
      <c r="AO288" s="25"/>
      <c r="AP288" s="120"/>
      <c r="AQ288" s="120"/>
      <c r="AR288" s="121"/>
      <c r="AS288" s="96"/>
      <c r="AT288" s="122"/>
      <c r="AU288" s="123"/>
      <c r="AV288" s="122"/>
      <c r="AW288" s="122"/>
      <c r="AX288" s="30"/>
      <c r="AY288" s="30"/>
      <c r="AZ288" s="30"/>
      <c r="BA288" s="30"/>
      <c r="BB288" s="26"/>
      <c r="BC288" s="26"/>
      <c r="BD288" s="26"/>
      <c r="BE288" s="26"/>
      <c r="BF288" s="26"/>
    </row>
    <row r="289" spans="1:58" ht="15.75" customHeight="1">
      <c r="A289" s="67"/>
      <c r="B289" s="67"/>
      <c r="C289" s="67"/>
      <c r="D289" s="68"/>
      <c r="E289" s="68"/>
      <c r="F289" s="68"/>
      <c r="G289" s="68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30"/>
      <c r="AO289" s="25"/>
      <c r="AP289" s="120"/>
      <c r="AQ289" s="120"/>
      <c r="AR289" s="121"/>
      <c r="AS289" s="96"/>
      <c r="AT289" s="122"/>
      <c r="AU289" s="123"/>
      <c r="AV289" s="122"/>
      <c r="AW289" s="122"/>
      <c r="AX289" s="30"/>
      <c r="AY289" s="30"/>
      <c r="AZ289" s="30"/>
      <c r="BA289" s="30"/>
      <c r="BB289" s="26"/>
      <c r="BC289" s="26"/>
      <c r="BD289" s="26"/>
      <c r="BE289" s="26"/>
      <c r="BF289" s="26"/>
    </row>
    <row r="290" spans="1:58" ht="15.75" customHeight="1">
      <c r="A290" s="67"/>
      <c r="B290" s="67"/>
      <c r="C290" s="67"/>
      <c r="D290" s="68"/>
      <c r="E290" s="68"/>
      <c r="F290" s="68"/>
      <c r="G290" s="68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30"/>
      <c r="AO290" s="25"/>
      <c r="AP290" s="120"/>
      <c r="AQ290" s="120"/>
      <c r="AR290" s="121"/>
      <c r="AS290" s="96"/>
      <c r="AT290" s="122"/>
      <c r="AU290" s="123"/>
      <c r="AV290" s="122"/>
      <c r="AW290" s="122"/>
      <c r="AX290" s="30"/>
      <c r="AY290" s="30"/>
      <c r="AZ290" s="30"/>
      <c r="BA290" s="30"/>
      <c r="BB290" s="26"/>
      <c r="BC290" s="26"/>
      <c r="BD290" s="26"/>
      <c r="BE290" s="26"/>
      <c r="BF290" s="26"/>
    </row>
    <row r="291" spans="1:58" ht="15.75" customHeight="1">
      <c r="A291" s="67"/>
      <c r="B291" s="67"/>
      <c r="C291" s="67"/>
      <c r="D291" s="68"/>
      <c r="E291" s="68"/>
      <c r="F291" s="68"/>
      <c r="G291" s="68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30"/>
      <c r="AO291" s="25"/>
      <c r="AP291" s="120"/>
      <c r="AQ291" s="120"/>
      <c r="AR291" s="121"/>
      <c r="AS291" s="96"/>
      <c r="AT291" s="122"/>
      <c r="AU291" s="123"/>
      <c r="AV291" s="122"/>
      <c r="AW291" s="122"/>
      <c r="AX291" s="30"/>
      <c r="AY291" s="30"/>
      <c r="AZ291" s="30"/>
      <c r="BA291" s="30"/>
      <c r="BB291" s="26"/>
      <c r="BC291" s="26"/>
      <c r="BD291" s="26"/>
      <c r="BE291" s="26"/>
      <c r="BF291" s="26"/>
    </row>
    <row r="292" spans="1:58" ht="15.75" customHeight="1">
      <c r="A292" s="67"/>
      <c r="B292" s="67"/>
      <c r="C292" s="67"/>
      <c r="D292" s="68"/>
      <c r="E292" s="68"/>
      <c r="F292" s="68"/>
      <c r="G292" s="68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30"/>
      <c r="AO292" s="25"/>
      <c r="AP292" s="120"/>
      <c r="AQ292" s="120"/>
      <c r="AR292" s="121"/>
      <c r="AS292" s="96"/>
      <c r="AT292" s="122"/>
      <c r="AU292" s="123"/>
      <c r="AV292" s="122"/>
      <c r="AW292" s="122"/>
      <c r="AX292" s="30"/>
      <c r="AY292" s="30"/>
      <c r="AZ292" s="30"/>
      <c r="BA292" s="30"/>
      <c r="BB292" s="26"/>
      <c r="BC292" s="26"/>
      <c r="BD292" s="26"/>
      <c r="BE292" s="26"/>
      <c r="BF292" s="26"/>
    </row>
    <row r="293" spans="1:58" ht="15.75" customHeight="1">
      <c r="A293" s="67"/>
      <c r="B293" s="67"/>
      <c r="C293" s="67"/>
      <c r="D293" s="68"/>
      <c r="E293" s="68"/>
      <c r="F293" s="68"/>
      <c r="G293" s="68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30"/>
      <c r="AO293" s="25"/>
      <c r="AP293" s="120"/>
      <c r="AQ293" s="120"/>
      <c r="AR293" s="121"/>
      <c r="AS293" s="96"/>
      <c r="AT293" s="122"/>
      <c r="AU293" s="123"/>
      <c r="AV293" s="122"/>
      <c r="AW293" s="122"/>
      <c r="AX293" s="30"/>
      <c r="AY293" s="30"/>
      <c r="AZ293" s="30"/>
      <c r="BA293" s="30"/>
      <c r="BB293" s="26"/>
      <c r="BC293" s="26"/>
      <c r="BD293" s="26"/>
      <c r="BE293" s="26"/>
      <c r="BF293" s="26"/>
    </row>
    <row r="294" spans="1:58" ht="15.75" customHeight="1">
      <c r="A294" s="67"/>
      <c r="B294" s="67"/>
      <c r="C294" s="67"/>
      <c r="D294" s="68"/>
      <c r="E294" s="68"/>
      <c r="F294" s="68"/>
      <c r="G294" s="68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30"/>
      <c r="AO294" s="25"/>
      <c r="AP294" s="120"/>
      <c r="AQ294" s="120"/>
      <c r="AR294" s="121"/>
      <c r="AS294" s="96"/>
      <c r="AT294" s="122"/>
      <c r="AU294" s="123"/>
      <c r="AV294" s="122"/>
      <c r="AW294" s="122"/>
      <c r="AX294" s="30"/>
      <c r="AY294" s="30"/>
      <c r="AZ294" s="30"/>
      <c r="BA294" s="30"/>
      <c r="BB294" s="26"/>
      <c r="BC294" s="26"/>
      <c r="BD294" s="26"/>
      <c r="BE294" s="26"/>
      <c r="BF294" s="26"/>
    </row>
    <row r="295" spans="1:58" ht="15.75" customHeight="1">
      <c r="A295" s="67"/>
      <c r="B295" s="67"/>
      <c r="C295" s="67"/>
      <c r="D295" s="68"/>
      <c r="E295" s="68"/>
      <c r="F295" s="68"/>
      <c r="G295" s="68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30"/>
      <c r="AO295" s="25"/>
      <c r="AP295" s="120"/>
      <c r="AQ295" s="120"/>
      <c r="AR295" s="121"/>
      <c r="AS295" s="96"/>
      <c r="AT295" s="122"/>
      <c r="AU295" s="123"/>
      <c r="AV295" s="122"/>
      <c r="AW295" s="122"/>
      <c r="AX295" s="30"/>
      <c r="AY295" s="30"/>
      <c r="AZ295" s="30"/>
      <c r="BA295" s="30"/>
      <c r="BB295" s="26"/>
      <c r="BC295" s="26"/>
      <c r="BD295" s="26"/>
      <c r="BE295" s="26"/>
      <c r="BF295" s="26"/>
    </row>
    <row r="296" spans="1:58" ht="15.75" customHeight="1">
      <c r="A296" s="67"/>
      <c r="B296" s="67"/>
      <c r="C296" s="67"/>
      <c r="D296" s="68"/>
      <c r="E296" s="68"/>
      <c r="F296" s="68"/>
      <c r="G296" s="68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30"/>
      <c r="AO296" s="25"/>
      <c r="AP296" s="120"/>
      <c r="AQ296" s="120"/>
      <c r="AR296" s="121"/>
      <c r="AS296" s="96"/>
      <c r="AT296" s="122"/>
      <c r="AU296" s="123"/>
      <c r="AV296" s="122"/>
      <c r="AW296" s="122"/>
      <c r="AX296" s="30"/>
      <c r="AY296" s="30"/>
      <c r="AZ296" s="30"/>
      <c r="BA296" s="30"/>
      <c r="BB296" s="26"/>
      <c r="BC296" s="26"/>
      <c r="BD296" s="26"/>
      <c r="BE296" s="26"/>
      <c r="BF296" s="26"/>
    </row>
    <row r="297" spans="1:58" ht="15.75" customHeight="1">
      <c r="A297" s="67"/>
      <c r="B297" s="67"/>
      <c r="C297" s="67"/>
      <c r="D297" s="68"/>
      <c r="E297" s="68"/>
      <c r="F297" s="68"/>
      <c r="G297" s="68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30"/>
      <c r="AO297" s="25"/>
      <c r="AP297" s="120"/>
      <c r="AQ297" s="120"/>
      <c r="AR297" s="121"/>
      <c r="AS297" s="96"/>
      <c r="AT297" s="122"/>
      <c r="AU297" s="123"/>
      <c r="AV297" s="122"/>
      <c r="AW297" s="122"/>
      <c r="AX297" s="30"/>
      <c r="AY297" s="30"/>
      <c r="AZ297" s="30"/>
      <c r="BA297" s="30"/>
      <c r="BB297" s="26"/>
      <c r="BC297" s="26"/>
      <c r="BD297" s="26"/>
      <c r="BE297" s="26"/>
      <c r="BF297" s="26"/>
    </row>
    <row r="298" spans="1:58" ht="15.75" customHeight="1">
      <c r="A298" s="67"/>
      <c r="B298" s="67"/>
      <c r="C298" s="67"/>
      <c r="D298" s="68"/>
      <c r="E298" s="68"/>
      <c r="F298" s="68"/>
      <c r="G298" s="68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30"/>
      <c r="AO298" s="25"/>
      <c r="AP298" s="120"/>
      <c r="AQ298" s="120"/>
      <c r="AR298" s="121"/>
      <c r="AS298" s="96"/>
      <c r="AT298" s="122"/>
      <c r="AU298" s="123"/>
      <c r="AV298" s="122"/>
      <c r="AW298" s="122"/>
      <c r="AX298" s="30"/>
      <c r="AY298" s="30"/>
      <c r="AZ298" s="30"/>
      <c r="BA298" s="30"/>
      <c r="BB298" s="26"/>
      <c r="BC298" s="26"/>
      <c r="BD298" s="26"/>
      <c r="BE298" s="26"/>
      <c r="BF298" s="26"/>
    </row>
    <row r="299" spans="1:58" ht="15.75" customHeight="1">
      <c r="A299" s="67"/>
      <c r="B299" s="67"/>
      <c r="C299" s="67"/>
      <c r="D299" s="68"/>
      <c r="E299" s="68"/>
      <c r="F299" s="68"/>
      <c r="G299" s="68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30"/>
      <c r="AO299" s="25"/>
      <c r="AP299" s="120"/>
      <c r="AQ299" s="120"/>
      <c r="AR299" s="121"/>
      <c r="AS299" s="96"/>
      <c r="AT299" s="122"/>
      <c r="AU299" s="123"/>
      <c r="AV299" s="122"/>
      <c r="AW299" s="122"/>
      <c r="AX299" s="30"/>
      <c r="AY299" s="30"/>
      <c r="AZ299" s="30"/>
      <c r="BA299" s="30"/>
      <c r="BB299" s="26"/>
      <c r="BC299" s="26"/>
      <c r="BD299" s="26"/>
      <c r="BE299" s="26"/>
      <c r="BF299" s="26"/>
    </row>
    <row r="300" spans="1:58" ht="15.75" customHeight="1">
      <c r="A300" s="67"/>
      <c r="B300" s="67"/>
      <c r="C300" s="67"/>
      <c r="D300" s="68"/>
      <c r="E300" s="68"/>
      <c r="F300" s="68"/>
      <c r="G300" s="68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30"/>
      <c r="AO300" s="25"/>
      <c r="AP300" s="120"/>
      <c r="AQ300" s="120"/>
      <c r="AR300" s="121"/>
      <c r="AS300" s="96"/>
      <c r="AT300" s="122"/>
      <c r="AU300" s="123"/>
      <c r="AV300" s="122"/>
      <c r="AW300" s="122"/>
      <c r="AX300" s="30"/>
      <c r="AY300" s="30"/>
      <c r="AZ300" s="30"/>
      <c r="BA300" s="30"/>
      <c r="BB300" s="26"/>
      <c r="BC300" s="26"/>
      <c r="BD300" s="26"/>
      <c r="BE300" s="26"/>
      <c r="BF300" s="26"/>
    </row>
    <row r="301" spans="1:58" ht="15.75" customHeight="1">
      <c r="A301" s="67"/>
      <c r="B301" s="67"/>
      <c r="C301" s="67"/>
      <c r="D301" s="68"/>
      <c r="E301" s="68"/>
      <c r="F301" s="68"/>
      <c r="G301" s="68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30"/>
      <c r="AO301" s="25"/>
      <c r="AP301" s="120"/>
      <c r="AQ301" s="120"/>
      <c r="AR301" s="121"/>
      <c r="AS301" s="96"/>
      <c r="AT301" s="122"/>
      <c r="AU301" s="123"/>
      <c r="AV301" s="122"/>
      <c r="AW301" s="122"/>
      <c r="AX301" s="30"/>
      <c r="AY301" s="30"/>
      <c r="AZ301" s="30"/>
      <c r="BA301" s="30"/>
      <c r="BB301" s="26"/>
      <c r="BC301" s="26"/>
      <c r="BD301" s="26"/>
      <c r="BE301" s="26"/>
      <c r="BF301" s="26"/>
    </row>
    <row r="302" spans="1:58" ht="15.75" customHeight="1">
      <c r="A302" s="67"/>
      <c r="B302" s="67"/>
      <c r="C302" s="67"/>
      <c r="D302" s="68"/>
      <c r="E302" s="68"/>
      <c r="F302" s="68"/>
      <c r="G302" s="68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30"/>
      <c r="AO302" s="25"/>
      <c r="AP302" s="120"/>
      <c r="AQ302" s="120"/>
      <c r="AR302" s="121"/>
      <c r="AS302" s="96"/>
      <c r="AT302" s="122"/>
      <c r="AU302" s="123"/>
      <c r="AV302" s="122"/>
      <c r="AW302" s="122"/>
      <c r="AX302" s="30"/>
      <c r="AY302" s="30"/>
      <c r="AZ302" s="30"/>
      <c r="BA302" s="30"/>
      <c r="BB302" s="26"/>
      <c r="BC302" s="26"/>
      <c r="BD302" s="26"/>
      <c r="BE302" s="26"/>
      <c r="BF302" s="26"/>
    </row>
    <row r="303" spans="1:58" ht="15.75" customHeight="1">
      <c r="A303" s="67"/>
      <c r="B303" s="67"/>
      <c r="C303" s="67"/>
      <c r="D303" s="68"/>
      <c r="E303" s="68"/>
      <c r="F303" s="68"/>
      <c r="G303" s="68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30"/>
      <c r="AO303" s="25"/>
      <c r="AP303" s="120"/>
      <c r="AQ303" s="120"/>
      <c r="AR303" s="121"/>
      <c r="AS303" s="96"/>
      <c r="AT303" s="122"/>
      <c r="AU303" s="123"/>
      <c r="AV303" s="122"/>
      <c r="AW303" s="122"/>
      <c r="AX303" s="30"/>
      <c r="AY303" s="30"/>
      <c r="AZ303" s="30"/>
      <c r="BA303" s="30"/>
      <c r="BB303" s="26"/>
      <c r="BC303" s="26"/>
      <c r="BD303" s="26"/>
      <c r="BE303" s="26"/>
      <c r="BF303" s="26"/>
    </row>
    <row r="304" spans="1:58" ht="15.75" customHeight="1">
      <c r="A304" s="67"/>
      <c r="B304" s="67"/>
      <c r="C304" s="67"/>
      <c r="D304" s="68"/>
      <c r="E304" s="68"/>
      <c r="F304" s="68"/>
      <c r="G304" s="68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30"/>
      <c r="AO304" s="25"/>
      <c r="AP304" s="120"/>
      <c r="AQ304" s="120"/>
      <c r="AR304" s="121"/>
      <c r="AS304" s="96"/>
      <c r="AT304" s="122"/>
      <c r="AU304" s="123"/>
      <c r="AV304" s="122"/>
      <c r="AW304" s="122"/>
      <c r="AX304" s="30"/>
      <c r="AY304" s="30"/>
      <c r="AZ304" s="30"/>
      <c r="BA304" s="30"/>
      <c r="BB304" s="26"/>
      <c r="BC304" s="26"/>
      <c r="BD304" s="26"/>
      <c r="BE304" s="26"/>
      <c r="BF304" s="26"/>
    </row>
    <row r="305" spans="1:58" ht="15.75" customHeight="1">
      <c r="A305" s="67"/>
      <c r="B305" s="67"/>
      <c r="C305" s="67"/>
      <c r="D305" s="68"/>
      <c r="E305" s="68"/>
      <c r="F305" s="68"/>
      <c r="G305" s="68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30"/>
      <c r="AO305" s="25"/>
      <c r="AP305" s="120"/>
      <c r="AQ305" s="120"/>
      <c r="AR305" s="121"/>
      <c r="AS305" s="96"/>
      <c r="AT305" s="122"/>
      <c r="AU305" s="123"/>
      <c r="AV305" s="122"/>
      <c r="AW305" s="122"/>
      <c r="AX305" s="30"/>
      <c r="AY305" s="30"/>
      <c r="AZ305" s="30"/>
      <c r="BA305" s="30"/>
      <c r="BB305" s="26"/>
      <c r="BC305" s="26"/>
      <c r="BD305" s="26"/>
      <c r="BE305" s="26"/>
      <c r="BF305" s="26"/>
    </row>
    <row r="306" spans="1:58" ht="15.75" customHeight="1">
      <c r="A306" s="67"/>
      <c r="B306" s="67"/>
      <c r="C306" s="67"/>
      <c r="D306" s="68"/>
      <c r="E306" s="68"/>
      <c r="F306" s="68"/>
      <c r="G306" s="68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30"/>
      <c r="AO306" s="25"/>
      <c r="AP306" s="120"/>
      <c r="AQ306" s="120"/>
      <c r="AR306" s="121"/>
      <c r="AS306" s="96"/>
      <c r="AT306" s="122"/>
      <c r="AU306" s="123"/>
      <c r="AV306" s="122"/>
      <c r="AW306" s="122"/>
      <c r="AX306" s="30"/>
      <c r="AY306" s="30"/>
      <c r="AZ306" s="30"/>
      <c r="BA306" s="30"/>
      <c r="BB306" s="26"/>
      <c r="BC306" s="26"/>
      <c r="BD306" s="26"/>
      <c r="BE306" s="26"/>
      <c r="BF306" s="26"/>
    </row>
    <row r="307" spans="1:58" ht="15.75" customHeight="1">
      <c r="A307" s="67"/>
      <c r="B307" s="67"/>
      <c r="C307" s="67"/>
      <c r="D307" s="68"/>
      <c r="E307" s="68"/>
      <c r="F307" s="68"/>
      <c r="G307" s="68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30"/>
      <c r="AO307" s="25"/>
      <c r="AP307" s="120"/>
      <c r="AQ307" s="120"/>
      <c r="AR307" s="121"/>
      <c r="AS307" s="96"/>
      <c r="AT307" s="122"/>
      <c r="AU307" s="123"/>
      <c r="AV307" s="122"/>
      <c r="AW307" s="122"/>
      <c r="AX307" s="30"/>
      <c r="AY307" s="30"/>
      <c r="AZ307" s="30"/>
      <c r="BA307" s="30"/>
      <c r="BB307" s="26"/>
      <c r="BC307" s="26"/>
      <c r="BD307" s="26"/>
      <c r="BE307" s="26"/>
      <c r="BF307" s="26"/>
    </row>
    <row r="308" spans="1:58" ht="15.75" customHeight="1">
      <c r="A308" s="67"/>
      <c r="B308" s="67"/>
      <c r="C308" s="67"/>
      <c r="D308" s="68"/>
      <c r="E308" s="68"/>
      <c r="F308" s="68"/>
      <c r="G308" s="68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30"/>
      <c r="AO308" s="25"/>
      <c r="AP308" s="120"/>
      <c r="AQ308" s="120"/>
      <c r="AR308" s="121"/>
      <c r="AS308" s="96"/>
      <c r="AT308" s="122"/>
      <c r="AU308" s="123"/>
      <c r="AV308" s="122"/>
      <c r="AW308" s="122"/>
      <c r="AX308" s="30"/>
      <c r="AY308" s="30"/>
      <c r="AZ308" s="30"/>
      <c r="BA308" s="30"/>
      <c r="BB308" s="26"/>
      <c r="BC308" s="26"/>
      <c r="BD308" s="26"/>
      <c r="BE308" s="26"/>
      <c r="BF308" s="26"/>
    </row>
    <row r="309" spans="1:58" ht="15.75" customHeight="1">
      <c r="A309" s="67"/>
      <c r="B309" s="67"/>
      <c r="C309" s="67"/>
      <c r="D309" s="68"/>
      <c r="E309" s="68"/>
      <c r="F309" s="68"/>
      <c r="G309" s="68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30"/>
      <c r="AO309" s="25"/>
      <c r="AP309" s="120"/>
      <c r="AQ309" s="120"/>
      <c r="AR309" s="121"/>
      <c r="AS309" s="96"/>
      <c r="AT309" s="122"/>
      <c r="AU309" s="123"/>
      <c r="AV309" s="122"/>
      <c r="AW309" s="122"/>
      <c r="AX309" s="30"/>
      <c r="AY309" s="30"/>
      <c r="AZ309" s="30"/>
      <c r="BA309" s="30"/>
      <c r="BB309" s="26"/>
      <c r="BC309" s="26"/>
      <c r="BD309" s="26"/>
      <c r="BE309" s="26"/>
      <c r="BF309" s="26"/>
    </row>
    <row r="310" spans="1:58" ht="15.75" customHeight="1">
      <c r="A310" s="67"/>
      <c r="B310" s="67"/>
      <c r="C310" s="67"/>
      <c r="D310" s="68"/>
      <c r="E310" s="68"/>
      <c r="F310" s="68"/>
      <c r="G310" s="68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30"/>
      <c r="AO310" s="25"/>
      <c r="AP310" s="120"/>
      <c r="AQ310" s="120"/>
      <c r="AR310" s="121"/>
      <c r="AS310" s="96"/>
      <c r="AT310" s="122"/>
      <c r="AU310" s="123"/>
      <c r="AV310" s="122"/>
      <c r="AW310" s="122"/>
      <c r="AX310" s="30"/>
      <c r="AY310" s="30"/>
      <c r="AZ310" s="30"/>
      <c r="BA310" s="30"/>
      <c r="BB310" s="26"/>
      <c r="BC310" s="26"/>
      <c r="BD310" s="26"/>
      <c r="BE310" s="26"/>
      <c r="BF310" s="26"/>
    </row>
    <row r="311" spans="1:58" ht="15.75" customHeight="1">
      <c r="A311" s="67"/>
      <c r="B311" s="67"/>
      <c r="C311" s="67"/>
      <c r="D311" s="68"/>
      <c r="E311" s="68"/>
      <c r="F311" s="68"/>
      <c r="G311" s="68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30"/>
      <c r="AO311" s="25"/>
      <c r="AP311" s="120"/>
      <c r="AQ311" s="120"/>
      <c r="AR311" s="121"/>
      <c r="AS311" s="96"/>
      <c r="AT311" s="122"/>
      <c r="AU311" s="123"/>
      <c r="AV311" s="122"/>
      <c r="AW311" s="122"/>
      <c r="AX311" s="30"/>
      <c r="AY311" s="30"/>
      <c r="AZ311" s="30"/>
      <c r="BA311" s="30"/>
      <c r="BB311" s="26"/>
      <c r="BC311" s="26"/>
      <c r="BD311" s="26"/>
      <c r="BE311" s="26"/>
      <c r="BF311" s="26"/>
    </row>
    <row r="312" spans="1:58" ht="15.75" customHeight="1">
      <c r="A312" s="67"/>
      <c r="B312" s="67"/>
      <c r="C312" s="67"/>
      <c r="D312" s="68"/>
      <c r="E312" s="68"/>
      <c r="F312" s="68"/>
      <c r="G312" s="68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30"/>
      <c r="AO312" s="25"/>
      <c r="AP312" s="120"/>
      <c r="AQ312" s="120"/>
      <c r="AR312" s="121"/>
      <c r="AS312" s="96"/>
      <c r="AT312" s="122"/>
      <c r="AU312" s="123"/>
      <c r="AV312" s="122"/>
      <c r="AW312" s="122"/>
      <c r="AX312" s="30"/>
      <c r="AY312" s="30"/>
      <c r="AZ312" s="30"/>
      <c r="BA312" s="30"/>
      <c r="BB312" s="26"/>
      <c r="BC312" s="26"/>
      <c r="BD312" s="26"/>
      <c r="BE312" s="26"/>
      <c r="BF312" s="26"/>
    </row>
    <row r="313" spans="1:58" ht="15.75" customHeight="1">
      <c r="A313" s="67"/>
      <c r="B313" s="67"/>
      <c r="C313" s="67"/>
      <c r="D313" s="68"/>
      <c r="E313" s="68"/>
      <c r="F313" s="68"/>
      <c r="G313" s="68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30"/>
      <c r="AO313" s="25"/>
      <c r="AP313" s="120"/>
      <c r="AQ313" s="120"/>
      <c r="AR313" s="121"/>
      <c r="AS313" s="96"/>
      <c r="AT313" s="122"/>
      <c r="AU313" s="123"/>
      <c r="AV313" s="122"/>
      <c r="AW313" s="122"/>
      <c r="AX313" s="30"/>
      <c r="AY313" s="30"/>
      <c r="AZ313" s="30"/>
      <c r="BA313" s="30"/>
      <c r="BB313" s="26"/>
      <c r="BC313" s="26"/>
      <c r="BD313" s="26"/>
      <c r="BE313" s="26"/>
      <c r="BF313" s="26"/>
    </row>
    <row r="314" spans="1:58" ht="15.75" customHeight="1">
      <c r="A314" s="67"/>
      <c r="B314" s="67"/>
      <c r="C314" s="67"/>
      <c r="D314" s="68"/>
      <c r="E314" s="68"/>
      <c r="F314" s="68"/>
      <c r="G314" s="68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30"/>
      <c r="AO314" s="25"/>
      <c r="AP314" s="120"/>
      <c r="AQ314" s="120"/>
      <c r="AR314" s="121"/>
      <c r="AS314" s="96"/>
      <c r="AT314" s="122"/>
      <c r="AU314" s="123"/>
      <c r="AV314" s="122"/>
      <c r="AW314" s="122"/>
      <c r="AX314" s="30"/>
      <c r="AY314" s="30"/>
      <c r="AZ314" s="30"/>
      <c r="BA314" s="30"/>
      <c r="BB314" s="26"/>
      <c r="BC314" s="26"/>
      <c r="BD314" s="26"/>
      <c r="BE314" s="26"/>
      <c r="BF314" s="26"/>
    </row>
    <row r="315" spans="1:58" ht="15.75" customHeight="1">
      <c r="A315" s="67"/>
      <c r="B315" s="67"/>
      <c r="C315" s="67"/>
      <c r="D315" s="68"/>
      <c r="E315" s="68"/>
      <c r="F315" s="68"/>
      <c r="G315" s="68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30"/>
      <c r="AO315" s="25"/>
      <c r="AP315" s="120"/>
      <c r="AQ315" s="120"/>
      <c r="AR315" s="121"/>
      <c r="AS315" s="96"/>
      <c r="AT315" s="122"/>
      <c r="AU315" s="123"/>
      <c r="AV315" s="122"/>
      <c r="AW315" s="122"/>
      <c r="AX315" s="30"/>
      <c r="AY315" s="30"/>
      <c r="AZ315" s="30"/>
      <c r="BA315" s="30"/>
      <c r="BB315" s="26"/>
      <c r="BC315" s="26"/>
      <c r="BD315" s="26"/>
      <c r="BE315" s="26"/>
      <c r="BF315" s="26"/>
    </row>
    <row r="316" spans="1:58" ht="15.75" customHeight="1">
      <c r="A316" s="67"/>
      <c r="B316" s="67"/>
      <c r="C316" s="67"/>
      <c r="D316" s="68"/>
      <c r="E316" s="68"/>
      <c r="F316" s="68"/>
      <c r="G316" s="68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30"/>
      <c r="AO316" s="25"/>
      <c r="AP316" s="120"/>
      <c r="AQ316" s="120"/>
      <c r="AR316" s="121"/>
      <c r="AS316" s="96"/>
      <c r="AT316" s="122"/>
      <c r="AU316" s="123"/>
      <c r="AV316" s="122"/>
      <c r="AW316" s="122"/>
      <c r="AX316" s="30"/>
      <c r="AY316" s="30"/>
      <c r="AZ316" s="30"/>
      <c r="BA316" s="30"/>
      <c r="BB316" s="26"/>
      <c r="BC316" s="26"/>
      <c r="BD316" s="26"/>
      <c r="BE316" s="26"/>
      <c r="BF316" s="26"/>
    </row>
    <row r="317" spans="1:58" ht="15.75" customHeight="1">
      <c r="A317" s="67"/>
      <c r="B317" s="67"/>
      <c r="C317" s="67"/>
      <c r="D317" s="68"/>
      <c r="E317" s="68"/>
      <c r="F317" s="68"/>
      <c r="G317" s="68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30"/>
      <c r="AO317" s="25"/>
      <c r="AP317" s="120"/>
      <c r="AQ317" s="120"/>
      <c r="AR317" s="121"/>
      <c r="AS317" s="96"/>
      <c r="AT317" s="122"/>
      <c r="AU317" s="123"/>
      <c r="AV317" s="122"/>
      <c r="AW317" s="122"/>
      <c r="AX317" s="30"/>
      <c r="AY317" s="30"/>
      <c r="AZ317" s="30"/>
      <c r="BA317" s="30"/>
      <c r="BB317" s="26"/>
      <c r="BC317" s="26"/>
      <c r="BD317" s="26"/>
      <c r="BE317" s="26"/>
      <c r="BF317" s="26"/>
    </row>
    <row r="318" spans="1:58" ht="15.75" customHeight="1">
      <c r="A318" s="67"/>
      <c r="B318" s="67"/>
      <c r="C318" s="67"/>
      <c r="D318" s="68"/>
      <c r="E318" s="68"/>
      <c r="F318" s="68"/>
      <c r="G318" s="68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30"/>
      <c r="AO318" s="25"/>
      <c r="AP318" s="120"/>
      <c r="AQ318" s="120"/>
      <c r="AR318" s="121"/>
      <c r="AS318" s="96"/>
      <c r="AT318" s="122"/>
      <c r="AU318" s="123"/>
      <c r="AV318" s="122"/>
      <c r="AW318" s="122"/>
      <c r="AX318" s="30"/>
      <c r="AY318" s="30"/>
      <c r="AZ318" s="30"/>
      <c r="BA318" s="30"/>
      <c r="BB318" s="26"/>
      <c r="BC318" s="26"/>
      <c r="BD318" s="26"/>
      <c r="BE318" s="26"/>
      <c r="BF318" s="26"/>
    </row>
    <row r="319" spans="1:58" ht="15.75" customHeight="1">
      <c r="A319" s="67"/>
      <c r="B319" s="67"/>
      <c r="C319" s="67"/>
      <c r="D319" s="68"/>
      <c r="E319" s="68"/>
      <c r="F319" s="68"/>
      <c r="G319" s="68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30"/>
      <c r="AO319" s="25"/>
      <c r="AP319" s="120"/>
      <c r="AQ319" s="120"/>
      <c r="AR319" s="121"/>
      <c r="AS319" s="96"/>
      <c r="AT319" s="122"/>
      <c r="AU319" s="123"/>
      <c r="AV319" s="122"/>
      <c r="AW319" s="122"/>
      <c r="AX319" s="30"/>
      <c r="AY319" s="30"/>
      <c r="AZ319" s="30"/>
      <c r="BA319" s="30"/>
      <c r="BB319" s="26"/>
      <c r="BC319" s="26"/>
      <c r="BD319" s="26"/>
      <c r="BE319" s="26"/>
      <c r="BF319" s="26"/>
    </row>
    <row r="320" spans="1:58" ht="15.75" customHeight="1">
      <c r="A320" s="67"/>
      <c r="B320" s="67"/>
      <c r="C320" s="67"/>
      <c r="D320" s="68"/>
      <c r="E320" s="68"/>
      <c r="F320" s="68"/>
      <c r="G320" s="68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30"/>
      <c r="AO320" s="25"/>
      <c r="AP320" s="120"/>
      <c r="AQ320" s="120"/>
      <c r="AR320" s="121"/>
      <c r="AS320" s="96"/>
      <c r="AT320" s="122"/>
      <c r="AU320" s="123"/>
      <c r="AV320" s="122"/>
      <c r="AW320" s="122"/>
      <c r="AX320" s="30"/>
      <c r="AY320" s="30"/>
      <c r="AZ320" s="30"/>
      <c r="BA320" s="30"/>
      <c r="BB320" s="26"/>
      <c r="BC320" s="26"/>
      <c r="BD320" s="26"/>
      <c r="BE320" s="26"/>
      <c r="BF320" s="26"/>
    </row>
    <row r="321" spans="1:58" ht="15.75" customHeight="1">
      <c r="A321" s="67"/>
      <c r="B321" s="67"/>
      <c r="C321" s="67"/>
      <c r="D321" s="68"/>
      <c r="E321" s="68"/>
      <c r="F321" s="68"/>
      <c r="G321" s="68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30"/>
      <c r="AO321" s="25"/>
      <c r="AP321" s="120"/>
      <c r="AQ321" s="120"/>
      <c r="AR321" s="121"/>
      <c r="AS321" s="96"/>
      <c r="AT321" s="122"/>
      <c r="AU321" s="123"/>
      <c r="AV321" s="122"/>
      <c r="AW321" s="122"/>
      <c r="AX321" s="30"/>
      <c r="AY321" s="30"/>
      <c r="AZ321" s="30"/>
      <c r="BA321" s="30"/>
      <c r="BB321" s="26"/>
      <c r="BC321" s="26"/>
      <c r="BD321" s="26"/>
      <c r="BE321" s="26"/>
      <c r="BF321" s="26"/>
    </row>
    <row r="322" spans="1:58" ht="15.75" customHeight="1">
      <c r="A322" s="67"/>
      <c r="B322" s="67"/>
      <c r="C322" s="67"/>
      <c r="D322" s="68"/>
      <c r="E322" s="68"/>
      <c r="F322" s="68"/>
      <c r="G322" s="68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30"/>
      <c r="AO322" s="25"/>
      <c r="AP322" s="120"/>
      <c r="AQ322" s="120"/>
      <c r="AR322" s="121"/>
      <c r="AS322" s="96"/>
      <c r="AT322" s="122"/>
      <c r="AU322" s="123"/>
      <c r="AV322" s="122"/>
      <c r="AW322" s="122"/>
      <c r="AX322" s="30"/>
      <c r="AY322" s="30"/>
      <c r="AZ322" s="30"/>
      <c r="BA322" s="30"/>
      <c r="BB322" s="26"/>
      <c r="BC322" s="26"/>
      <c r="BD322" s="26"/>
      <c r="BE322" s="26"/>
      <c r="BF322" s="26"/>
    </row>
    <row r="323" spans="1:58" ht="15.75" customHeight="1">
      <c r="A323" s="67"/>
      <c r="B323" s="67"/>
      <c r="C323" s="67"/>
      <c r="D323" s="68"/>
      <c r="E323" s="68"/>
      <c r="F323" s="68"/>
      <c r="G323" s="68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30"/>
      <c r="AO323" s="25"/>
      <c r="AP323" s="120"/>
      <c r="AQ323" s="120"/>
      <c r="AR323" s="121"/>
      <c r="AS323" s="96"/>
      <c r="AT323" s="122"/>
      <c r="AU323" s="123"/>
      <c r="AV323" s="122"/>
      <c r="AW323" s="122"/>
      <c r="AX323" s="30"/>
      <c r="AY323" s="30"/>
      <c r="AZ323" s="30"/>
      <c r="BA323" s="30"/>
      <c r="BB323" s="26"/>
      <c r="BC323" s="26"/>
      <c r="BD323" s="26"/>
      <c r="BE323" s="26"/>
      <c r="BF323" s="26"/>
    </row>
    <row r="324" spans="1:58" ht="15.75" customHeight="1">
      <c r="A324" s="67"/>
      <c r="B324" s="67"/>
      <c r="C324" s="67"/>
      <c r="D324" s="68"/>
      <c r="E324" s="68"/>
      <c r="F324" s="68"/>
      <c r="G324" s="68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30"/>
      <c r="AO324" s="25"/>
      <c r="AP324" s="120"/>
      <c r="AQ324" s="120"/>
      <c r="AR324" s="121"/>
      <c r="AS324" s="96"/>
      <c r="AT324" s="122"/>
      <c r="AU324" s="123"/>
      <c r="AV324" s="122"/>
      <c r="AW324" s="122"/>
      <c r="AX324" s="30"/>
      <c r="AY324" s="30"/>
      <c r="AZ324" s="30"/>
      <c r="BA324" s="30"/>
      <c r="BB324" s="26"/>
      <c r="BC324" s="26"/>
      <c r="BD324" s="26"/>
      <c r="BE324" s="26"/>
      <c r="BF324" s="26"/>
    </row>
    <row r="325" spans="1:58" ht="15.75" customHeight="1">
      <c r="A325" s="67"/>
      <c r="B325" s="67"/>
      <c r="C325" s="67"/>
      <c r="D325" s="68"/>
      <c r="E325" s="68"/>
      <c r="F325" s="68"/>
      <c r="G325" s="68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30"/>
      <c r="AO325" s="25"/>
      <c r="AP325" s="120"/>
      <c r="AQ325" s="120"/>
      <c r="AR325" s="121"/>
      <c r="AS325" s="96"/>
      <c r="AT325" s="122"/>
      <c r="AU325" s="123"/>
      <c r="AV325" s="122"/>
      <c r="AW325" s="122"/>
      <c r="AX325" s="30"/>
      <c r="AY325" s="30"/>
      <c r="AZ325" s="30"/>
      <c r="BA325" s="30"/>
      <c r="BB325" s="26"/>
      <c r="BC325" s="26"/>
      <c r="BD325" s="26"/>
      <c r="BE325" s="26"/>
      <c r="BF325" s="26"/>
    </row>
    <row r="326" spans="1:58" ht="15.75" customHeight="1">
      <c r="A326" s="67"/>
      <c r="B326" s="67"/>
      <c r="C326" s="67"/>
      <c r="D326" s="68"/>
      <c r="E326" s="68"/>
      <c r="F326" s="68"/>
      <c r="G326" s="68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30"/>
      <c r="AO326" s="25"/>
      <c r="AP326" s="120"/>
      <c r="AQ326" s="120"/>
      <c r="AR326" s="121"/>
      <c r="AS326" s="96"/>
      <c r="AT326" s="122"/>
      <c r="AU326" s="123"/>
      <c r="AV326" s="122"/>
      <c r="AW326" s="122"/>
      <c r="AX326" s="30"/>
      <c r="AY326" s="30"/>
      <c r="AZ326" s="30"/>
      <c r="BA326" s="30"/>
      <c r="BB326" s="26"/>
      <c r="BC326" s="26"/>
      <c r="BD326" s="26"/>
      <c r="BE326" s="26"/>
      <c r="BF326" s="26"/>
    </row>
    <row r="327" spans="1:58" ht="15.75" customHeight="1">
      <c r="A327" s="67"/>
      <c r="B327" s="67"/>
      <c r="C327" s="67"/>
      <c r="D327" s="68"/>
      <c r="E327" s="68"/>
      <c r="F327" s="68"/>
      <c r="G327" s="68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30"/>
      <c r="AO327" s="25"/>
      <c r="AP327" s="120"/>
      <c r="AQ327" s="120"/>
      <c r="AR327" s="121"/>
      <c r="AS327" s="96"/>
      <c r="AT327" s="122"/>
      <c r="AU327" s="123"/>
      <c r="AV327" s="122"/>
      <c r="AW327" s="122"/>
      <c r="AX327" s="30"/>
      <c r="AY327" s="30"/>
      <c r="AZ327" s="30"/>
      <c r="BA327" s="30"/>
      <c r="BB327" s="26"/>
      <c r="BC327" s="26"/>
      <c r="BD327" s="26"/>
      <c r="BE327" s="26"/>
      <c r="BF327" s="26"/>
    </row>
    <row r="328" spans="1:58" ht="15.75" customHeight="1">
      <c r="A328" s="67"/>
      <c r="B328" s="67"/>
      <c r="C328" s="67"/>
      <c r="D328" s="68"/>
      <c r="E328" s="68"/>
      <c r="F328" s="68"/>
      <c r="G328" s="68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30"/>
      <c r="AO328" s="25"/>
      <c r="AP328" s="120"/>
      <c r="AQ328" s="120"/>
      <c r="AR328" s="121"/>
      <c r="AS328" s="96"/>
      <c r="AT328" s="122"/>
      <c r="AU328" s="123"/>
      <c r="AV328" s="122"/>
      <c r="AW328" s="122"/>
      <c r="AX328" s="30"/>
      <c r="AY328" s="30"/>
      <c r="AZ328" s="30"/>
      <c r="BA328" s="30"/>
      <c r="BB328" s="26"/>
      <c r="BC328" s="26"/>
      <c r="BD328" s="26"/>
      <c r="BE328" s="26"/>
      <c r="BF328" s="26"/>
    </row>
    <row r="329" spans="1:58" ht="15.75" customHeight="1">
      <c r="A329" s="67"/>
      <c r="B329" s="67"/>
      <c r="C329" s="67"/>
      <c r="D329" s="68"/>
      <c r="E329" s="68"/>
      <c r="F329" s="68"/>
      <c r="G329" s="68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30"/>
      <c r="AO329" s="25"/>
      <c r="AP329" s="120"/>
      <c r="AQ329" s="120"/>
      <c r="AR329" s="121"/>
      <c r="AS329" s="96"/>
      <c r="AT329" s="122"/>
      <c r="AU329" s="123"/>
      <c r="AV329" s="122"/>
      <c r="AW329" s="122"/>
      <c r="AX329" s="30"/>
      <c r="AY329" s="30"/>
      <c r="AZ329" s="30"/>
      <c r="BA329" s="30"/>
      <c r="BB329" s="26"/>
      <c r="BC329" s="26"/>
      <c r="BD329" s="26"/>
      <c r="BE329" s="26"/>
      <c r="BF329" s="26"/>
    </row>
    <row r="330" spans="1:58" ht="15.75" customHeight="1">
      <c r="A330" s="67"/>
      <c r="B330" s="67"/>
      <c r="C330" s="67"/>
      <c r="D330" s="68"/>
      <c r="E330" s="68"/>
      <c r="F330" s="68"/>
      <c r="G330" s="68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30"/>
      <c r="AO330" s="25"/>
      <c r="AP330" s="120"/>
      <c r="AQ330" s="120"/>
      <c r="AR330" s="121"/>
      <c r="AS330" s="96"/>
      <c r="AT330" s="122"/>
      <c r="AU330" s="123"/>
      <c r="AV330" s="122"/>
      <c r="AW330" s="122"/>
      <c r="AX330" s="30"/>
      <c r="AY330" s="30"/>
      <c r="AZ330" s="30"/>
      <c r="BA330" s="30"/>
      <c r="BB330" s="26"/>
      <c r="BC330" s="26"/>
      <c r="BD330" s="26"/>
      <c r="BE330" s="26"/>
      <c r="BF330" s="26"/>
    </row>
    <row r="331" spans="1:58" ht="15.75" customHeight="1">
      <c r="A331" s="67"/>
      <c r="B331" s="67"/>
      <c r="C331" s="67"/>
      <c r="D331" s="68"/>
      <c r="E331" s="68"/>
      <c r="F331" s="68"/>
      <c r="G331" s="68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30"/>
      <c r="AO331" s="25"/>
      <c r="AP331" s="120"/>
      <c r="AQ331" s="120"/>
      <c r="AR331" s="121"/>
      <c r="AS331" s="96"/>
      <c r="AT331" s="122"/>
      <c r="AU331" s="123"/>
      <c r="AV331" s="122"/>
      <c r="AW331" s="122"/>
      <c r="AX331" s="30"/>
      <c r="AY331" s="30"/>
      <c r="AZ331" s="30"/>
      <c r="BA331" s="30"/>
      <c r="BB331" s="26"/>
      <c r="BC331" s="26"/>
      <c r="BD331" s="26"/>
      <c r="BE331" s="26"/>
      <c r="BF331" s="26"/>
    </row>
    <row r="332" spans="1:58" ht="15.75" customHeight="1">
      <c r="A332" s="67"/>
      <c r="B332" s="67"/>
      <c r="C332" s="67"/>
      <c r="D332" s="68"/>
      <c r="E332" s="68"/>
      <c r="F332" s="68"/>
      <c r="G332" s="68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30"/>
      <c r="AO332" s="25"/>
      <c r="AP332" s="120"/>
      <c r="AQ332" s="120"/>
      <c r="AR332" s="121"/>
      <c r="AS332" s="96"/>
      <c r="AT332" s="122"/>
      <c r="AU332" s="123"/>
      <c r="AV332" s="122"/>
      <c r="AW332" s="122"/>
      <c r="AX332" s="30"/>
      <c r="AY332" s="30"/>
      <c r="AZ332" s="30"/>
      <c r="BA332" s="30"/>
      <c r="BB332" s="26"/>
      <c r="BC332" s="26"/>
      <c r="BD332" s="26"/>
      <c r="BE332" s="26"/>
      <c r="BF332" s="26"/>
    </row>
    <row r="333" spans="1:58" ht="15.75" customHeight="1">
      <c r="A333" s="67"/>
      <c r="B333" s="67"/>
      <c r="C333" s="67"/>
      <c r="D333" s="68"/>
      <c r="E333" s="68"/>
      <c r="F333" s="68"/>
      <c r="G333" s="68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30"/>
      <c r="AO333" s="25"/>
      <c r="AP333" s="120"/>
      <c r="AQ333" s="120"/>
      <c r="AR333" s="121"/>
      <c r="AS333" s="96"/>
      <c r="AT333" s="122"/>
      <c r="AU333" s="123"/>
      <c r="AV333" s="122"/>
      <c r="AW333" s="122"/>
      <c r="AX333" s="30"/>
      <c r="AY333" s="30"/>
      <c r="AZ333" s="30"/>
      <c r="BA333" s="30"/>
      <c r="BB333" s="26"/>
      <c r="BC333" s="26"/>
      <c r="BD333" s="26"/>
      <c r="BE333" s="26"/>
      <c r="BF333" s="26"/>
    </row>
    <row r="334" spans="1:58" ht="15.75" customHeight="1">
      <c r="A334" s="67"/>
      <c r="B334" s="67"/>
      <c r="C334" s="67"/>
      <c r="D334" s="68"/>
      <c r="E334" s="68"/>
      <c r="F334" s="68"/>
      <c r="G334" s="68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30"/>
      <c r="AO334" s="25"/>
      <c r="AP334" s="120"/>
      <c r="AQ334" s="120"/>
      <c r="AR334" s="121"/>
      <c r="AS334" s="96"/>
      <c r="AT334" s="122"/>
      <c r="AU334" s="123"/>
      <c r="AV334" s="122"/>
      <c r="AW334" s="122"/>
      <c r="AX334" s="30"/>
      <c r="AY334" s="30"/>
      <c r="AZ334" s="30"/>
      <c r="BA334" s="30"/>
      <c r="BB334" s="26"/>
      <c r="BC334" s="26"/>
      <c r="BD334" s="26"/>
      <c r="BE334" s="26"/>
      <c r="BF334" s="26"/>
    </row>
    <row r="335" spans="1:58" ht="15.75" customHeight="1">
      <c r="A335" s="67"/>
      <c r="B335" s="67"/>
      <c r="C335" s="67"/>
      <c r="D335" s="68"/>
      <c r="E335" s="68"/>
      <c r="F335" s="68"/>
      <c r="G335" s="68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30"/>
      <c r="AO335" s="25"/>
      <c r="AP335" s="120"/>
      <c r="AQ335" s="120"/>
      <c r="AR335" s="121"/>
      <c r="AS335" s="96"/>
      <c r="AT335" s="122"/>
      <c r="AU335" s="123"/>
      <c r="AV335" s="122"/>
      <c r="AW335" s="122"/>
      <c r="AX335" s="30"/>
      <c r="AY335" s="30"/>
      <c r="AZ335" s="30"/>
      <c r="BA335" s="30"/>
      <c r="BB335" s="26"/>
      <c r="BC335" s="26"/>
      <c r="BD335" s="26"/>
      <c r="BE335" s="26"/>
      <c r="BF335" s="26"/>
    </row>
    <row r="336" spans="1:58" ht="15.75" customHeight="1">
      <c r="A336" s="67"/>
      <c r="B336" s="67"/>
      <c r="C336" s="67"/>
      <c r="D336" s="68"/>
      <c r="E336" s="68"/>
      <c r="F336" s="68"/>
      <c r="G336" s="68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30"/>
      <c r="AO336" s="25"/>
      <c r="AP336" s="120"/>
      <c r="AQ336" s="120"/>
      <c r="AR336" s="121"/>
      <c r="AS336" s="96"/>
      <c r="AT336" s="122"/>
      <c r="AU336" s="123"/>
      <c r="AV336" s="122"/>
      <c r="AW336" s="122"/>
      <c r="AX336" s="30"/>
      <c r="AY336" s="30"/>
      <c r="AZ336" s="30"/>
      <c r="BA336" s="30"/>
      <c r="BB336" s="26"/>
      <c r="BC336" s="26"/>
      <c r="BD336" s="26"/>
      <c r="BE336" s="26"/>
      <c r="BF336" s="26"/>
    </row>
    <row r="337" spans="1:58" ht="15.75" customHeight="1">
      <c r="A337" s="67"/>
      <c r="B337" s="67"/>
      <c r="C337" s="67"/>
      <c r="D337" s="68"/>
      <c r="E337" s="68"/>
      <c r="F337" s="68"/>
      <c r="G337" s="68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30"/>
      <c r="AO337" s="25"/>
      <c r="AP337" s="120"/>
      <c r="AQ337" s="120"/>
      <c r="AR337" s="121"/>
      <c r="AS337" s="96"/>
      <c r="AT337" s="122"/>
      <c r="AU337" s="123"/>
      <c r="AV337" s="122"/>
      <c r="AW337" s="122"/>
      <c r="AX337" s="30"/>
      <c r="AY337" s="30"/>
      <c r="AZ337" s="30"/>
      <c r="BA337" s="30"/>
      <c r="BB337" s="26"/>
      <c r="BC337" s="26"/>
      <c r="BD337" s="26"/>
      <c r="BE337" s="26"/>
      <c r="BF337" s="26"/>
    </row>
    <row r="338" spans="1:58" ht="15.75" customHeight="1">
      <c r="A338" s="67"/>
      <c r="B338" s="67"/>
      <c r="C338" s="67"/>
      <c r="D338" s="68"/>
      <c r="E338" s="68"/>
      <c r="F338" s="68"/>
      <c r="G338" s="68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30"/>
      <c r="AO338" s="25"/>
      <c r="AP338" s="120"/>
      <c r="AQ338" s="120"/>
      <c r="AR338" s="121"/>
      <c r="AS338" s="96"/>
      <c r="AT338" s="122"/>
      <c r="AU338" s="123"/>
      <c r="AV338" s="122"/>
      <c r="AW338" s="122"/>
      <c r="AX338" s="30"/>
      <c r="AY338" s="30"/>
      <c r="AZ338" s="30"/>
      <c r="BA338" s="30"/>
      <c r="BB338" s="26"/>
      <c r="BC338" s="26"/>
      <c r="BD338" s="26"/>
      <c r="BE338" s="26"/>
      <c r="BF338" s="26"/>
    </row>
    <row r="339" spans="1:58" ht="15.75" customHeight="1">
      <c r="A339" s="67"/>
      <c r="B339" s="67"/>
      <c r="C339" s="67"/>
      <c r="D339" s="68"/>
      <c r="E339" s="68"/>
      <c r="F339" s="68"/>
      <c r="G339" s="68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30"/>
      <c r="AO339" s="25"/>
      <c r="AP339" s="120"/>
      <c r="AQ339" s="120"/>
      <c r="AR339" s="121"/>
      <c r="AS339" s="96"/>
      <c r="AT339" s="122"/>
      <c r="AU339" s="123"/>
      <c r="AV339" s="122"/>
      <c r="AW339" s="122"/>
      <c r="AX339" s="30"/>
      <c r="AY339" s="30"/>
      <c r="AZ339" s="30"/>
      <c r="BA339" s="30"/>
      <c r="BB339" s="26"/>
      <c r="BC339" s="26"/>
      <c r="BD339" s="26"/>
      <c r="BE339" s="26"/>
      <c r="BF339" s="26"/>
    </row>
    <row r="340" spans="1:58" ht="15.75" customHeight="1">
      <c r="A340" s="67"/>
      <c r="B340" s="67"/>
      <c r="C340" s="67"/>
      <c r="D340" s="68"/>
      <c r="E340" s="68"/>
      <c r="F340" s="68"/>
      <c r="G340" s="68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30"/>
      <c r="AO340" s="25"/>
      <c r="AP340" s="120"/>
      <c r="AQ340" s="120"/>
      <c r="AR340" s="121"/>
      <c r="AS340" s="96"/>
      <c r="AT340" s="122"/>
      <c r="AU340" s="123"/>
      <c r="AV340" s="122"/>
      <c r="AW340" s="122"/>
      <c r="AX340" s="30"/>
      <c r="AY340" s="30"/>
      <c r="AZ340" s="30"/>
      <c r="BA340" s="30"/>
      <c r="BB340" s="26"/>
      <c r="BC340" s="26"/>
      <c r="BD340" s="26"/>
      <c r="BE340" s="26"/>
      <c r="BF340" s="26"/>
    </row>
    <row r="341" spans="1:58" ht="15.75" customHeight="1">
      <c r="A341" s="67"/>
      <c r="B341" s="67"/>
      <c r="C341" s="67"/>
      <c r="D341" s="68"/>
      <c r="E341" s="68"/>
      <c r="F341" s="68"/>
      <c r="G341" s="68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30"/>
      <c r="AO341" s="25"/>
      <c r="AP341" s="120"/>
      <c r="AQ341" s="120"/>
      <c r="AR341" s="121"/>
      <c r="AS341" s="96"/>
      <c r="AT341" s="122"/>
      <c r="AU341" s="123"/>
      <c r="AV341" s="122"/>
      <c r="AW341" s="122"/>
      <c r="AX341" s="30"/>
      <c r="AY341" s="30"/>
      <c r="AZ341" s="30"/>
      <c r="BA341" s="30"/>
      <c r="BB341" s="26"/>
      <c r="BC341" s="26"/>
      <c r="BD341" s="26"/>
      <c r="BE341" s="26"/>
      <c r="BF341" s="26"/>
    </row>
    <row r="342" spans="1:58" ht="15.75" customHeight="1">
      <c r="A342" s="67"/>
      <c r="B342" s="67"/>
      <c r="C342" s="67"/>
      <c r="D342" s="68"/>
      <c r="E342" s="68"/>
      <c r="F342" s="68"/>
      <c r="G342" s="68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30"/>
      <c r="AO342" s="25"/>
      <c r="AP342" s="120"/>
      <c r="AQ342" s="120"/>
      <c r="AR342" s="121"/>
      <c r="AS342" s="96"/>
      <c r="AT342" s="122"/>
      <c r="AU342" s="123"/>
      <c r="AV342" s="122"/>
      <c r="AW342" s="122"/>
      <c r="AX342" s="30"/>
      <c r="AY342" s="30"/>
      <c r="AZ342" s="30"/>
      <c r="BA342" s="30"/>
      <c r="BB342" s="26"/>
      <c r="BC342" s="26"/>
      <c r="BD342" s="26"/>
      <c r="BE342" s="26"/>
      <c r="BF342" s="26"/>
    </row>
    <row r="343" spans="1:58" ht="15.75" customHeight="1">
      <c r="A343" s="67"/>
      <c r="B343" s="67"/>
      <c r="C343" s="67"/>
      <c r="D343" s="68"/>
      <c r="E343" s="68"/>
      <c r="F343" s="68"/>
      <c r="G343" s="68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30"/>
      <c r="AO343" s="25"/>
      <c r="AP343" s="120"/>
      <c r="AQ343" s="120"/>
      <c r="AR343" s="121"/>
      <c r="AS343" s="96"/>
      <c r="AT343" s="122"/>
      <c r="AU343" s="123"/>
      <c r="AV343" s="122"/>
      <c r="AW343" s="122"/>
      <c r="AX343" s="30"/>
      <c r="AY343" s="30"/>
      <c r="AZ343" s="30"/>
      <c r="BA343" s="30"/>
      <c r="BB343" s="26"/>
      <c r="BC343" s="26"/>
      <c r="BD343" s="26"/>
      <c r="BE343" s="26"/>
      <c r="BF343" s="26"/>
    </row>
    <row r="344" spans="1:58" ht="15.75" customHeight="1">
      <c r="A344" s="67"/>
      <c r="B344" s="67"/>
      <c r="C344" s="67"/>
      <c r="D344" s="68"/>
      <c r="E344" s="68"/>
      <c r="F344" s="68"/>
      <c r="G344" s="68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30"/>
      <c r="AO344" s="25"/>
      <c r="AP344" s="120"/>
      <c r="AQ344" s="120"/>
      <c r="AR344" s="121"/>
      <c r="AS344" s="96"/>
      <c r="AT344" s="122"/>
      <c r="AU344" s="123"/>
      <c r="AV344" s="122"/>
      <c r="AW344" s="122"/>
      <c r="AX344" s="30"/>
      <c r="AY344" s="30"/>
      <c r="AZ344" s="30"/>
      <c r="BA344" s="30"/>
      <c r="BB344" s="26"/>
      <c r="BC344" s="26"/>
      <c r="BD344" s="26"/>
      <c r="BE344" s="26"/>
      <c r="BF344" s="26"/>
    </row>
    <row r="345" spans="1:58" ht="15.75" customHeight="1">
      <c r="A345" s="67"/>
      <c r="B345" s="67"/>
      <c r="C345" s="67"/>
      <c r="D345" s="68"/>
      <c r="E345" s="68"/>
      <c r="F345" s="68"/>
      <c r="G345" s="68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30"/>
      <c r="AO345" s="25"/>
      <c r="AP345" s="120"/>
      <c r="AQ345" s="120"/>
      <c r="AR345" s="121"/>
      <c r="AS345" s="96"/>
      <c r="AT345" s="122"/>
      <c r="AU345" s="123"/>
      <c r="AV345" s="122"/>
      <c r="AW345" s="122"/>
      <c r="AX345" s="30"/>
      <c r="AY345" s="30"/>
      <c r="AZ345" s="30"/>
      <c r="BA345" s="30"/>
      <c r="BB345" s="26"/>
      <c r="BC345" s="26"/>
      <c r="BD345" s="26"/>
      <c r="BE345" s="26"/>
      <c r="BF345" s="26"/>
    </row>
    <row r="346" spans="1:58" ht="15.75" customHeight="1">
      <c r="A346" s="67"/>
      <c r="B346" s="67"/>
      <c r="C346" s="67"/>
      <c r="D346" s="68"/>
      <c r="E346" s="68"/>
      <c r="F346" s="68"/>
      <c r="G346" s="68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30"/>
      <c r="AO346" s="25"/>
      <c r="AP346" s="120"/>
      <c r="AQ346" s="120"/>
      <c r="AR346" s="121"/>
      <c r="AS346" s="96"/>
      <c r="AT346" s="122"/>
      <c r="AU346" s="123"/>
      <c r="AV346" s="122"/>
      <c r="AW346" s="122"/>
      <c r="AX346" s="30"/>
      <c r="AY346" s="30"/>
      <c r="AZ346" s="30"/>
      <c r="BA346" s="30"/>
      <c r="BB346" s="26"/>
      <c r="BC346" s="26"/>
      <c r="BD346" s="26"/>
      <c r="BE346" s="26"/>
      <c r="BF346" s="26"/>
    </row>
    <row r="347" spans="1:58" ht="15.75" customHeight="1">
      <c r="A347" s="67"/>
      <c r="B347" s="67"/>
      <c r="C347" s="67"/>
      <c r="D347" s="68"/>
      <c r="E347" s="68"/>
      <c r="F347" s="68"/>
      <c r="G347" s="68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30"/>
      <c r="AO347" s="25"/>
      <c r="AP347" s="120"/>
      <c r="AQ347" s="120"/>
      <c r="AR347" s="121"/>
      <c r="AS347" s="96"/>
      <c r="AT347" s="122"/>
      <c r="AU347" s="123"/>
      <c r="AV347" s="122"/>
      <c r="AW347" s="122"/>
      <c r="AX347" s="30"/>
      <c r="AY347" s="30"/>
      <c r="AZ347" s="30"/>
      <c r="BA347" s="30"/>
      <c r="BB347" s="26"/>
      <c r="BC347" s="26"/>
      <c r="BD347" s="26"/>
      <c r="BE347" s="26"/>
      <c r="BF347" s="26"/>
    </row>
    <row r="348" spans="1:58" ht="15.75" customHeight="1">
      <c r="A348" s="67"/>
      <c r="B348" s="67"/>
      <c r="C348" s="67"/>
      <c r="D348" s="68"/>
      <c r="E348" s="68"/>
      <c r="F348" s="68"/>
      <c r="G348" s="68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30"/>
      <c r="AO348" s="25"/>
      <c r="AP348" s="120"/>
      <c r="AQ348" s="120"/>
      <c r="AR348" s="121"/>
      <c r="AS348" s="96"/>
      <c r="AT348" s="122"/>
      <c r="AU348" s="123"/>
      <c r="AV348" s="122"/>
      <c r="AW348" s="122"/>
      <c r="AX348" s="30"/>
      <c r="AY348" s="30"/>
      <c r="AZ348" s="30"/>
      <c r="BA348" s="30"/>
      <c r="BB348" s="26"/>
      <c r="BC348" s="26"/>
      <c r="BD348" s="26"/>
      <c r="BE348" s="26"/>
      <c r="BF348" s="26"/>
    </row>
    <row r="349" spans="1:58" ht="15.75" customHeight="1">
      <c r="A349" s="67"/>
      <c r="B349" s="67"/>
      <c r="C349" s="67"/>
      <c r="D349" s="68"/>
      <c r="E349" s="68"/>
      <c r="F349" s="68"/>
      <c r="G349" s="68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30"/>
      <c r="AO349" s="25"/>
      <c r="AP349" s="120"/>
      <c r="AQ349" s="120"/>
      <c r="AR349" s="121"/>
      <c r="AS349" s="96"/>
      <c r="AT349" s="122"/>
      <c r="AU349" s="123"/>
      <c r="AV349" s="122"/>
      <c r="AW349" s="122"/>
      <c r="AX349" s="30"/>
      <c r="AY349" s="30"/>
      <c r="AZ349" s="30"/>
      <c r="BA349" s="30"/>
      <c r="BB349" s="26"/>
      <c r="BC349" s="26"/>
      <c r="BD349" s="26"/>
      <c r="BE349" s="26"/>
      <c r="BF349" s="26"/>
    </row>
    <row r="350" spans="1:58" ht="15.75" customHeight="1">
      <c r="A350" s="67"/>
      <c r="B350" s="67"/>
      <c r="C350" s="67"/>
      <c r="D350" s="68"/>
      <c r="E350" s="68"/>
      <c r="F350" s="68"/>
      <c r="G350" s="68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30"/>
      <c r="AO350" s="25"/>
      <c r="AP350" s="120"/>
      <c r="AQ350" s="120"/>
      <c r="AR350" s="121"/>
      <c r="AS350" s="96"/>
      <c r="AT350" s="122"/>
      <c r="AU350" s="123"/>
      <c r="AV350" s="122"/>
      <c r="AW350" s="122"/>
      <c r="AX350" s="30"/>
      <c r="AY350" s="30"/>
      <c r="AZ350" s="30"/>
      <c r="BA350" s="30"/>
      <c r="BB350" s="26"/>
      <c r="BC350" s="26"/>
      <c r="BD350" s="26"/>
      <c r="BE350" s="26"/>
      <c r="BF350" s="26"/>
    </row>
    <row r="351" spans="1:58" ht="15.75" customHeight="1">
      <c r="A351" s="67"/>
      <c r="B351" s="67"/>
      <c r="C351" s="67"/>
      <c r="D351" s="68"/>
      <c r="E351" s="68"/>
      <c r="F351" s="68"/>
      <c r="G351" s="68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30"/>
      <c r="AO351" s="25"/>
      <c r="AP351" s="120"/>
      <c r="AQ351" s="120"/>
      <c r="AR351" s="121"/>
      <c r="AS351" s="96"/>
      <c r="AT351" s="122"/>
      <c r="AU351" s="123"/>
      <c r="AV351" s="122"/>
      <c r="AW351" s="122"/>
      <c r="AX351" s="30"/>
      <c r="AY351" s="30"/>
      <c r="AZ351" s="30"/>
      <c r="BA351" s="30"/>
      <c r="BB351" s="26"/>
      <c r="BC351" s="26"/>
      <c r="BD351" s="26"/>
      <c r="BE351" s="26"/>
      <c r="BF351" s="26"/>
    </row>
    <row r="352" spans="1:58" ht="15.75" customHeight="1">
      <c r="A352" s="67"/>
      <c r="B352" s="67"/>
      <c r="C352" s="67"/>
      <c r="D352" s="68"/>
      <c r="E352" s="68"/>
      <c r="F352" s="68"/>
      <c r="G352" s="68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30"/>
      <c r="AO352" s="25"/>
      <c r="AP352" s="120"/>
      <c r="AQ352" s="120"/>
      <c r="AR352" s="121"/>
      <c r="AS352" s="96"/>
      <c r="AT352" s="122"/>
      <c r="AU352" s="123"/>
      <c r="AV352" s="122"/>
      <c r="AW352" s="122"/>
      <c r="AX352" s="30"/>
      <c r="AY352" s="30"/>
      <c r="AZ352" s="30"/>
      <c r="BA352" s="30"/>
      <c r="BB352" s="26"/>
      <c r="BC352" s="26"/>
      <c r="BD352" s="26"/>
      <c r="BE352" s="26"/>
      <c r="BF352" s="26"/>
    </row>
    <row r="353" spans="1:58" ht="15.75" customHeight="1">
      <c r="A353" s="67"/>
      <c r="B353" s="67"/>
      <c r="C353" s="67"/>
      <c r="D353" s="68"/>
      <c r="E353" s="68"/>
      <c r="F353" s="68"/>
      <c r="G353" s="68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30"/>
      <c r="AO353" s="25"/>
      <c r="AP353" s="120"/>
      <c r="AQ353" s="120"/>
      <c r="AR353" s="121"/>
      <c r="AS353" s="96"/>
      <c r="AT353" s="122"/>
      <c r="AU353" s="123"/>
      <c r="AV353" s="122"/>
      <c r="AW353" s="122"/>
      <c r="AX353" s="30"/>
      <c r="AY353" s="30"/>
      <c r="AZ353" s="30"/>
      <c r="BA353" s="30"/>
      <c r="BB353" s="26"/>
      <c r="BC353" s="26"/>
      <c r="BD353" s="26"/>
      <c r="BE353" s="26"/>
      <c r="BF353" s="26"/>
    </row>
    <row r="354" spans="1:58" ht="15.75" customHeight="1">
      <c r="A354" s="67"/>
      <c r="B354" s="67"/>
      <c r="C354" s="67"/>
      <c r="D354" s="68"/>
      <c r="E354" s="68"/>
      <c r="F354" s="68"/>
      <c r="G354" s="68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30"/>
      <c r="AO354" s="25"/>
      <c r="AP354" s="120"/>
      <c r="AQ354" s="120"/>
      <c r="AR354" s="121"/>
      <c r="AS354" s="96"/>
      <c r="AT354" s="122"/>
      <c r="AU354" s="123"/>
      <c r="AV354" s="122"/>
      <c r="AW354" s="122"/>
      <c r="AX354" s="30"/>
      <c r="AY354" s="30"/>
      <c r="AZ354" s="30"/>
      <c r="BA354" s="30"/>
      <c r="BB354" s="26"/>
      <c r="BC354" s="26"/>
      <c r="BD354" s="26"/>
      <c r="BE354" s="26"/>
      <c r="BF354" s="26"/>
    </row>
    <row r="355" spans="1:58" ht="15.75" customHeight="1">
      <c r="A355" s="67"/>
      <c r="B355" s="67"/>
      <c r="C355" s="67"/>
      <c r="D355" s="68"/>
      <c r="E355" s="68"/>
      <c r="F355" s="68"/>
      <c r="G355" s="68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30"/>
      <c r="AO355" s="25"/>
      <c r="AP355" s="120"/>
      <c r="AQ355" s="120"/>
      <c r="AR355" s="121"/>
      <c r="AS355" s="96"/>
      <c r="AT355" s="122"/>
      <c r="AU355" s="123"/>
      <c r="AV355" s="122"/>
      <c r="AW355" s="122"/>
      <c r="AX355" s="30"/>
      <c r="AY355" s="30"/>
      <c r="AZ355" s="30"/>
      <c r="BA355" s="30"/>
      <c r="BB355" s="26"/>
      <c r="BC355" s="26"/>
      <c r="BD355" s="26"/>
      <c r="BE355" s="26"/>
      <c r="BF355" s="26"/>
    </row>
    <row r="356" spans="1:58" ht="15.75" customHeight="1">
      <c r="A356" s="67"/>
      <c r="B356" s="67"/>
      <c r="C356" s="67"/>
      <c r="D356" s="68"/>
      <c r="E356" s="68"/>
      <c r="F356" s="68"/>
      <c r="G356" s="68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30"/>
      <c r="AO356" s="25"/>
      <c r="AP356" s="120"/>
      <c r="AQ356" s="120"/>
      <c r="AR356" s="121"/>
      <c r="AS356" s="96"/>
      <c r="AT356" s="122"/>
      <c r="AU356" s="123"/>
      <c r="AV356" s="122"/>
      <c r="AW356" s="122"/>
      <c r="AX356" s="30"/>
      <c r="AY356" s="30"/>
      <c r="AZ356" s="30"/>
      <c r="BA356" s="30"/>
      <c r="BB356" s="26"/>
      <c r="BC356" s="26"/>
      <c r="BD356" s="26"/>
      <c r="BE356" s="26"/>
      <c r="BF356" s="26"/>
    </row>
    <row r="357" spans="1:58" ht="15.75" customHeight="1">
      <c r="A357" s="67"/>
      <c r="B357" s="67"/>
      <c r="C357" s="67"/>
      <c r="D357" s="68"/>
      <c r="E357" s="68"/>
      <c r="F357" s="68"/>
      <c r="G357" s="68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30"/>
      <c r="AO357" s="25"/>
      <c r="AP357" s="120"/>
      <c r="AQ357" s="120"/>
      <c r="AR357" s="121"/>
      <c r="AS357" s="96"/>
      <c r="AT357" s="122"/>
      <c r="AU357" s="123"/>
      <c r="AV357" s="122"/>
      <c r="AW357" s="122"/>
      <c r="AX357" s="30"/>
      <c r="AY357" s="30"/>
      <c r="AZ357" s="30"/>
      <c r="BA357" s="30"/>
      <c r="BB357" s="26"/>
      <c r="BC357" s="26"/>
      <c r="BD357" s="26"/>
      <c r="BE357" s="26"/>
      <c r="BF357" s="26"/>
    </row>
    <row r="358" spans="1:58" ht="15.75" customHeight="1">
      <c r="A358" s="67"/>
      <c r="B358" s="67"/>
      <c r="C358" s="67"/>
      <c r="D358" s="68"/>
      <c r="E358" s="68"/>
      <c r="F358" s="68"/>
      <c r="G358" s="68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30"/>
      <c r="AO358" s="25"/>
      <c r="AP358" s="120"/>
      <c r="AQ358" s="120"/>
      <c r="AR358" s="121"/>
      <c r="AS358" s="96"/>
      <c r="AT358" s="122"/>
      <c r="AU358" s="123"/>
      <c r="AV358" s="122"/>
      <c r="AW358" s="122"/>
      <c r="AX358" s="30"/>
      <c r="AY358" s="30"/>
      <c r="AZ358" s="30"/>
      <c r="BA358" s="30"/>
      <c r="BB358" s="26"/>
      <c r="BC358" s="26"/>
      <c r="BD358" s="26"/>
      <c r="BE358" s="26"/>
      <c r="BF358" s="26"/>
    </row>
    <row r="359" spans="1:58" ht="15.75" customHeight="1">
      <c r="A359" s="67"/>
      <c r="B359" s="67"/>
      <c r="C359" s="67"/>
      <c r="D359" s="68"/>
      <c r="E359" s="68"/>
      <c r="F359" s="68"/>
      <c r="G359" s="68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30"/>
      <c r="AO359" s="25"/>
      <c r="AP359" s="120"/>
      <c r="AQ359" s="120"/>
      <c r="AR359" s="121"/>
      <c r="AS359" s="96"/>
      <c r="AT359" s="122"/>
      <c r="AU359" s="123"/>
      <c r="AV359" s="122"/>
      <c r="AW359" s="122"/>
      <c r="AX359" s="30"/>
      <c r="AY359" s="30"/>
      <c r="AZ359" s="30"/>
      <c r="BA359" s="30"/>
      <c r="BB359" s="26"/>
      <c r="BC359" s="26"/>
      <c r="BD359" s="26"/>
      <c r="BE359" s="26"/>
      <c r="BF359" s="26"/>
    </row>
    <row r="360" spans="1:58" ht="15.75" customHeight="1">
      <c r="A360" s="67"/>
      <c r="B360" s="67"/>
      <c r="C360" s="67"/>
      <c r="D360" s="68"/>
      <c r="E360" s="68"/>
      <c r="F360" s="68"/>
      <c r="G360" s="68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30"/>
      <c r="AO360" s="25"/>
      <c r="AP360" s="120"/>
      <c r="AQ360" s="120"/>
      <c r="AR360" s="121"/>
      <c r="AS360" s="96"/>
      <c r="AT360" s="122"/>
      <c r="AU360" s="123"/>
      <c r="AV360" s="122"/>
      <c r="AW360" s="122"/>
      <c r="AX360" s="30"/>
      <c r="AY360" s="30"/>
      <c r="AZ360" s="30"/>
      <c r="BA360" s="30"/>
      <c r="BB360" s="26"/>
      <c r="BC360" s="26"/>
      <c r="BD360" s="26"/>
      <c r="BE360" s="26"/>
      <c r="BF360" s="26"/>
    </row>
    <row r="361" spans="1:58" ht="15.75" customHeight="1">
      <c r="A361" s="67"/>
      <c r="B361" s="67"/>
      <c r="C361" s="67"/>
      <c r="D361" s="68"/>
      <c r="E361" s="68"/>
      <c r="F361" s="68"/>
      <c r="G361" s="68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30"/>
      <c r="AO361" s="25"/>
      <c r="AP361" s="120"/>
      <c r="AQ361" s="120"/>
      <c r="AR361" s="121"/>
      <c r="AS361" s="96"/>
      <c r="AT361" s="122"/>
      <c r="AU361" s="123"/>
      <c r="AV361" s="122"/>
      <c r="AW361" s="122"/>
      <c r="AX361" s="30"/>
      <c r="AY361" s="30"/>
      <c r="AZ361" s="30"/>
      <c r="BA361" s="30"/>
      <c r="BB361" s="26"/>
      <c r="BC361" s="26"/>
      <c r="BD361" s="26"/>
      <c r="BE361" s="26"/>
      <c r="BF361" s="26"/>
    </row>
    <row r="362" spans="1:58" ht="15.75" customHeight="1">
      <c r="A362" s="67"/>
      <c r="B362" s="67"/>
      <c r="C362" s="67"/>
      <c r="D362" s="68"/>
      <c r="E362" s="68"/>
      <c r="F362" s="68"/>
      <c r="G362" s="68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30"/>
      <c r="AO362" s="25"/>
      <c r="AP362" s="120"/>
      <c r="AQ362" s="120"/>
      <c r="AR362" s="121"/>
      <c r="AS362" s="96"/>
      <c r="AT362" s="122"/>
      <c r="AU362" s="123"/>
      <c r="AV362" s="122"/>
      <c r="AW362" s="122"/>
      <c r="AX362" s="30"/>
      <c r="AY362" s="30"/>
      <c r="AZ362" s="30"/>
      <c r="BA362" s="30"/>
      <c r="BB362" s="26"/>
      <c r="BC362" s="26"/>
      <c r="BD362" s="26"/>
      <c r="BE362" s="26"/>
      <c r="BF362" s="26"/>
    </row>
    <row r="363" spans="1:58" ht="15.75" customHeight="1">
      <c r="A363" s="67"/>
      <c r="B363" s="67"/>
      <c r="C363" s="67"/>
      <c r="D363" s="68"/>
      <c r="E363" s="68"/>
      <c r="F363" s="68"/>
      <c r="G363" s="68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30"/>
      <c r="AO363" s="25"/>
      <c r="AP363" s="120"/>
      <c r="AQ363" s="120"/>
      <c r="AR363" s="121"/>
      <c r="AS363" s="96"/>
      <c r="AT363" s="122"/>
      <c r="AU363" s="123"/>
      <c r="AV363" s="122"/>
      <c r="AW363" s="122"/>
      <c r="AX363" s="30"/>
      <c r="AY363" s="30"/>
      <c r="AZ363" s="30"/>
      <c r="BA363" s="30"/>
      <c r="BB363" s="26"/>
      <c r="BC363" s="26"/>
      <c r="BD363" s="26"/>
      <c r="BE363" s="26"/>
      <c r="BF363" s="26"/>
    </row>
    <row r="364" spans="1:58" ht="15.75" customHeight="1">
      <c r="A364" s="67"/>
      <c r="B364" s="67"/>
      <c r="C364" s="67"/>
      <c r="D364" s="68"/>
      <c r="E364" s="68"/>
      <c r="F364" s="68"/>
      <c r="G364" s="68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30"/>
      <c r="AO364" s="25"/>
      <c r="AP364" s="120"/>
      <c r="AQ364" s="120"/>
      <c r="AR364" s="121"/>
      <c r="AS364" s="96"/>
      <c r="AT364" s="122"/>
      <c r="AU364" s="123"/>
      <c r="AV364" s="122"/>
      <c r="AW364" s="122"/>
      <c r="AX364" s="30"/>
      <c r="AY364" s="30"/>
      <c r="AZ364" s="30"/>
      <c r="BA364" s="30"/>
      <c r="BB364" s="26"/>
      <c r="BC364" s="26"/>
      <c r="BD364" s="26"/>
      <c r="BE364" s="26"/>
      <c r="BF364" s="26"/>
    </row>
    <row r="365" spans="1:58" ht="15.75" customHeight="1">
      <c r="A365" s="67"/>
      <c r="B365" s="67"/>
      <c r="C365" s="67"/>
      <c r="D365" s="68"/>
      <c r="E365" s="68"/>
      <c r="F365" s="68"/>
      <c r="G365" s="68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30"/>
      <c r="AO365" s="25"/>
      <c r="AP365" s="120"/>
      <c r="AQ365" s="120"/>
      <c r="AR365" s="121"/>
      <c r="AS365" s="96"/>
      <c r="AT365" s="122"/>
      <c r="AU365" s="123"/>
      <c r="AV365" s="122"/>
      <c r="AW365" s="122"/>
      <c r="AX365" s="30"/>
      <c r="AY365" s="30"/>
      <c r="AZ365" s="30"/>
      <c r="BA365" s="30"/>
      <c r="BB365" s="26"/>
      <c r="BC365" s="26"/>
      <c r="BD365" s="26"/>
      <c r="BE365" s="26"/>
      <c r="BF365" s="26"/>
    </row>
    <row r="366" spans="1:58" ht="15.75" customHeight="1">
      <c r="A366" s="67"/>
      <c r="B366" s="67"/>
      <c r="C366" s="67"/>
      <c r="D366" s="68"/>
      <c r="E366" s="68"/>
      <c r="F366" s="68"/>
      <c r="G366" s="68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30"/>
      <c r="AO366" s="25"/>
      <c r="AP366" s="120"/>
      <c r="AQ366" s="120"/>
      <c r="AR366" s="121"/>
      <c r="AS366" s="96"/>
      <c r="AT366" s="122"/>
      <c r="AU366" s="123"/>
      <c r="AV366" s="122"/>
      <c r="AW366" s="122"/>
      <c r="AX366" s="30"/>
      <c r="AY366" s="30"/>
      <c r="AZ366" s="30"/>
      <c r="BA366" s="30"/>
      <c r="BB366" s="26"/>
      <c r="BC366" s="26"/>
      <c r="BD366" s="26"/>
      <c r="BE366" s="26"/>
      <c r="BF366" s="26"/>
    </row>
    <row r="367" spans="1:58" ht="15.75" customHeight="1">
      <c r="A367" s="67"/>
      <c r="B367" s="67"/>
      <c r="C367" s="67"/>
      <c r="D367" s="68"/>
      <c r="E367" s="68"/>
      <c r="F367" s="68"/>
      <c r="G367" s="68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30"/>
      <c r="AO367" s="25"/>
      <c r="AP367" s="120"/>
      <c r="AQ367" s="120"/>
      <c r="AR367" s="121"/>
      <c r="AS367" s="96"/>
      <c r="AT367" s="122"/>
      <c r="AU367" s="123"/>
      <c r="AV367" s="122"/>
      <c r="AW367" s="122"/>
      <c r="AX367" s="30"/>
      <c r="AY367" s="30"/>
      <c r="AZ367" s="30"/>
      <c r="BA367" s="30"/>
      <c r="BB367" s="26"/>
      <c r="BC367" s="26"/>
      <c r="BD367" s="26"/>
      <c r="BE367" s="26"/>
      <c r="BF367" s="26"/>
    </row>
    <row r="368" spans="1:58" ht="15.75" customHeight="1">
      <c r="A368" s="67"/>
      <c r="B368" s="67"/>
      <c r="C368" s="67"/>
      <c r="D368" s="68"/>
      <c r="E368" s="68"/>
      <c r="F368" s="68"/>
      <c r="G368" s="68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30"/>
      <c r="AO368" s="25"/>
      <c r="AP368" s="120"/>
      <c r="AQ368" s="120"/>
      <c r="AR368" s="121"/>
      <c r="AS368" s="96"/>
      <c r="AT368" s="122"/>
      <c r="AU368" s="123"/>
      <c r="AV368" s="122"/>
      <c r="AW368" s="122"/>
      <c r="AX368" s="30"/>
      <c r="AY368" s="30"/>
      <c r="AZ368" s="30"/>
      <c r="BA368" s="30"/>
      <c r="BB368" s="26"/>
      <c r="BC368" s="26"/>
      <c r="BD368" s="26"/>
      <c r="BE368" s="26"/>
      <c r="BF368" s="26"/>
    </row>
    <row r="369" spans="1:58" ht="15.75" customHeight="1">
      <c r="A369" s="67"/>
      <c r="B369" s="67"/>
      <c r="C369" s="67"/>
      <c r="D369" s="68"/>
      <c r="E369" s="68"/>
      <c r="F369" s="68"/>
      <c r="G369" s="68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30"/>
      <c r="AO369" s="25"/>
      <c r="AP369" s="120"/>
      <c r="AQ369" s="120"/>
      <c r="AR369" s="121"/>
      <c r="AS369" s="96"/>
      <c r="AT369" s="122"/>
      <c r="AU369" s="123"/>
      <c r="AV369" s="122"/>
      <c r="AW369" s="122"/>
      <c r="AX369" s="30"/>
      <c r="AY369" s="30"/>
      <c r="AZ369" s="30"/>
      <c r="BA369" s="30"/>
      <c r="BB369" s="26"/>
      <c r="BC369" s="26"/>
      <c r="BD369" s="26"/>
      <c r="BE369" s="26"/>
      <c r="BF369" s="26"/>
    </row>
    <row r="370" spans="1:58" ht="15.75" customHeight="1">
      <c r="A370" s="67"/>
      <c r="B370" s="67"/>
      <c r="C370" s="67"/>
      <c r="D370" s="68"/>
      <c r="E370" s="68"/>
      <c r="F370" s="68"/>
      <c r="G370" s="68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30"/>
      <c r="AO370" s="25"/>
      <c r="AP370" s="120"/>
      <c r="AQ370" s="120"/>
      <c r="AR370" s="121"/>
      <c r="AS370" s="96"/>
      <c r="AT370" s="122"/>
      <c r="AU370" s="123"/>
      <c r="AV370" s="122"/>
      <c r="AW370" s="122"/>
      <c r="AX370" s="30"/>
      <c r="AY370" s="30"/>
      <c r="AZ370" s="30"/>
      <c r="BA370" s="30"/>
      <c r="BB370" s="26"/>
      <c r="BC370" s="26"/>
      <c r="BD370" s="26"/>
      <c r="BE370" s="26"/>
      <c r="BF370" s="26"/>
    </row>
    <row r="371" spans="1:58" ht="15.75" customHeight="1">
      <c r="A371" s="67"/>
      <c r="B371" s="67"/>
      <c r="C371" s="67"/>
      <c r="D371" s="68"/>
      <c r="E371" s="68"/>
      <c r="F371" s="68"/>
      <c r="G371" s="68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30"/>
      <c r="AO371" s="25"/>
      <c r="AP371" s="120"/>
      <c r="AQ371" s="120"/>
      <c r="AR371" s="121"/>
      <c r="AS371" s="96"/>
      <c r="AT371" s="122"/>
      <c r="AU371" s="123"/>
      <c r="AV371" s="122"/>
      <c r="AW371" s="122"/>
      <c r="AX371" s="30"/>
      <c r="AY371" s="30"/>
      <c r="AZ371" s="30"/>
      <c r="BA371" s="30"/>
      <c r="BB371" s="26"/>
      <c r="BC371" s="26"/>
      <c r="BD371" s="26"/>
      <c r="BE371" s="26"/>
      <c r="BF371" s="26"/>
    </row>
    <row r="372" spans="1:58" ht="15.75" customHeight="1">
      <c r="A372" s="67"/>
      <c r="B372" s="67"/>
      <c r="C372" s="67"/>
      <c r="D372" s="68"/>
      <c r="E372" s="68"/>
      <c r="F372" s="68"/>
      <c r="G372" s="68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30"/>
      <c r="AO372" s="25"/>
      <c r="AP372" s="120"/>
      <c r="AQ372" s="120"/>
      <c r="AR372" s="121"/>
      <c r="AS372" s="96"/>
      <c r="AT372" s="122"/>
      <c r="AU372" s="123"/>
      <c r="AV372" s="122"/>
      <c r="AW372" s="122"/>
      <c r="AX372" s="30"/>
      <c r="AY372" s="30"/>
      <c r="AZ372" s="30"/>
      <c r="BA372" s="30"/>
      <c r="BB372" s="26"/>
      <c r="BC372" s="26"/>
      <c r="BD372" s="26"/>
      <c r="BE372" s="26"/>
      <c r="BF372" s="26"/>
    </row>
    <row r="373" spans="1:58" ht="15.75" customHeight="1">
      <c r="A373" s="67"/>
      <c r="B373" s="67"/>
      <c r="C373" s="67"/>
      <c r="D373" s="68"/>
      <c r="E373" s="68"/>
      <c r="F373" s="68"/>
      <c r="G373" s="68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30"/>
      <c r="AO373" s="25"/>
      <c r="AP373" s="120"/>
      <c r="AQ373" s="120"/>
      <c r="AR373" s="121"/>
      <c r="AS373" s="96"/>
      <c r="AT373" s="122"/>
      <c r="AU373" s="123"/>
      <c r="AV373" s="122"/>
      <c r="AW373" s="122"/>
      <c r="AX373" s="30"/>
      <c r="AY373" s="30"/>
      <c r="AZ373" s="30"/>
      <c r="BA373" s="30"/>
      <c r="BB373" s="26"/>
      <c r="BC373" s="26"/>
      <c r="BD373" s="26"/>
      <c r="BE373" s="26"/>
      <c r="BF373" s="26"/>
    </row>
    <row r="374" spans="1:58" ht="15.75" customHeight="1">
      <c r="A374" s="67"/>
      <c r="B374" s="67"/>
      <c r="C374" s="67"/>
      <c r="D374" s="68"/>
      <c r="E374" s="68"/>
      <c r="F374" s="68"/>
      <c r="G374" s="68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30"/>
      <c r="AO374" s="25"/>
      <c r="AP374" s="120"/>
      <c r="AQ374" s="120"/>
      <c r="AR374" s="121"/>
      <c r="AS374" s="96"/>
      <c r="AT374" s="122"/>
      <c r="AU374" s="123"/>
      <c r="AV374" s="122"/>
      <c r="AW374" s="122"/>
      <c r="AX374" s="30"/>
      <c r="AY374" s="30"/>
      <c r="AZ374" s="30"/>
      <c r="BA374" s="30"/>
      <c r="BB374" s="26"/>
      <c r="BC374" s="26"/>
      <c r="BD374" s="26"/>
      <c r="BE374" s="26"/>
      <c r="BF374" s="26"/>
    </row>
    <row r="375" spans="1:58" ht="15.75" customHeight="1">
      <c r="A375" s="67"/>
      <c r="B375" s="67"/>
      <c r="C375" s="67"/>
      <c r="D375" s="68"/>
      <c r="E375" s="68"/>
      <c r="F375" s="68"/>
      <c r="G375" s="68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30"/>
      <c r="AO375" s="25"/>
      <c r="AP375" s="120"/>
      <c r="AQ375" s="120"/>
      <c r="AR375" s="121"/>
      <c r="AS375" s="96"/>
      <c r="AT375" s="122"/>
      <c r="AU375" s="123"/>
      <c r="AV375" s="122"/>
      <c r="AW375" s="122"/>
      <c r="AX375" s="30"/>
      <c r="AY375" s="30"/>
      <c r="AZ375" s="30"/>
      <c r="BA375" s="30"/>
      <c r="BB375" s="26"/>
      <c r="BC375" s="26"/>
      <c r="BD375" s="26"/>
      <c r="BE375" s="26"/>
      <c r="BF375" s="26"/>
    </row>
    <row r="376" spans="1:58" ht="15.75" customHeight="1">
      <c r="A376" s="67"/>
      <c r="B376" s="67"/>
      <c r="C376" s="67"/>
      <c r="D376" s="68"/>
      <c r="E376" s="68"/>
      <c r="F376" s="68"/>
      <c r="G376" s="68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30"/>
      <c r="AO376" s="25"/>
      <c r="AP376" s="120"/>
      <c r="AQ376" s="120"/>
      <c r="AR376" s="121"/>
      <c r="AS376" s="96"/>
      <c r="AT376" s="122"/>
      <c r="AU376" s="123"/>
      <c r="AV376" s="122"/>
      <c r="AW376" s="122"/>
      <c r="AX376" s="30"/>
      <c r="AY376" s="30"/>
      <c r="AZ376" s="30"/>
      <c r="BA376" s="30"/>
      <c r="BB376" s="26"/>
      <c r="BC376" s="26"/>
      <c r="BD376" s="26"/>
      <c r="BE376" s="26"/>
      <c r="BF376" s="26"/>
    </row>
    <row r="377" spans="1:58" ht="15.75" customHeight="1">
      <c r="A377" s="67"/>
      <c r="B377" s="67"/>
      <c r="C377" s="67"/>
      <c r="D377" s="68"/>
      <c r="E377" s="68"/>
      <c r="F377" s="68"/>
      <c r="G377" s="68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30"/>
      <c r="AO377" s="25"/>
      <c r="AP377" s="120"/>
      <c r="AQ377" s="120"/>
      <c r="AR377" s="121"/>
      <c r="AS377" s="96"/>
      <c r="AT377" s="122"/>
      <c r="AU377" s="123"/>
      <c r="AV377" s="122"/>
      <c r="AW377" s="122"/>
      <c r="AX377" s="30"/>
      <c r="AY377" s="30"/>
      <c r="AZ377" s="30"/>
      <c r="BA377" s="30"/>
      <c r="BB377" s="26"/>
      <c r="BC377" s="26"/>
      <c r="BD377" s="26"/>
      <c r="BE377" s="26"/>
      <c r="BF377" s="26"/>
    </row>
    <row r="378" spans="1:58" ht="15.75" customHeight="1">
      <c r="A378" s="67"/>
      <c r="B378" s="67"/>
      <c r="C378" s="67"/>
      <c r="D378" s="68"/>
      <c r="E378" s="68"/>
      <c r="F378" s="68"/>
      <c r="G378" s="68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30"/>
      <c r="AO378" s="25"/>
      <c r="AP378" s="120"/>
      <c r="AQ378" s="120"/>
      <c r="AR378" s="121"/>
      <c r="AS378" s="96"/>
      <c r="AT378" s="122"/>
      <c r="AU378" s="123"/>
      <c r="AV378" s="122"/>
      <c r="AW378" s="122"/>
      <c r="AX378" s="30"/>
      <c r="AY378" s="30"/>
      <c r="AZ378" s="30"/>
      <c r="BA378" s="30"/>
      <c r="BB378" s="26"/>
      <c r="BC378" s="26"/>
      <c r="BD378" s="26"/>
      <c r="BE378" s="26"/>
      <c r="BF378" s="26"/>
    </row>
    <row r="379" spans="1:58" ht="15.75" customHeight="1">
      <c r="A379" s="67"/>
      <c r="B379" s="67"/>
      <c r="C379" s="67"/>
      <c r="D379" s="68"/>
      <c r="E379" s="68"/>
      <c r="F379" s="68"/>
      <c r="G379" s="68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30"/>
      <c r="AO379" s="25"/>
      <c r="AP379" s="120"/>
      <c r="AQ379" s="120"/>
      <c r="AR379" s="121"/>
      <c r="AS379" s="96"/>
      <c r="AT379" s="122"/>
      <c r="AU379" s="123"/>
      <c r="AV379" s="122"/>
      <c r="AW379" s="122"/>
      <c r="AX379" s="30"/>
      <c r="AY379" s="30"/>
      <c r="AZ379" s="30"/>
      <c r="BA379" s="30"/>
      <c r="BB379" s="26"/>
      <c r="BC379" s="26"/>
      <c r="BD379" s="26"/>
      <c r="BE379" s="26"/>
      <c r="BF379" s="26"/>
    </row>
    <row r="380" spans="1:58" ht="15.75" customHeight="1">
      <c r="A380" s="67"/>
      <c r="B380" s="67"/>
      <c r="C380" s="67"/>
      <c r="D380" s="68"/>
      <c r="E380" s="68"/>
      <c r="F380" s="68"/>
      <c r="G380" s="68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30"/>
      <c r="AO380" s="25"/>
      <c r="AP380" s="120"/>
      <c r="AQ380" s="120"/>
      <c r="AR380" s="121"/>
      <c r="AS380" s="96"/>
      <c r="AT380" s="122"/>
      <c r="AU380" s="123"/>
      <c r="AV380" s="122"/>
      <c r="AW380" s="122"/>
      <c r="AX380" s="30"/>
      <c r="AY380" s="30"/>
      <c r="AZ380" s="30"/>
      <c r="BA380" s="30"/>
      <c r="BB380" s="26"/>
      <c r="BC380" s="26"/>
      <c r="BD380" s="26"/>
      <c r="BE380" s="26"/>
      <c r="BF380" s="26"/>
    </row>
    <row r="381" spans="1:58" ht="15.75" customHeight="1">
      <c r="A381" s="67"/>
      <c r="B381" s="67"/>
      <c r="C381" s="67"/>
      <c r="D381" s="68"/>
      <c r="E381" s="68"/>
      <c r="F381" s="68"/>
      <c r="G381" s="68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30"/>
      <c r="AO381" s="25"/>
      <c r="AP381" s="120"/>
      <c r="AQ381" s="120"/>
      <c r="AR381" s="121"/>
      <c r="AS381" s="96"/>
      <c r="AT381" s="122"/>
      <c r="AU381" s="123"/>
      <c r="AV381" s="122"/>
      <c r="AW381" s="122"/>
      <c r="AX381" s="30"/>
      <c r="AY381" s="30"/>
      <c r="AZ381" s="30"/>
      <c r="BA381" s="30"/>
      <c r="BB381" s="26"/>
      <c r="BC381" s="26"/>
      <c r="BD381" s="26"/>
      <c r="BE381" s="26"/>
      <c r="BF381" s="26"/>
    </row>
    <row r="382" spans="1:58" ht="15.75" customHeight="1">
      <c r="A382" s="67"/>
      <c r="B382" s="67"/>
      <c r="C382" s="67"/>
      <c r="D382" s="68"/>
      <c r="E382" s="68"/>
      <c r="F382" s="68"/>
      <c r="G382" s="68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30"/>
      <c r="AO382" s="25"/>
      <c r="AP382" s="120"/>
      <c r="AQ382" s="120"/>
      <c r="AR382" s="121"/>
      <c r="AS382" s="96"/>
      <c r="AT382" s="122"/>
      <c r="AU382" s="123"/>
      <c r="AV382" s="122"/>
      <c r="AW382" s="122"/>
      <c r="AX382" s="30"/>
      <c r="AY382" s="30"/>
      <c r="AZ382" s="30"/>
      <c r="BA382" s="30"/>
      <c r="BB382" s="26"/>
      <c r="BC382" s="26"/>
      <c r="BD382" s="26"/>
      <c r="BE382" s="26"/>
      <c r="BF382" s="26"/>
    </row>
    <row r="383" spans="1:58" ht="15.75" customHeight="1">
      <c r="A383" s="67"/>
      <c r="B383" s="67"/>
      <c r="C383" s="67"/>
      <c r="D383" s="68"/>
      <c r="E383" s="68"/>
      <c r="F383" s="68"/>
      <c r="G383" s="68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30"/>
      <c r="AO383" s="25"/>
      <c r="AP383" s="120"/>
      <c r="AQ383" s="120"/>
      <c r="AR383" s="121"/>
      <c r="AS383" s="96"/>
      <c r="AT383" s="122"/>
      <c r="AU383" s="123"/>
      <c r="AV383" s="122"/>
      <c r="AW383" s="122"/>
      <c r="AX383" s="30"/>
      <c r="AY383" s="30"/>
      <c r="AZ383" s="30"/>
      <c r="BA383" s="30"/>
      <c r="BB383" s="26"/>
      <c r="BC383" s="26"/>
      <c r="BD383" s="26"/>
      <c r="BE383" s="26"/>
      <c r="BF383" s="26"/>
    </row>
    <row r="384" spans="1:58" ht="15.75" customHeight="1">
      <c r="A384" s="67"/>
      <c r="B384" s="67"/>
      <c r="C384" s="67"/>
      <c r="D384" s="68"/>
      <c r="E384" s="68"/>
      <c r="F384" s="68"/>
      <c r="G384" s="68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30"/>
      <c r="AO384" s="25"/>
      <c r="AP384" s="120"/>
      <c r="AQ384" s="120"/>
      <c r="AR384" s="121"/>
      <c r="AS384" s="96"/>
      <c r="AT384" s="122"/>
      <c r="AU384" s="123"/>
      <c r="AV384" s="122"/>
      <c r="AW384" s="122"/>
      <c r="AX384" s="30"/>
      <c r="AY384" s="30"/>
      <c r="AZ384" s="30"/>
      <c r="BA384" s="30"/>
      <c r="BB384" s="26"/>
      <c r="BC384" s="26"/>
      <c r="BD384" s="26"/>
      <c r="BE384" s="26"/>
      <c r="BF384" s="26"/>
    </row>
    <row r="385" spans="1:58" ht="15.75" customHeight="1">
      <c r="A385" s="67"/>
      <c r="B385" s="67"/>
      <c r="C385" s="67"/>
      <c r="D385" s="68"/>
      <c r="E385" s="68"/>
      <c r="F385" s="68"/>
      <c r="G385" s="68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30"/>
      <c r="AO385" s="25"/>
      <c r="AP385" s="120"/>
      <c r="AQ385" s="120"/>
      <c r="AR385" s="121"/>
      <c r="AS385" s="96"/>
      <c r="AT385" s="122"/>
      <c r="AU385" s="123"/>
      <c r="AV385" s="122"/>
      <c r="AW385" s="122"/>
      <c r="AX385" s="30"/>
      <c r="AY385" s="30"/>
      <c r="AZ385" s="30"/>
      <c r="BA385" s="30"/>
      <c r="BB385" s="26"/>
      <c r="BC385" s="26"/>
      <c r="BD385" s="26"/>
      <c r="BE385" s="26"/>
      <c r="BF385" s="26"/>
    </row>
    <row r="386" spans="1:58" ht="15.75" customHeight="1">
      <c r="A386" s="67"/>
      <c r="B386" s="67"/>
      <c r="C386" s="67"/>
      <c r="D386" s="68"/>
      <c r="E386" s="68"/>
      <c r="F386" s="68"/>
      <c r="G386" s="68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30"/>
      <c r="AO386" s="25"/>
      <c r="AP386" s="120"/>
      <c r="AQ386" s="120"/>
      <c r="AR386" s="121"/>
      <c r="AS386" s="96"/>
      <c r="AT386" s="122"/>
      <c r="AU386" s="123"/>
      <c r="AV386" s="122"/>
      <c r="AW386" s="122"/>
      <c r="AX386" s="30"/>
      <c r="AY386" s="30"/>
      <c r="AZ386" s="30"/>
      <c r="BA386" s="30"/>
      <c r="BB386" s="26"/>
      <c r="BC386" s="26"/>
      <c r="BD386" s="26"/>
      <c r="BE386" s="26"/>
      <c r="BF386" s="26"/>
    </row>
    <row r="387" spans="1:58" ht="15.75" customHeight="1">
      <c r="A387" s="67"/>
      <c r="B387" s="67"/>
      <c r="C387" s="67"/>
      <c r="D387" s="68"/>
      <c r="E387" s="68"/>
      <c r="F387" s="68"/>
      <c r="G387" s="68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30"/>
      <c r="AO387" s="25"/>
      <c r="AP387" s="120"/>
      <c r="AQ387" s="120"/>
      <c r="AR387" s="121"/>
      <c r="AS387" s="96"/>
      <c r="AT387" s="122"/>
      <c r="AU387" s="123"/>
      <c r="AV387" s="122"/>
      <c r="AW387" s="122"/>
      <c r="AX387" s="30"/>
      <c r="AY387" s="30"/>
      <c r="AZ387" s="30"/>
      <c r="BA387" s="30"/>
      <c r="BB387" s="26"/>
      <c r="BC387" s="26"/>
      <c r="BD387" s="26"/>
      <c r="BE387" s="26"/>
      <c r="BF387" s="26"/>
    </row>
    <row r="388" spans="1:58" ht="15.75" customHeight="1">
      <c r="A388" s="67"/>
      <c r="B388" s="67"/>
      <c r="C388" s="67"/>
      <c r="D388" s="68"/>
      <c r="E388" s="68"/>
      <c r="F388" s="68"/>
      <c r="G388" s="68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30"/>
      <c r="AO388" s="25"/>
      <c r="AP388" s="120"/>
      <c r="AQ388" s="120"/>
      <c r="AR388" s="121"/>
      <c r="AS388" s="96"/>
      <c r="AT388" s="122"/>
      <c r="AU388" s="123"/>
      <c r="AV388" s="122"/>
      <c r="AW388" s="122"/>
      <c r="AX388" s="30"/>
      <c r="AY388" s="30"/>
      <c r="AZ388" s="30"/>
      <c r="BA388" s="30"/>
      <c r="BB388" s="26"/>
      <c r="BC388" s="26"/>
      <c r="BD388" s="26"/>
      <c r="BE388" s="26"/>
      <c r="BF388" s="26"/>
    </row>
    <row r="389" spans="1:58" ht="15.75" customHeight="1">
      <c r="A389" s="67"/>
      <c r="B389" s="67"/>
      <c r="C389" s="67"/>
      <c r="D389" s="68"/>
      <c r="E389" s="68"/>
      <c r="F389" s="68"/>
      <c r="G389" s="68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30"/>
      <c r="AO389" s="25"/>
      <c r="AP389" s="120"/>
      <c r="AQ389" s="120"/>
      <c r="AR389" s="121"/>
      <c r="AS389" s="96"/>
      <c r="AT389" s="122"/>
      <c r="AU389" s="123"/>
      <c r="AV389" s="122"/>
      <c r="AW389" s="122"/>
      <c r="AX389" s="30"/>
      <c r="AY389" s="30"/>
      <c r="AZ389" s="30"/>
      <c r="BA389" s="30"/>
      <c r="BB389" s="26"/>
      <c r="BC389" s="26"/>
      <c r="BD389" s="26"/>
      <c r="BE389" s="26"/>
      <c r="BF389" s="26"/>
    </row>
    <row r="390" spans="1:58" ht="15.75" customHeight="1">
      <c r="A390" s="67"/>
      <c r="B390" s="67"/>
      <c r="C390" s="67"/>
      <c r="D390" s="68"/>
      <c r="E390" s="68"/>
      <c r="F390" s="68"/>
      <c r="G390" s="68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30"/>
      <c r="AO390" s="25"/>
      <c r="AP390" s="120"/>
      <c r="AQ390" s="120"/>
      <c r="AR390" s="121"/>
      <c r="AS390" s="96"/>
      <c r="AT390" s="122"/>
      <c r="AU390" s="123"/>
      <c r="AV390" s="122"/>
      <c r="AW390" s="122"/>
      <c r="AX390" s="30"/>
      <c r="AY390" s="30"/>
      <c r="AZ390" s="30"/>
      <c r="BA390" s="30"/>
      <c r="BB390" s="26"/>
      <c r="BC390" s="26"/>
      <c r="BD390" s="26"/>
      <c r="BE390" s="26"/>
      <c r="BF390" s="26"/>
    </row>
    <row r="391" spans="1:58" ht="15.75" customHeight="1">
      <c r="A391" s="67"/>
      <c r="B391" s="67"/>
      <c r="C391" s="67"/>
      <c r="D391" s="68"/>
      <c r="E391" s="68"/>
      <c r="F391" s="68"/>
      <c r="G391" s="68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30"/>
      <c r="AO391" s="25"/>
      <c r="AP391" s="120"/>
      <c r="AQ391" s="120"/>
      <c r="AR391" s="121"/>
      <c r="AS391" s="96"/>
      <c r="AT391" s="122"/>
      <c r="AU391" s="123"/>
      <c r="AV391" s="122"/>
      <c r="AW391" s="122"/>
      <c r="AX391" s="30"/>
      <c r="AY391" s="30"/>
      <c r="AZ391" s="30"/>
      <c r="BA391" s="30"/>
      <c r="BB391" s="26"/>
      <c r="BC391" s="26"/>
      <c r="BD391" s="26"/>
      <c r="BE391" s="26"/>
      <c r="BF391" s="26"/>
    </row>
    <row r="392" spans="1:58" ht="15.75" customHeight="1">
      <c r="A392" s="67"/>
      <c r="B392" s="67"/>
      <c r="C392" s="67"/>
      <c r="D392" s="68"/>
      <c r="E392" s="68"/>
      <c r="F392" s="68"/>
      <c r="G392" s="68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30"/>
      <c r="AO392" s="25"/>
      <c r="AP392" s="120"/>
      <c r="AQ392" s="120"/>
      <c r="AR392" s="121"/>
      <c r="AS392" s="96"/>
      <c r="AT392" s="122"/>
      <c r="AU392" s="123"/>
      <c r="AV392" s="122"/>
      <c r="AW392" s="122"/>
      <c r="AX392" s="30"/>
      <c r="AY392" s="30"/>
      <c r="AZ392" s="30"/>
      <c r="BA392" s="30"/>
      <c r="BB392" s="26"/>
      <c r="BC392" s="26"/>
      <c r="BD392" s="26"/>
      <c r="BE392" s="26"/>
      <c r="BF392" s="26"/>
    </row>
    <row r="393" spans="1:58" ht="15.75" customHeight="1">
      <c r="A393" s="67"/>
      <c r="B393" s="67"/>
      <c r="C393" s="67"/>
      <c r="D393" s="68"/>
      <c r="E393" s="68"/>
      <c r="F393" s="68"/>
      <c r="G393" s="68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30"/>
      <c r="AO393" s="25"/>
      <c r="AP393" s="120"/>
      <c r="AQ393" s="120"/>
      <c r="AR393" s="121"/>
      <c r="AS393" s="96"/>
      <c r="AT393" s="122"/>
      <c r="AU393" s="123"/>
      <c r="AV393" s="122"/>
      <c r="AW393" s="122"/>
      <c r="AX393" s="30"/>
      <c r="AY393" s="30"/>
      <c r="AZ393" s="30"/>
      <c r="BA393" s="30"/>
      <c r="BB393" s="26"/>
      <c r="BC393" s="26"/>
      <c r="BD393" s="26"/>
      <c r="BE393" s="26"/>
      <c r="BF393" s="26"/>
    </row>
    <row r="394" spans="1:58" ht="15.75" customHeight="1">
      <c r="A394" s="67"/>
      <c r="B394" s="67"/>
      <c r="C394" s="67"/>
      <c r="D394" s="68"/>
      <c r="E394" s="68"/>
      <c r="F394" s="68"/>
      <c r="G394" s="68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30"/>
      <c r="AO394" s="25"/>
      <c r="AP394" s="120"/>
      <c r="AQ394" s="120"/>
      <c r="AR394" s="121"/>
      <c r="AS394" s="96"/>
      <c r="AT394" s="122"/>
      <c r="AU394" s="123"/>
      <c r="AV394" s="122"/>
      <c r="AW394" s="122"/>
      <c r="AX394" s="30"/>
      <c r="AY394" s="30"/>
      <c r="AZ394" s="30"/>
      <c r="BA394" s="30"/>
      <c r="BB394" s="26"/>
      <c r="BC394" s="26"/>
      <c r="BD394" s="26"/>
      <c r="BE394" s="26"/>
      <c r="BF394" s="26"/>
    </row>
    <row r="395" spans="1:58" ht="15.75" customHeight="1">
      <c r="A395" s="67"/>
      <c r="B395" s="67"/>
      <c r="C395" s="67"/>
      <c r="D395" s="68"/>
      <c r="E395" s="68"/>
      <c r="F395" s="68"/>
      <c r="G395" s="68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30"/>
      <c r="AO395" s="25"/>
      <c r="AP395" s="120"/>
      <c r="AQ395" s="120"/>
      <c r="AR395" s="121"/>
      <c r="AS395" s="96"/>
      <c r="AT395" s="122"/>
      <c r="AU395" s="123"/>
      <c r="AV395" s="122"/>
      <c r="AW395" s="122"/>
      <c r="AX395" s="30"/>
      <c r="AY395" s="30"/>
      <c r="AZ395" s="30"/>
      <c r="BA395" s="30"/>
      <c r="BB395" s="26"/>
      <c r="BC395" s="26"/>
      <c r="BD395" s="26"/>
      <c r="BE395" s="26"/>
      <c r="BF395" s="26"/>
    </row>
    <row r="396" spans="1:58" ht="15.75" customHeight="1">
      <c r="A396" s="67"/>
      <c r="B396" s="67"/>
      <c r="C396" s="67"/>
      <c r="D396" s="68"/>
      <c r="E396" s="68"/>
      <c r="F396" s="68"/>
      <c r="G396" s="68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30"/>
      <c r="AO396" s="25"/>
      <c r="AP396" s="120"/>
      <c r="AQ396" s="120"/>
      <c r="AR396" s="121"/>
      <c r="AS396" s="96"/>
      <c r="AT396" s="122"/>
      <c r="AU396" s="123"/>
      <c r="AV396" s="122"/>
      <c r="AW396" s="122"/>
      <c r="AX396" s="30"/>
      <c r="AY396" s="30"/>
      <c r="AZ396" s="30"/>
      <c r="BA396" s="30"/>
      <c r="BB396" s="26"/>
      <c r="BC396" s="26"/>
      <c r="BD396" s="26"/>
      <c r="BE396" s="26"/>
      <c r="BF396" s="26"/>
    </row>
    <row r="397" spans="1:58" ht="15.75" customHeight="1">
      <c r="A397" s="67"/>
      <c r="B397" s="67"/>
      <c r="C397" s="67"/>
      <c r="D397" s="68"/>
      <c r="E397" s="68"/>
      <c r="F397" s="68"/>
      <c r="G397" s="68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30"/>
      <c r="AO397" s="25"/>
      <c r="AP397" s="120"/>
      <c r="AQ397" s="120"/>
      <c r="AR397" s="121"/>
      <c r="AS397" s="96"/>
      <c r="AT397" s="122"/>
      <c r="AU397" s="123"/>
      <c r="AV397" s="122"/>
      <c r="AW397" s="122"/>
      <c r="AX397" s="30"/>
      <c r="AY397" s="30"/>
      <c r="AZ397" s="30"/>
      <c r="BA397" s="30"/>
      <c r="BB397" s="26"/>
      <c r="BC397" s="26"/>
      <c r="BD397" s="26"/>
      <c r="BE397" s="26"/>
      <c r="BF397" s="26"/>
    </row>
    <row r="398" spans="1:58" ht="15.75" customHeight="1">
      <c r="A398" s="67"/>
      <c r="B398" s="67"/>
      <c r="C398" s="67"/>
      <c r="D398" s="68"/>
      <c r="E398" s="68"/>
      <c r="F398" s="68"/>
      <c r="G398" s="68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30"/>
      <c r="AO398" s="25"/>
      <c r="AP398" s="120"/>
      <c r="AQ398" s="120"/>
      <c r="AR398" s="121"/>
      <c r="AS398" s="96"/>
      <c r="AT398" s="122"/>
      <c r="AU398" s="123"/>
      <c r="AV398" s="122"/>
      <c r="AW398" s="122"/>
      <c r="AX398" s="30"/>
      <c r="AY398" s="30"/>
      <c r="AZ398" s="30"/>
      <c r="BA398" s="30"/>
      <c r="BB398" s="26"/>
      <c r="BC398" s="26"/>
      <c r="BD398" s="26"/>
      <c r="BE398" s="26"/>
      <c r="BF398" s="26"/>
    </row>
    <row r="399" spans="1:58" ht="15.75" customHeight="1">
      <c r="A399" s="67"/>
      <c r="B399" s="67"/>
      <c r="C399" s="67"/>
      <c r="D399" s="68"/>
      <c r="E399" s="68"/>
      <c r="F399" s="68"/>
      <c r="G399" s="68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30"/>
      <c r="AO399" s="25"/>
      <c r="AP399" s="120"/>
      <c r="AQ399" s="120"/>
      <c r="AR399" s="121"/>
      <c r="AS399" s="96"/>
      <c r="AT399" s="122"/>
      <c r="AU399" s="123"/>
      <c r="AV399" s="122"/>
      <c r="AW399" s="122"/>
      <c r="AX399" s="30"/>
      <c r="AY399" s="30"/>
      <c r="AZ399" s="30"/>
      <c r="BA399" s="30"/>
      <c r="BB399" s="26"/>
      <c r="BC399" s="26"/>
      <c r="BD399" s="26"/>
      <c r="BE399" s="26"/>
      <c r="BF399" s="26"/>
    </row>
    <row r="400" spans="1:58" ht="15.75" customHeight="1">
      <c r="A400" s="67"/>
      <c r="B400" s="67"/>
      <c r="C400" s="67"/>
      <c r="D400" s="68"/>
      <c r="E400" s="68"/>
      <c r="F400" s="68"/>
      <c r="G400" s="68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30"/>
      <c r="AO400" s="25"/>
      <c r="AP400" s="120"/>
      <c r="AQ400" s="120"/>
      <c r="AR400" s="121"/>
      <c r="AS400" s="96"/>
      <c r="AT400" s="122"/>
      <c r="AU400" s="123"/>
      <c r="AV400" s="122"/>
      <c r="AW400" s="122"/>
      <c r="AX400" s="30"/>
      <c r="AY400" s="30"/>
      <c r="AZ400" s="30"/>
      <c r="BA400" s="30"/>
      <c r="BB400" s="26"/>
      <c r="BC400" s="26"/>
      <c r="BD400" s="26"/>
      <c r="BE400" s="26"/>
      <c r="BF400" s="26"/>
    </row>
    <row r="401" spans="1:58" ht="15.75" customHeight="1">
      <c r="A401" s="67"/>
      <c r="B401" s="67"/>
      <c r="C401" s="67"/>
      <c r="D401" s="68"/>
      <c r="E401" s="68"/>
      <c r="F401" s="68"/>
      <c r="G401" s="68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30"/>
      <c r="AO401" s="25"/>
      <c r="AP401" s="120"/>
      <c r="AQ401" s="120"/>
      <c r="AR401" s="121"/>
      <c r="AS401" s="96"/>
      <c r="AT401" s="122"/>
      <c r="AU401" s="123"/>
      <c r="AV401" s="122"/>
      <c r="AW401" s="122"/>
      <c r="AX401" s="30"/>
      <c r="AY401" s="30"/>
      <c r="AZ401" s="30"/>
      <c r="BA401" s="30"/>
      <c r="BB401" s="26"/>
      <c r="BC401" s="26"/>
      <c r="BD401" s="26"/>
      <c r="BE401" s="26"/>
      <c r="BF401" s="26"/>
    </row>
    <row r="402" spans="1:58" ht="15.75" customHeight="1">
      <c r="A402" s="67"/>
      <c r="B402" s="67"/>
      <c r="C402" s="67"/>
      <c r="D402" s="68"/>
      <c r="E402" s="68"/>
      <c r="F402" s="68"/>
      <c r="G402" s="68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30"/>
      <c r="AO402" s="25"/>
      <c r="AP402" s="120"/>
      <c r="AQ402" s="120"/>
      <c r="AR402" s="121"/>
      <c r="AS402" s="96"/>
      <c r="AT402" s="122"/>
      <c r="AU402" s="123"/>
      <c r="AV402" s="122"/>
      <c r="AW402" s="122"/>
      <c r="AX402" s="30"/>
      <c r="AY402" s="30"/>
      <c r="AZ402" s="30"/>
      <c r="BA402" s="30"/>
      <c r="BB402" s="26"/>
      <c r="BC402" s="26"/>
      <c r="BD402" s="26"/>
      <c r="BE402" s="26"/>
      <c r="BF402" s="26"/>
    </row>
    <row r="403" spans="1:58" ht="15.75" customHeight="1">
      <c r="A403" s="67"/>
      <c r="B403" s="67"/>
      <c r="C403" s="67"/>
      <c r="D403" s="68"/>
      <c r="E403" s="68"/>
      <c r="F403" s="68"/>
      <c r="G403" s="68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30"/>
      <c r="AO403" s="25"/>
      <c r="AP403" s="120"/>
      <c r="AQ403" s="120"/>
      <c r="AR403" s="121"/>
      <c r="AS403" s="96"/>
      <c r="AT403" s="122"/>
      <c r="AU403" s="123"/>
      <c r="AV403" s="122"/>
      <c r="AW403" s="122"/>
      <c r="AX403" s="30"/>
      <c r="AY403" s="30"/>
      <c r="AZ403" s="30"/>
      <c r="BA403" s="30"/>
      <c r="BB403" s="26"/>
      <c r="BC403" s="26"/>
      <c r="BD403" s="26"/>
      <c r="BE403" s="26"/>
      <c r="BF403" s="26"/>
    </row>
    <row r="404" spans="1:58" ht="15.75" customHeight="1">
      <c r="A404" s="67"/>
      <c r="B404" s="67"/>
      <c r="C404" s="67"/>
      <c r="D404" s="68"/>
      <c r="E404" s="68"/>
      <c r="F404" s="68"/>
      <c r="G404" s="68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30"/>
      <c r="AO404" s="25"/>
      <c r="AP404" s="120"/>
      <c r="AQ404" s="120"/>
      <c r="AR404" s="121"/>
      <c r="AS404" s="96"/>
      <c r="AT404" s="122"/>
      <c r="AU404" s="123"/>
      <c r="AV404" s="122"/>
      <c r="AW404" s="122"/>
      <c r="AX404" s="30"/>
      <c r="AY404" s="30"/>
      <c r="AZ404" s="30"/>
      <c r="BA404" s="30"/>
      <c r="BB404" s="26"/>
      <c r="BC404" s="26"/>
      <c r="BD404" s="26"/>
      <c r="BE404" s="26"/>
      <c r="BF404" s="26"/>
    </row>
    <row r="405" spans="1:58" ht="15.75" customHeight="1">
      <c r="A405" s="67"/>
      <c r="B405" s="67"/>
      <c r="C405" s="67"/>
      <c r="D405" s="68"/>
      <c r="E405" s="68"/>
      <c r="F405" s="68"/>
      <c r="G405" s="68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30"/>
      <c r="AO405" s="25"/>
      <c r="AP405" s="120"/>
      <c r="AQ405" s="120"/>
      <c r="AR405" s="121"/>
      <c r="AS405" s="96"/>
      <c r="AT405" s="122"/>
      <c r="AU405" s="123"/>
      <c r="AV405" s="122"/>
      <c r="AW405" s="122"/>
      <c r="AX405" s="30"/>
      <c r="AY405" s="30"/>
      <c r="AZ405" s="30"/>
      <c r="BA405" s="30"/>
      <c r="BB405" s="26"/>
      <c r="BC405" s="26"/>
      <c r="BD405" s="26"/>
      <c r="BE405" s="26"/>
      <c r="BF405" s="26"/>
    </row>
    <row r="406" spans="1:58" ht="15.75" customHeight="1">
      <c r="A406" s="67"/>
      <c r="B406" s="67"/>
      <c r="C406" s="67"/>
      <c r="D406" s="68"/>
      <c r="E406" s="68"/>
      <c r="F406" s="68"/>
      <c r="G406" s="68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30"/>
      <c r="AO406" s="25"/>
      <c r="AP406" s="120"/>
      <c r="AQ406" s="120"/>
      <c r="AR406" s="121"/>
      <c r="AS406" s="96"/>
      <c r="AT406" s="122"/>
      <c r="AU406" s="123"/>
      <c r="AV406" s="122"/>
      <c r="AW406" s="122"/>
      <c r="AX406" s="30"/>
      <c r="AY406" s="30"/>
      <c r="AZ406" s="30"/>
      <c r="BA406" s="30"/>
      <c r="BB406" s="26"/>
      <c r="BC406" s="26"/>
      <c r="BD406" s="26"/>
      <c r="BE406" s="26"/>
      <c r="BF406" s="26"/>
    </row>
    <row r="407" spans="1:58" ht="15.75" customHeight="1">
      <c r="A407" s="67"/>
      <c r="B407" s="67"/>
      <c r="C407" s="67"/>
      <c r="D407" s="68"/>
      <c r="E407" s="68"/>
      <c r="F407" s="68"/>
      <c r="G407" s="68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30"/>
      <c r="AO407" s="25"/>
      <c r="AP407" s="120"/>
      <c r="AQ407" s="120"/>
      <c r="AR407" s="121"/>
      <c r="AS407" s="96"/>
      <c r="AT407" s="122"/>
      <c r="AU407" s="123"/>
      <c r="AV407" s="122"/>
      <c r="AW407" s="122"/>
      <c r="AX407" s="30"/>
      <c r="AY407" s="30"/>
      <c r="AZ407" s="30"/>
      <c r="BA407" s="30"/>
      <c r="BB407" s="26"/>
      <c r="BC407" s="26"/>
      <c r="BD407" s="26"/>
      <c r="BE407" s="26"/>
      <c r="BF407" s="26"/>
    </row>
    <row r="408" spans="1:58" ht="15.75" customHeight="1">
      <c r="A408" s="67"/>
      <c r="B408" s="67"/>
      <c r="C408" s="67"/>
      <c r="D408" s="68"/>
      <c r="E408" s="68"/>
      <c r="F408" s="68"/>
      <c r="G408" s="68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30"/>
      <c r="AO408" s="25"/>
      <c r="AP408" s="120"/>
      <c r="AQ408" s="120"/>
      <c r="AR408" s="121"/>
      <c r="AS408" s="96"/>
      <c r="AT408" s="122"/>
      <c r="AU408" s="123"/>
      <c r="AV408" s="122"/>
      <c r="AW408" s="122"/>
      <c r="AX408" s="30"/>
      <c r="AY408" s="30"/>
      <c r="AZ408" s="30"/>
      <c r="BA408" s="30"/>
      <c r="BB408" s="26"/>
      <c r="BC408" s="26"/>
      <c r="BD408" s="26"/>
      <c r="BE408" s="26"/>
      <c r="BF408" s="26"/>
    </row>
    <row r="409" spans="1:58" ht="15.75" customHeight="1">
      <c r="A409" s="67"/>
      <c r="B409" s="67"/>
      <c r="C409" s="67"/>
      <c r="D409" s="68"/>
      <c r="E409" s="68"/>
      <c r="F409" s="68"/>
      <c r="G409" s="68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30"/>
      <c r="AO409" s="25"/>
      <c r="AP409" s="120"/>
      <c r="AQ409" s="120"/>
      <c r="AR409" s="121"/>
      <c r="AS409" s="96"/>
      <c r="AT409" s="122"/>
      <c r="AU409" s="123"/>
      <c r="AV409" s="122"/>
      <c r="AW409" s="122"/>
      <c r="AX409" s="30"/>
      <c r="AY409" s="30"/>
      <c r="AZ409" s="30"/>
      <c r="BA409" s="30"/>
      <c r="BB409" s="26"/>
      <c r="BC409" s="26"/>
      <c r="BD409" s="26"/>
      <c r="BE409" s="26"/>
      <c r="BF409" s="26"/>
    </row>
    <row r="410" spans="1:58" ht="15.75" customHeight="1">
      <c r="A410" s="67"/>
      <c r="B410" s="67"/>
      <c r="C410" s="67"/>
      <c r="D410" s="68"/>
      <c r="E410" s="68"/>
      <c r="F410" s="68"/>
      <c r="G410" s="68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30"/>
      <c r="AO410" s="25"/>
      <c r="AP410" s="120"/>
      <c r="AQ410" s="120"/>
      <c r="AR410" s="121"/>
      <c r="AS410" s="96"/>
      <c r="AT410" s="122"/>
      <c r="AU410" s="123"/>
      <c r="AV410" s="122"/>
      <c r="AW410" s="122"/>
      <c r="AX410" s="30"/>
      <c r="AY410" s="30"/>
      <c r="AZ410" s="30"/>
      <c r="BA410" s="30"/>
      <c r="BB410" s="26"/>
      <c r="BC410" s="26"/>
      <c r="BD410" s="26"/>
      <c r="BE410" s="26"/>
      <c r="BF410" s="26"/>
    </row>
    <row r="411" spans="1:58" ht="15.75" customHeight="1">
      <c r="A411" s="67"/>
      <c r="B411" s="67"/>
      <c r="C411" s="67"/>
      <c r="D411" s="68"/>
      <c r="E411" s="68"/>
      <c r="F411" s="68"/>
      <c r="G411" s="68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30"/>
      <c r="AO411" s="25"/>
      <c r="AP411" s="120"/>
      <c r="AQ411" s="120"/>
      <c r="AR411" s="121"/>
      <c r="AS411" s="96"/>
      <c r="AT411" s="122"/>
      <c r="AU411" s="123"/>
      <c r="AV411" s="122"/>
      <c r="AW411" s="122"/>
      <c r="AX411" s="30"/>
      <c r="AY411" s="30"/>
      <c r="AZ411" s="30"/>
      <c r="BA411" s="30"/>
      <c r="BB411" s="26"/>
      <c r="BC411" s="26"/>
      <c r="BD411" s="26"/>
      <c r="BE411" s="26"/>
      <c r="BF411" s="26"/>
    </row>
    <row r="412" spans="1:58" ht="15.75" customHeight="1">
      <c r="A412" s="67"/>
      <c r="B412" s="67"/>
      <c r="C412" s="67"/>
      <c r="D412" s="68"/>
      <c r="E412" s="68"/>
      <c r="F412" s="68"/>
      <c r="G412" s="68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30"/>
      <c r="AO412" s="25"/>
      <c r="AP412" s="120"/>
      <c r="AQ412" s="120"/>
      <c r="AR412" s="121"/>
      <c r="AS412" s="96"/>
      <c r="AT412" s="122"/>
      <c r="AU412" s="123"/>
      <c r="AV412" s="122"/>
      <c r="AW412" s="122"/>
      <c r="AX412" s="30"/>
      <c r="AY412" s="30"/>
      <c r="AZ412" s="30"/>
      <c r="BA412" s="30"/>
      <c r="BB412" s="26"/>
      <c r="BC412" s="26"/>
      <c r="BD412" s="26"/>
      <c r="BE412" s="26"/>
      <c r="BF412" s="26"/>
    </row>
    <row r="413" spans="1:58" ht="15.75" customHeight="1">
      <c r="A413" s="67"/>
      <c r="B413" s="67"/>
      <c r="C413" s="67"/>
      <c r="D413" s="68"/>
      <c r="E413" s="68"/>
      <c r="F413" s="68"/>
      <c r="G413" s="68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30"/>
      <c r="AO413" s="25"/>
      <c r="AP413" s="120"/>
      <c r="AQ413" s="120"/>
      <c r="AR413" s="121"/>
      <c r="AS413" s="96"/>
      <c r="AT413" s="122"/>
      <c r="AU413" s="123"/>
      <c r="AV413" s="122"/>
      <c r="AW413" s="122"/>
      <c r="AX413" s="30"/>
      <c r="AY413" s="30"/>
      <c r="AZ413" s="30"/>
      <c r="BA413" s="30"/>
      <c r="BB413" s="26"/>
      <c r="BC413" s="26"/>
      <c r="BD413" s="26"/>
      <c r="BE413" s="26"/>
      <c r="BF413" s="26"/>
    </row>
    <row r="414" spans="1:58" ht="15.75" customHeight="1">
      <c r="A414" s="67"/>
      <c r="B414" s="67"/>
      <c r="C414" s="67"/>
      <c r="D414" s="68"/>
      <c r="E414" s="68"/>
      <c r="F414" s="68"/>
      <c r="G414" s="68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30"/>
      <c r="AO414" s="25"/>
      <c r="AP414" s="120"/>
      <c r="AQ414" s="120"/>
      <c r="AR414" s="121"/>
      <c r="AS414" s="96"/>
      <c r="AT414" s="122"/>
      <c r="AU414" s="123"/>
      <c r="AV414" s="122"/>
      <c r="AW414" s="122"/>
      <c r="AX414" s="30"/>
      <c r="AY414" s="30"/>
      <c r="AZ414" s="30"/>
      <c r="BA414" s="30"/>
      <c r="BB414" s="26"/>
      <c r="BC414" s="26"/>
      <c r="BD414" s="26"/>
      <c r="BE414" s="26"/>
      <c r="BF414" s="26"/>
    </row>
    <row r="415" spans="1:58" ht="15.75" customHeight="1">
      <c r="A415" s="67"/>
      <c r="B415" s="67"/>
      <c r="C415" s="67"/>
      <c r="D415" s="68"/>
      <c r="E415" s="68"/>
      <c r="F415" s="68"/>
      <c r="G415" s="68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30"/>
      <c r="AO415" s="25"/>
      <c r="AP415" s="120"/>
      <c r="AQ415" s="120"/>
      <c r="AR415" s="121"/>
      <c r="AS415" s="96"/>
      <c r="AT415" s="122"/>
      <c r="AU415" s="123"/>
      <c r="AV415" s="122"/>
      <c r="AW415" s="122"/>
      <c r="AX415" s="30"/>
      <c r="AY415" s="30"/>
      <c r="AZ415" s="30"/>
      <c r="BA415" s="30"/>
      <c r="BB415" s="26"/>
      <c r="BC415" s="26"/>
      <c r="BD415" s="26"/>
      <c r="BE415" s="26"/>
      <c r="BF415" s="26"/>
    </row>
    <row r="416" spans="1:58" ht="15.75" customHeight="1">
      <c r="A416" s="67"/>
      <c r="B416" s="67"/>
      <c r="C416" s="67"/>
      <c r="D416" s="68"/>
      <c r="E416" s="68"/>
      <c r="F416" s="68"/>
      <c r="G416" s="68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30"/>
      <c r="AO416" s="25"/>
      <c r="AP416" s="120"/>
      <c r="AQ416" s="120"/>
      <c r="AR416" s="121"/>
      <c r="AS416" s="96"/>
      <c r="AT416" s="122"/>
      <c r="AU416" s="123"/>
      <c r="AV416" s="122"/>
      <c r="AW416" s="122"/>
      <c r="AX416" s="30"/>
      <c r="AY416" s="30"/>
      <c r="AZ416" s="30"/>
      <c r="BA416" s="30"/>
      <c r="BB416" s="26"/>
      <c r="BC416" s="26"/>
      <c r="BD416" s="26"/>
      <c r="BE416" s="26"/>
      <c r="BF416" s="26"/>
    </row>
    <row r="417" spans="1:58" ht="15.75" customHeight="1">
      <c r="A417" s="67"/>
      <c r="B417" s="67"/>
      <c r="C417" s="67"/>
      <c r="D417" s="68"/>
      <c r="E417" s="68"/>
      <c r="F417" s="68"/>
      <c r="G417" s="68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30"/>
      <c r="AO417" s="25"/>
      <c r="AP417" s="120"/>
      <c r="AQ417" s="120"/>
      <c r="AR417" s="121"/>
      <c r="AS417" s="96"/>
      <c r="AT417" s="122"/>
      <c r="AU417" s="123"/>
      <c r="AV417" s="122"/>
      <c r="AW417" s="122"/>
      <c r="AX417" s="30"/>
      <c r="AY417" s="30"/>
      <c r="AZ417" s="30"/>
      <c r="BA417" s="30"/>
      <c r="BB417" s="26"/>
      <c r="BC417" s="26"/>
      <c r="BD417" s="26"/>
      <c r="BE417" s="26"/>
      <c r="BF417" s="26"/>
    </row>
    <row r="418" spans="1:58" ht="15.75" customHeight="1">
      <c r="A418" s="67"/>
      <c r="B418" s="67"/>
      <c r="C418" s="67"/>
      <c r="D418" s="68"/>
      <c r="E418" s="68"/>
      <c r="F418" s="68"/>
      <c r="G418" s="68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30"/>
      <c r="AO418" s="25"/>
      <c r="AP418" s="120"/>
      <c r="AQ418" s="120"/>
      <c r="AR418" s="121"/>
      <c r="AS418" s="96"/>
      <c r="AT418" s="122"/>
      <c r="AU418" s="123"/>
      <c r="AV418" s="122"/>
      <c r="AW418" s="122"/>
      <c r="AX418" s="30"/>
      <c r="AY418" s="30"/>
      <c r="AZ418" s="30"/>
      <c r="BA418" s="30"/>
      <c r="BB418" s="26"/>
      <c r="BC418" s="26"/>
      <c r="BD418" s="26"/>
      <c r="BE418" s="26"/>
      <c r="BF418" s="26"/>
    </row>
    <row r="419" spans="1:58" ht="15.75" customHeight="1">
      <c r="A419" s="67"/>
      <c r="B419" s="67"/>
      <c r="C419" s="67"/>
      <c r="D419" s="68"/>
      <c r="E419" s="68"/>
      <c r="F419" s="68"/>
      <c r="G419" s="68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30"/>
      <c r="AO419" s="25"/>
      <c r="AP419" s="120"/>
      <c r="AQ419" s="120"/>
      <c r="AR419" s="121"/>
      <c r="AS419" s="96"/>
      <c r="AT419" s="122"/>
      <c r="AU419" s="123"/>
      <c r="AV419" s="122"/>
      <c r="AW419" s="122"/>
      <c r="AX419" s="30"/>
      <c r="AY419" s="30"/>
      <c r="AZ419" s="30"/>
      <c r="BA419" s="30"/>
      <c r="BB419" s="26"/>
      <c r="BC419" s="26"/>
      <c r="BD419" s="26"/>
      <c r="BE419" s="26"/>
      <c r="BF419" s="26"/>
    </row>
    <row r="420" spans="1:58" ht="15.75" customHeight="1">
      <c r="A420" s="67"/>
      <c r="B420" s="67"/>
      <c r="C420" s="67"/>
      <c r="D420" s="68"/>
      <c r="E420" s="68"/>
      <c r="F420" s="68"/>
      <c r="G420" s="68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30"/>
      <c r="AO420" s="25"/>
      <c r="AP420" s="120"/>
      <c r="AQ420" s="120"/>
      <c r="AR420" s="121"/>
      <c r="AS420" s="96"/>
      <c r="AT420" s="122"/>
      <c r="AU420" s="123"/>
      <c r="AV420" s="122"/>
      <c r="AW420" s="122"/>
      <c r="AX420" s="30"/>
      <c r="AY420" s="30"/>
      <c r="AZ420" s="30"/>
      <c r="BA420" s="30"/>
      <c r="BB420" s="26"/>
      <c r="BC420" s="26"/>
      <c r="BD420" s="26"/>
      <c r="BE420" s="26"/>
      <c r="BF420" s="26"/>
    </row>
    <row r="421" spans="1:58" ht="15.75" customHeight="1">
      <c r="A421" s="67"/>
      <c r="B421" s="67"/>
      <c r="C421" s="67"/>
      <c r="D421" s="68"/>
      <c r="E421" s="68"/>
      <c r="F421" s="68"/>
      <c r="G421" s="68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30"/>
      <c r="AO421" s="25"/>
      <c r="AP421" s="120"/>
      <c r="AQ421" s="120"/>
      <c r="AR421" s="121"/>
      <c r="AS421" s="96"/>
      <c r="AT421" s="122"/>
      <c r="AU421" s="123"/>
      <c r="AV421" s="122"/>
      <c r="AW421" s="122"/>
      <c r="AX421" s="30"/>
      <c r="AY421" s="30"/>
      <c r="AZ421" s="30"/>
      <c r="BA421" s="30"/>
      <c r="BB421" s="26"/>
      <c r="BC421" s="26"/>
      <c r="BD421" s="26"/>
      <c r="BE421" s="26"/>
      <c r="BF421" s="26"/>
    </row>
    <row r="422" spans="1:58" ht="15.75" customHeight="1">
      <c r="A422" s="67"/>
      <c r="B422" s="67"/>
      <c r="C422" s="67"/>
      <c r="D422" s="68"/>
      <c r="E422" s="68"/>
      <c r="F422" s="68"/>
      <c r="G422" s="68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30"/>
      <c r="AO422" s="25"/>
      <c r="AP422" s="120"/>
      <c r="AQ422" s="120"/>
      <c r="AR422" s="121"/>
      <c r="AS422" s="96"/>
      <c r="AT422" s="122"/>
      <c r="AU422" s="123"/>
      <c r="AV422" s="122"/>
      <c r="AW422" s="122"/>
      <c r="AX422" s="30"/>
      <c r="AY422" s="30"/>
      <c r="AZ422" s="30"/>
      <c r="BA422" s="30"/>
      <c r="BB422" s="26"/>
      <c r="BC422" s="26"/>
      <c r="BD422" s="26"/>
      <c r="BE422" s="26"/>
      <c r="BF422" s="26"/>
    </row>
    <row r="423" spans="1:58" ht="15.75" customHeight="1">
      <c r="A423" s="67"/>
      <c r="B423" s="67"/>
      <c r="C423" s="67"/>
      <c r="D423" s="68"/>
      <c r="E423" s="68"/>
      <c r="F423" s="68"/>
      <c r="G423" s="68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30"/>
      <c r="AO423" s="25"/>
      <c r="AP423" s="120"/>
      <c r="AQ423" s="120"/>
      <c r="AR423" s="121"/>
      <c r="AS423" s="96"/>
      <c r="AT423" s="122"/>
      <c r="AU423" s="123"/>
      <c r="AV423" s="122"/>
      <c r="AW423" s="122"/>
      <c r="AX423" s="30"/>
      <c r="AY423" s="30"/>
      <c r="AZ423" s="30"/>
      <c r="BA423" s="30"/>
      <c r="BB423" s="26"/>
      <c r="BC423" s="26"/>
      <c r="BD423" s="26"/>
      <c r="BE423" s="26"/>
      <c r="BF423" s="26"/>
    </row>
    <row r="424" spans="1:58" ht="15.75" customHeight="1">
      <c r="A424" s="67"/>
      <c r="B424" s="67"/>
      <c r="C424" s="67"/>
      <c r="D424" s="68"/>
      <c r="E424" s="68"/>
      <c r="F424" s="68"/>
      <c r="G424" s="68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30"/>
      <c r="AO424" s="25"/>
      <c r="AP424" s="120"/>
      <c r="AQ424" s="120"/>
      <c r="AR424" s="121"/>
      <c r="AS424" s="96"/>
      <c r="AT424" s="122"/>
      <c r="AU424" s="123"/>
      <c r="AV424" s="122"/>
      <c r="AW424" s="122"/>
      <c r="AX424" s="30"/>
      <c r="AY424" s="30"/>
      <c r="AZ424" s="30"/>
      <c r="BA424" s="30"/>
      <c r="BB424" s="26"/>
      <c r="BC424" s="26"/>
      <c r="BD424" s="26"/>
      <c r="BE424" s="26"/>
      <c r="BF424" s="26"/>
    </row>
    <row r="425" spans="1:58" ht="15.75" customHeight="1">
      <c r="A425" s="67"/>
      <c r="B425" s="67"/>
      <c r="C425" s="67"/>
      <c r="D425" s="68"/>
      <c r="E425" s="68"/>
      <c r="F425" s="68"/>
      <c r="G425" s="68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30"/>
      <c r="AO425" s="25"/>
      <c r="AP425" s="120"/>
      <c r="AQ425" s="120"/>
      <c r="AR425" s="121"/>
      <c r="AS425" s="96"/>
      <c r="AT425" s="122"/>
      <c r="AU425" s="123"/>
      <c r="AV425" s="122"/>
      <c r="AW425" s="122"/>
      <c r="AX425" s="30"/>
      <c r="AY425" s="30"/>
      <c r="AZ425" s="30"/>
      <c r="BA425" s="30"/>
      <c r="BB425" s="26"/>
      <c r="BC425" s="26"/>
      <c r="BD425" s="26"/>
      <c r="BE425" s="26"/>
      <c r="BF425" s="26"/>
    </row>
    <row r="426" spans="1:58" ht="15.75" customHeight="1">
      <c r="A426" s="67"/>
      <c r="B426" s="67"/>
      <c r="C426" s="67"/>
      <c r="D426" s="68"/>
      <c r="E426" s="68"/>
      <c r="F426" s="68"/>
      <c r="G426" s="68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30"/>
      <c r="AO426" s="25"/>
      <c r="AP426" s="120"/>
      <c r="AQ426" s="120"/>
      <c r="AR426" s="121"/>
      <c r="AS426" s="96"/>
      <c r="AT426" s="122"/>
      <c r="AU426" s="123"/>
      <c r="AV426" s="122"/>
      <c r="AW426" s="122"/>
      <c r="AX426" s="30"/>
      <c r="AY426" s="30"/>
      <c r="AZ426" s="30"/>
      <c r="BA426" s="30"/>
      <c r="BB426" s="26"/>
      <c r="BC426" s="26"/>
      <c r="BD426" s="26"/>
      <c r="BE426" s="26"/>
      <c r="BF426" s="26"/>
    </row>
    <row r="427" spans="1:58" ht="15.75" customHeight="1">
      <c r="A427" s="67"/>
      <c r="B427" s="67"/>
      <c r="C427" s="67"/>
      <c r="D427" s="68"/>
      <c r="E427" s="68"/>
      <c r="F427" s="68"/>
      <c r="G427" s="68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30"/>
      <c r="AO427" s="25"/>
      <c r="AP427" s="120"/>
      <c r="AQ427" s="120"/>
      <c r="AR427" s="121"/>
      <c r="AS427" s="96"/>
      <c r="AT427" s="122"/>
      <c r="AU427" s="123"/>
      <c r="AV427" s="122"/>
      <c r="AW427" s="122"/>
      <c r="AX427" s="30"/>
      <c r="AY427" s="30"/>
      <c r="AZ427" s="30"/>
      <c r="BA427" s="30"/>
      <c r="BB427" s="26"/>
      <c r="BC427" s="26"/>
      <c r="BD427" s="26"/>
      <c r="BE427" s="26"/>
      <c r="BF427" s="26"/>
    </row>
    <row r="428" spans="1:58" ht="15.75" customHeight="1">
      <c r="A428" s="67"/>
      <c r="B428" s="67"/>
      <c r="C428" s="67"/>
      <c r="D428" s="68"/>
      <c r="E428" s="68"/>
      <c r="F428" s="68"/>
      <c r="G428" s="68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30"/>
      <c r="AO428" s="25"/>
      <c r="AP428" s="120"/>
      <c r="AQ428" s="120"/>
      <c r="AR428" s="121"/>
      <c r="AS428" s="96"/>
      <c r="AT428" s="122"/>
      <c r="AU428" s="123"/>
      <c r="AV428" s="122"/>
      <c r="AW428" s="122"/>
      <c r="AX428" s="30"/>
      <c r="AY428" s="30"/>
      <c r="AZ428" s="30"/>
      <c r="BA428" s="30"/>
      <c r="BB428" s="26"/>
      <c r="BC428" s="26"/>
      <c r="BD428" s="26"/>
      <c r="BE428" s="26"/>
      <c r="BF428" s="26"/>
    </row>
    <row r="429" spans="1:58" ht="15.75" customHeight="1">
      <c r="A429" s="67"/>
      <c r="B429" s="67"/>
      <c r="C429" s="67"/>
      <c r="D429" s="68"/>
      <c r="E429" s="68"/>
      <c r="F429" s="68"/>
      <c r="G429" s="68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30"/>
      <c r="AO429" s="25"/>
      <c r="AP429" s="120"/>
      <c r="AQ429" s="120"/>
      <c r="AR429" s="121"/>
      <c r="AS429" s="96"/>
      <c r="AT429" s="122"/>
      <c r="AU429" s="123"/>
      <c r="AV429" s="122"/>
      <c r="AW429" s="122"/>
      <c r="AX429" s="30"/>
      <c r="AY429" s="30"/>
      <c r="AZ429" s="30"/>
      <c r="BA429" s="30"/>
      <c r="BB429" s="26"/>
      <c r="BC429" s="26"/>
      <c r="BD429" s="26"/>
      <c r="BE429" s="26"/>
      <c r="BF429" s="26"/>
    </row>
    <row r="430" spans="1:58" ht="15.75" customHeight="1">
      <c r="A430" s="67"/>
      <c r="B430" s="67"/>
      <c r="C430" s="67"/>
      <c r="D430" s="68"/>
      <c r="E430" s="68"/>
      <c r="F430" s="68"/>
      <c r="G430" s="68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30"/>
      <c r="AO430" s="25"/>
      <c r="AP430" s="120"/>
      <c r="AQ430" s="120"/>
      <c r="AR430" s="121"/>
      <c r="AS430" s="96"/>
      <c r="AT430" s="122"/>
      <c r="AU430" s="123"/>
      <c r="AV430" s="122"/>
      <c r="AW430" s="122"/>
      <c r="AX430" s="30"/>
      <c r="AY430" s="30"/>
      <c r="AZ430" s="30"/>
      <c r="BA430" s="30"/>
      <c r="BB430" s="26"/>
      <c r="BC430" s="26"/>
      <c r="BD430" s="26"/>
      <c r="BE430" s="26"/>
      <c r="BF430" s="26"/>
    </row>
    <row r="431" spans="1:58" ht="15.75" customHeight="1">
      <c r="A431" s="67"/>
      <c r="B431" s="67"/>
      <c r="C431" s="67"/>
      <c r="D431" s="68"/>
      <c r="E431" s="68"/>
      <c r="F431" s="68"/>
      <c r="G431" s="68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30"/>
      <c r="AO431" s="25"/>
      <c r="AP431" s="120"/>
      <c r="AQ431" s="120"/>
      <c r="AR431" s="121"/>
      <c r="AS431" s="96"/>
      <c r="AT431" s="122"/>
      <c r="AU431" s="123"/>
      <c r="AV431" s="122"/>
      <c r="AW431" s="122"/>
      <c r="AX431" s="30"/>
      <c r="AY431" s="30"/>
      <c r="AZ431" s="30"/>
      <c r="BA431" s="30"/>
      <c r="BB431" s="26"/>
      <c r="BC431" s="26"/>
      <c r="BD431" s="26"/>
      <c r="BE431" s="26"/>
      <c r="BF431" s="26"/>
    </row>
    <row r="432" spans="1:58" ht="15.75" customHeight="1">
      <c r="A432" s="67"/>
      <c r="B432" s="67"/>
      <c r="C432" s="67"/>
      <c r="D432" s="68"/>
      <c r="E432" s="68"/>
      <c r="F432" s="68"/>
      <c r="G432" s="68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30"/>
      <c r="AO432" s="25"/>
      <c r="AP432" s="120"/>
      <c r="AQ432" s="120"/>
      <c r="AR432" s="121"/>
      <c r="AS432" s="96"/>
      <c r="AT432" s="122"/>
      <c r="AU432" s="123"/>
      <c r="AV432" s="122"/>
      <c r="AW432" s="122"/>
      <c r="AX432" s="30"/>
      <c r="AY432" s="30"/>
      <c r="AZ432" s="30"/>
      <c r="BA432" s="30"/>
      <c r="BB432" s="26"/>
      <c r="BC432" s="26"/>
      <c r="BD432" s="26"/>
      <c r="BE432" s="26"/>
      <c r="BF432" s="26"/>
    </row>
    <row r="433" spans="1:58" ht="15.75" customHeight="1">
      <c r="A433" s="67"/>
      <c r="B433" s="67"/>
      <c r="C433" s="67"/>
      <c r="D433" s="68"/>
      <c r="E433" s="68"/>
      <c r="F433" s="68"/>
      <c r="G433" s="68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30"/>
      <c r="AO433" s="25"/>
      <c r="AP433" s="120"/>
      <c r="AQ433" s="120"/>
      <c r="AR433" s="121"/>
      <c r="AS433" s="96"/>
      <c r="AT433" s="122"/>
      <c r="AU433" s="123"/>
      <c r="AV433" s="122"/>
      <c r="AW433" s="122"/>
      <c r="AX433" s="30"/>
      <c r="AY433" s="30"/>
      <c r="AZ433" s="30"/>
      <c r="BA433" s="30"/>
      <c r="BB433" s="26"/>
      <c r="BC433" s="26"/>
      <c r="BD433" s="26"/>
      <c r="BE433" s="26"/>
      <c r="BF433" s="26"/>
    </row>
    <row r="434" spans="1:58" ht="15.75" customHeight="1">
      <c r="A434" s="67"/>
      <c r="B434" s="67"/>
      <c r="C434" s="67"/>
      <c r="D434" s="68"/>
      <c r="E434" s="68"/>
      <c r="F434" s="68"/>
      <c r="G434" s="68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30"/>
      <c r="AO434" s="25"/>
      <c r="AP434" s="120"/>
      <c r="AQ434" s="120"/>
      <c r="AR434" s="121"/>
      <c r="AS434" s="96"/>
      <c r="AT434" s="122"/>
      <c r="AU434" s="123"/>
      <c r="AV434" s="122"/>
      <c r="AW434" s="122"/>
      <c r="AX434" s="30"/>
      <c r="AY434" s="30"/>
      <c r="AZ434" s="30"/>
      <c r="BA434" s="30"/>
      <c r="BB434" s="26"/>
      <c r="BC434" s="26"/>
      <c r="BD434" s="26"/>
      <c r="BE434" s="26"/>
      <c r="BF434" s="26"/>
    </row>
    <row r="435" spans="1:58" ht="15.75" customHeight="1">
      <c r="A435" s="67"/>
      <c r="B435" s="67"/>
      <c r="C435" s="67"/>
      <c r="D435" s="68"/>
      <c r="E435" s="68"/>
      <c r="F435" s="68"/>
      <c r="G435" s="68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30"/>
      <c r="AO435" s="25"/>
      <c r="AP435" s="120"/>
      <c r="AQ435" s="120"/>
      <c r="AR435" s="121"/>
      <c r="AS435" s="96"/>
      <c r="AT435" s="122"/>
      <c r="AU435" s="123"/>
      <c r="AV435" s="122"/>
      <c r="AW435" s="122"/>
      <c r="AX435" s="30"/>
      <c r="AY435" s="30"/>
      <c r="AZ435" s="30"/>
      <c r="BA435" s="30"/>
      <c r="BB435" s="26"/>
      <c r="BC435" s="26"/>
      <c r="BD435" s="26"/>
      <c r="BE435" s="26"/>
      <c r="BF435" s="26"/>
    </row>
    <row r="436" spans="1:58" ht="15.75" customHeight="1">
      <c r="A436" s="67"/>
      <c r="B436" s="67"/>
      <c r="C436" s="67"/>
      <c r="D436" s="68"/>
      <c r="E436" s="68"/>
      <c r="F436" s="68"/>
      <c r="G436" s="68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30"/>
      <c r="AO436" s="25"/>
      <c r="AP436" s="120"/>
      <c r="AQ436" s="120"/>
      <c r="AR436" s="121"/>
      <c r="AS436" s="96"/>
      <c r="AT436" s="122"/>
      <c r="AU436" s="123"/>
      <c r="AV436" s="122"/>
      <c r="AW436" s="122"/>
      <c r="AX436" s="30"/>
      <c r="AY436" s="30"/>
      <c r="AZ436" s="30"/>
      <c r="BA436" s="30"/>
      <c r="BB436" s="26"/>
      <c r="BC436" s="26"/>
      <c r="BD436" s="26"/>
      <c r="BE436" s="26"/>
      <c r="BF436" s="26"/>
    </row>
    <row r="437" spans="1:58" ht="15.75" customHeight="1">
      <c r="A437" s="67"/>
      <c r="B437" s="67"/>
      <c r="C437" s="67"/>
      <c r="D437" s="68"/>
      <c r="E437" s="68"/>
      <c r="F437" s="68"/>
      <c r="G437" s="68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30"/>
      <c r="AO437" s="25"/>
      <c r="AP437" s="120"/>
      <c r="AQ437" s="120"/>
      <c r="AR437" s="121"/>
      <c r="AS437" s="96"/>
      <c r="AT437" s="122"/>
      <c r="AU437" s="123"/>
      <c r="AV437" s="122"/>
      <c r="AW437" s="122"/>
      <c r="AX437" s="30"/>
      <c r="AY437" s="30"/>
      <c r="AZ437" s="30"/>
      <c r="BA437" s="30"/>
      <c r="BB437" s="26"/>
      <c r="BC437" s="26"/>
      <c r="BD437" s="26"/>
      <c r="BE437" s="26"/>
      <c r="BF437" s="26"/>
    </row>
    <row r="438" spans="1:58" ht="15.75" customHeight="1">
      <c r="A438" s="67"/>
      <c r="B438" s="67"/>
      <c r="C438" s="67"/>
      <c r="D438" s="68"/>
      <c r="E438" s="68"/>
      <c r="F438" s="68"/>
      <c r="G438" s="68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30"/>
      <c r="AO438" s="25"/>
      <c r="AP438" s="120"/>
      <c r="AQ438" s="120"/>
      <c r="AR438" s="121"/>
      <c r="AS438" s="96"/>
      <c r="AT438" s="122"/>
      <c r="AU438" s="123"/>
      <c r="AV438" s="122"/>
      <c r="AW438" s="122"/>
      <c r="AX438" s="30"/>
      <c r="AY438" s="30"/>
      <c r="AZ438" s="30"/>
      <c r="BA438" s="30"/>
      <c r="BB438" s="26"/>
      <c r="BC438" s="26"/>
      <c r="BD438" s="26"/>
      <c r="BE438" s="26"/>
      <c r="BF438" s="26"/>
    </row>
    <row r="439" spans="1:58" ht="15.75" customHeight="1">
      <c r="A439" s="67"/>
      <c r="B439" s="67"/>
      <c r="C439" s="67"/>
      <c r="D439" s="68"/>
      <c r="E439" s="68"/>
      <c r="F439" s="68"/>
      <c r="G439" s="68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30"/>
      <c r="AO439" s="25"/>
      <c r="AP439" s="120"/>
      <c r="AQ439" s="120"/>
      <c r="AR439" s="121"/>
      <c r="AS439" s="96"/>
      <c r="AT439" s="122"/>
      <c r="AU439" s="123"/>
      <c r="AV439" s="122"/>
      <c r="AW439" s="122"/>
      <c r="AX439" s="30"/>
      <c r="AY439" s="30"/>
      <c r="AZ439" s="30"/>
      <c r="BA439" s="30"/>
      <c r="BB439" s="26"/>
      <c r="BC439" s="26"/>
      <c r="BD439" s="26"/>
      <c r="BE439" s="26"/>
      <c r="BF439" s="26"/>
    </row>
    <row r="440" spans="1:58" ht="15.75" customHeight="1">
      <c r="A440" s="67"/>
      <c r="B440" s="67"/>
      <c r="C440" s="67"/>
      <c r="D440" s="68"/>
      <c r="E440" s="68"/>
      <c r="F440" s="68"/>
      <c r="G440" s="68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30"/>
      <c r="AO440" s="25"/>
      <c r="AP440" s="120"/>
      <c r="AQ440" s="120"/>
      <c r="AR440" s="121"/>
      <c r="AS440" s="96"/>
      <c r="AT440" s="122"/>
      <c r="AU440" s="123"/>
      <c r="AV440" s="122"/>
      <c r="AW440" s="122"/>
      <c r="AX440" s="30"/>
      <c r="AY440" s="30"/>
      <c r="AZ440" s="30"/>
      <c r="BA440" s="30"/>
      <c r="BB440" s="26"/>
      <c r="BC440" s="26"/>
      <c r="BD440" s="26"/>
      <c r="BE440" s="26"/>
      <c r="BF440" s="26"/>
    </row>
    <row r="441" spans="1:58" ht="15.75" customHeight="1">
      <c r="A441" s="67"/>
      <c r="B441" s="67"/>
      <c r="C441" s="67"/>
      <c r="D441" s="68"/>
      <c r="E441" s="68"/>
      <c r="F441" s="68"/>
      <c r="G441" s="68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30"/>
      <c r="AO441" s="25"/>
      <c r="AP441" s="120"/>
      <c r="AQ441" s="120"/>
      <c r="AR441" s="121"/>
      <c r="AS441" s="96"/>
      <c r="AT441" s="122"/>
      <c r="AU441" s="123"/>
      <c r="AV441" s="122"/>
      <c r="AW441" s="122"/>
      <c r="AX441" s="30"/>
      <c r="AY441" s="30"/>
      <c r="AZ441" s="30"/>
      <c r="BA441" s="30"/>
      <c r="BB441" s="26"/>
      <c r="BC441" s="26"/>
      <c r="BD441" s="26"/>
      <c r="BE441" s="26"/>
      <c r="BF441" s="26"/>
    </row>
    <row r="442" spans="1:58" ht="15.75" customHeight="1">
      <c r="A442" s="67"/>
      <c r="B442" s="67"/>
      <c r="C442" s="67"/>
      <c r="D442" s="68"/>
      <c r="E442" s="68"/>
      <c r="F442" s="68"/>
      <c r="G442" s="68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30"/>
      <c r="AO442" s="25"/>
      <c r="AP442" s="120"/>
      <c r="AQ442" s="120"/>
      <c r="AR442" s="121"/>
      <c r="AS442" s="96"/>
      <c r="AT442" s="122"/>
      <c r="AU442" s="123"/>
      <c r="AV442" s="122"/>
      <c r="AW442" s="122"/>
      <c r="AX442" s="30"/>
      <c r="AY442" s="30"/>
      <c r="AZ442" s="30"/>
      <c r="BA442" s="30"/>
      <c r="BB442" s="26"/>
      <c r="BC442" s="26"/>
      <c r="BD442" s="26"/>
      <c r="BE442" s="26"/>
      <c r="BF442" s="26"/>
    </row>
    <row r="443" spans="1:58" ht="15.75" customHeight="1">
      <c r="A443" s="67"/>
      <c r="B443" s="67"/>
      <c r="C443" s="67"/>
      <c r="D443" s="68"/>
      <c r="E443" s="68"/>
      <c r="F443" s="68"/>
      <c r="G443" s="68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30"/>
      <c r="AO443" s="25"/>
      <c r="AP443" s="120"/>
      <c r="AQ443" s="120"/>
      <c r="AR443" s="121"/>
      <c r="AS443" s="96"/>
      <c r="AT443" s="122"/>
      <c r="AU443" s="123"/>
      <c r="AV443" s="122"/>
      <c r="AW443" s="122"/>
      <c r="AX443" s="30"/>
      <c r="AY443" s="30"/>
      <c r="AZ443" s="30"/>
      <c r="BA443" s="30"/>
      <c r="BB443" s="26"/>
      <c r="BC443" s="26"/>
      <c r="BD443" s="26"/>
      <c r="BE443" s="26"/>
      <c r="BF443" s="26"/>
    </row>
    <row r="444" spans="1:58" ht="15.75" customHeight="1">
      <c r="A444" s="67"/>
      <c r="B444" s="67"/>
      <c r="C444" s="67"/>
      <c r="D444" s="68"/>
      <c r="E444" s="68"/>
      <c r="F444" s="68"/>
      <c r="G444" s="68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30"/>
      <c r="AO444" s="25"/>
      <c r="AP444" s="120"/>
      <c r="AQ444" s="120"/>
      <c r="AR444" s="121"/>
      <c r="AS444" s="96"/>
      <c r="AT444" s="122"/>
      <c r="AU444" s="123"/>
      <c r="AV444" s="122"/>
      <c r="AW444" s="122"/>
      <c r="AX444" s="30"/>
      <c r="AY444" s="30"/>
      <c r="AZ444" s="30"/>
      <c r="BA444" s="30"/>
      <c r="BB444" s="26"/>
      <c r="BC444" s="26"/>
      <c r="BD444" s="26"/>
      <c r="BE444" s="26"/>
      <c r="BF444" s="26"/>
    </row>
    <row r="445" spans="1:58" ht="15.75" customHeight="1">
      <c r="A445" s="67"/>
      <c r="B445" s="67"/>
      <c r="C445" s="67"/>
      <c r="D445" s="68"/>
      <c r="E445" s="68"/>
      <c r="F445" s="68"/>
      <c r="G445" s="68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30"/>
      <c r="AO445" s="25"/>
      <c r="AP445" s="120"/>
      <c r="AQ445" s="120"/>
      <c r="AR445" s="121"/>
      <c r="AS445" s="96"/>
      <c r="AT445" s="122"/>
      <c r="AU445" s="123"/>
      <c r="AV445" s="122"/>
      <c r="AW445" s="122"/>
      <c r="AX445" s="30"/>
      <c r="AY445" s="30"/>
      <c r="AZ445" s="30"/>
      <c r="BA445" s="30"/>
      <c r="BB445" s="26"/>
      <c r="BC445" s="26"/>
      <c r="BD445" s="26"/>
      <c r="BE445" s="26"/>
      <c r="BF445" s="26"/>
    </row>
    <row r="446" spans="1:58" ht="15.75" customHeight="1">
      <c r="A446" s="67"/>
      <c r="B446" s="67"/>
      <c r="C446" s="67"/>
      <c r="D446" s="68"/>
      <c r="E446" s="68"/>
      <c r="F446" s="68"/>
      <c r="G446" s="68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30"/>
      <c r="AO446" s="25"/>
      <c r="AP446" s="120"/>
      <c r="AQ446" s="120"/>
      <c r="AR446" s="121"/>
      <c r="AS446" s="96"/>
      <c r="AT446" s="122"/>
      <c r="AU446" s="123"/>
      <c r="AV446" s="122"/>
      <c r="AW446" s="122"/>
      <c r="AX446" s="30"/>
      <c r="AY446" s="30"/>
      <c r="AZ446" s="30"/>
      <c r="BA446" s="30"/>
      <c r="BB446" s="26"/>
      <c r="BC446" s="26"/>
      <c r="BD446" s="26"/>
      <c r="BE446" s="26"/>
      <c r="BF446" s="26"/>
    </row>
    <row r="447" spans="1:58" ht="15.75" customHeight="1">
      <c r="A447" s="67"/>
      <c r="B447" s="67"/>
      <c r="C447" s="67"/>
      <c r="D447" s="68"/>
      <c r="E447" s="68"/>
      <c r="F447" s="68"/>
      <c r="G447" s="68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30"/>
      <c r="AO447" s="25"/>
      <c r="AP447" s="120"/>
      <c r="AQ447" s="120"/>
      <c r="AR447" s="121"/>
      <c r="AS447" s="96"/>
      <c r="AT447" s="122"/>
      <c r="AU447" s="123"/>
      <c r="AV447" s="122"/>
      <c r="AW447" s="122"/>
      <c r="AX447" s="30"/>
      <c r="AY447" s="30"/>
      <c r="AZ447" s="30"/>
      <c r="BA447" s="30"/>
      <c r="BB447" s="26"/>
      <c r="BC447" s="26"/>
      <c r="BD447" s="26"/>
      <c r="BE447" s="26"/>
      <c r="BF447" s="26"/>
    </row>
    <row r="448" spans="1:58" ht="15.75" customHeight="1">
      <c r="A448" s="67"/>
      <c r="B448" s="67"/>
      <c r="C448" s="67"/>
      <c r="D448" s="68"/>
      <c r="E448" s="68"/>
      <c r="F448" s="68"/>
      <c r="G448" s="68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30"/>
      <c r="AO448" s="25"/>
      <c r="AP448" s="120"/>
      <c r="AQ448" s="120"/>
      <c r="AR448" s="121"/>
      <c r="AS448" s="96"/>
      <c r="AT448" s="122"/>
      <c r="AU448" s="123"/>
      <c r="AV448" s="122"/>
      <c r="AW448" s="122"/>
      <c r="AX448" s="30"/>
      <c r="AY448" s="30"/>
      <c r="AZ448" s="30"/>
      <c r="BA448" s="30"/>
      <c r="BB448" s="26"/>
      <c r="BC448" s="26"/>
      <c r="BD448" s="26"/>
      <c r="BE448" s="26"/>
      <c r="BF448" s="26"/>
    </row>
    <row r="449" spans="1:58" ht="15.75" customHeight="1">
      <c r="A449" s="67"/>
      <c r="B449" s="67"/>
      <c r="C449" s="67"/>
      <c r="D449" s="68"/>
      <c r="E449" s="68"/>
      <c r="F449" s="68"/>
      <c r="G449" s="68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30"/>
      <c r="AO449" s="25"/>
      <c r="AP449" s="120"/>
      <c r="AQ449" s="120"/>
      <c r="AR449" s="121"/>
      <c r="AS449" s="96"/>
      <c r="AT449" s="122"/>
      <c r="AU449" s="123"/>
      <c r="AV449" s="122"/>
      <c r="AW449" s="122"/>
      <c r="AX449" s="30"/>
      <c r="AY449" s="30"/>
      <c r="AZ449" s="30"/>
      <c r="BA449" s="30"/>
      <c r="BB449" s="26"/>
      <c r="BC449" s="26"/>
      <c r="BD449" s="26"/>
      <c r="BE449" s="26"/>
      <c r="BF449" s="26"/>
    </row>
    <row r="450" spans="1:58" ht="15.75" customHeight="1">
      <c r="A450" s="67"/>
      <c r="B450" s="67"/>
      <c r="C450" s="67"/>
      <c r="D450" s="68"/>
      <c r="E450" s="68"/>
      <c r="F450" s="68"/>
      <c r="G450" s="68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30"/>
      <c r="AO450" s="25"/>
      <c r="AP450" s="120"/>
      <c r="AQ450" s="120"/>
      <c r="AR450" s="121"/>
      <c r="AS450" s="96"/>
      <c r="AT450" s="122"/>
      <c r="AU450" s="123"/>
      <c r="AV450" s="122"/>
      <c r="AW450" s="122"/>
      <c r="AX450" s="30"/>
      <c r="AY450" s="30"/>
      <c r="AZ450" s="30"/>
      <c r="BA450" s="30"/>
      <c r="BB450" s="26"/>
      <c r="BC450" s="26"/>
      <c r="BD450" s="26"/>
      <c r="BE450" s="26"/>
      <c r="BF450" s="26"/>
    </row>
    <row r="451" spans="1:58" ht="15.75" customHeight="1">
      <c r="A451" s="67"/>
      <c r="B451" s="67"/>
      <c r="C451" s="67"/>
      <c r="D451" s="68"/>
      <c r="E451" s="68"/>
      <c r="F451" s="68"/>
      <c r="G451" s="68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30"/>
      <c r="AO451" s="25"/>
      <c r="AP451" s="120"/>
      <c r="AQ451" s="120"/>
      <c r="AR451" s="121"/>
      <c r="AS451" s="96"/>
      <c r="AT451" s="122"/>
      <c r="AU451" s="123"/>
      <c r="AV451" s="122"/>
      <c r="AW451" s="122"/>
      <c r="AX451" s="30"/>
      <c r="AY451" s="30"/>
      <c r="AZ451" s="30"/>
      <c r="BA451" s="30"/>
      <c r="BB451" s="26"/>
      <c r="BC451" s="26"/>
      <c r="BD451" s="26"/>
      <c r="BE451" s="26"/>
      <c r="BF451" s="26"/>
    </row>
    <row r="452" spans="1:58" ht="15.75" customHeight="1">
      <c r="A452" s="67"/>
      <c r="B452" s="67"/>
      <c r="C452" s="67"/>
      <c r="D452" s="68"/>
      <c r="E452" s="68"/>
      <c r="F452" s="68"/>
      <c r="G452" s="68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30"/>
      <c r="AO452" s="25"/>
      <c r="AP452" s="120"/>
      <c r="AQ452" s="120"/>
      <c r="AR452" s="121"/>
      <c r="AS452" s="96"/>
      <c r="AT452" s="122"/>
      <c r="AU452" s="123"/>
      <c r="AV452" s="122"/>
      <c r="AW452" s="122"/>
      <c r="AX452" s="30"/>
      <c r="AY452" s="30"/>
      <c r="AZ452" s="30"/>
      <c r="BA452" s="30"/>
      <c r="BB452" s="26"/>
      <c r="BC452" s="26"/>
      <c r="BD452" s="26"/>
      <c r="BE452" s="26"/>
      <c r="BF452" s="26"/>
    </row>
    <row r="453" spans="1:58" ht="15.75" customHeight="1">
      <c r="A453" s="67"/>
      <c r="B453" s="67"/>
      <c r="C453" s="67"/>
      <c r="D453" s="68"/>
      <c r="E453" s="68"/>
      <c r="F453" s="68"/>
      <c r="G453" s="68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30"/>
      <c r="AO453" s="25"/>
      <c r="AP453" s="120"/>
      <c r="AQ453" s="120"/>
      <c r="AR453" s="121"/>
      <c r="AS453" s="96"/>
      <c r="AT453" s="122"/>
      <c r="AU453" s="123"/>
      <c r="AV453" s="122"/>
      <c r="AW453" s="122"/>
      <c r="AX453" s="30"/>
      <c r="AY453" s="30"/>
      <c r="AZ453" s="30"/>
      <c r="BA453" s="30"/>
      <c r="BB453" s="26"/>
      <c r="BC453" s="26"/>
      <c r="BD453" s="26"/>
      <c r="BE453" s="26"/>
      <c r="BF453" s="26"/>
    </row>
    <row r="454" spans="1:58" ht="15.75" customHeight="1">
      <c r="A454" s="67"/>
      <c r="B454" s="67"/>
      <c r="C454" s="67"/>
      <c r="D454" s="68"/>
      <c r="E454" s="68"/>
      <c r="F454" s="68"/>
      <c r="G454" s="68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30"/>
      <c r="AO454" s="25"/>
      <c r="AP454" s="120"/>
      <c r="AQ454" s="120"/>
      <c r="AR454" s="121"/>
      <c r="AS454" s="96"/>
      <c r="AT454" s="122"/>
      <c r="AU454" s="123"/>
      <c r="AV454" s="122"/>
      <c r="AW454" s="122"/>
      <c r="AX454" s="30"/>
      <c r="AY454" s="30"/>
      <c r="AZ454" s="30"/>
      <c r="BA454" s="30"/>
      <c r="BB454" s="26"/>
      <c r="BC454" s="26"/>
      <c r="BD454" s="26"/>
      <c r="BE454" s="26"/>
      <c r="BF454" s="26"/>
    </row>
    <row r="455" spans="1:58" ht="15.75" customHeight="1">
      <c r="A455" s="67"/>
      <c r="B455" s="67"/>
      <c r="C455" s="67"/>
      <c r="D455" s="68"/>
      <c r="E455" s="68"/>
      <c r="F455" s="68"/>
      <c r="G455" s="68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30"/>
      <c r="AO455" s="25"/>
      <c r="AP455" s="120"/>
      <c r="AQ455" s="120"/>
      <c r="AR455" s="121"/>
      <c r="AS455" s="96"/>
      <c r="AT455" s="122"/>
      <c r="AU455" s="123"/>
      <c r="AV455" s="122"/>
      <c r="AW455" s="122"/>
      <c r="AX455" s="30"/>
      <c r="AY455" s="30"/>
      <c r="AZ455" s="30"/>
      <c r="BA455" s="30"/>
      <c r="BB455" s="26"/>
      <c r="BC455" s="26"/>
      <c r="BD455" s="26"/>
      <c r="BE455" s="26"/>
      <c r="BF455" s="26"/>
    </row>
    <row r="456" spans="1:58" ht="15.75" customHeight="1">
      <c r="A456" s="67"/>
      <c r="B456" s="67"/>
      <c r="C456" s="67"/>
      <c r="D456" s="68"/>
      <c r="E456" s="68"/>
      <c r="F456" s="68"/>
      <c r="G456" s="68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30"/>
      <c r="AO456" s="25"/>
      <c r="AP456" s="120"/>
      <c r="AQ456" s="120"/>
      <c r="AR456" s="121"/>
      <c r="AS456" s="96"/>
      <c r="AT456" s="122"/>
      <c r="AU456" s="123"/>
      <c r="AV456" s="122"/>
      <c r="AW456" s="122"/>
      <c r="AX456" s="30"/>
      <c r="AY456" s="30"/>
      <c r="AZ456" s="30"/>
      <c r="BA456" s="30"/>
      <c r="BB456" s="26"/>
      <c r="BC456" s="26"/>
      <c r="BD456" s="26"/>
      <c r="BE456" s="26"/>
      <c r="BF456" s="26"/>
    </row>
    <row r="457" spans="1:58" ht="15.75" customHeight="1">
      <c r="A457" s="67"/>
      <c r="B457" s="67"/>
      <c r="C457" s="67"/>
      <c r="D457" s="68"/>
      <c r="E457" s="68"/>
      <c r="F457" s="68"/>
      <c r="G457" s="68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30"/>
      <c r="AO457" s="25"/>
      <c r="AP457" s="120"/>
      <c r="AQ457" s="120"/>
      <c r="AR457" s="121"/>
      <c r="AS457" s="96"/>
      <c r="AT457" s="122"/>
      <c r="AU457" s="123"/>
      <c r="AV457" s="122"/>
      <c r="AW457" s="122"/>
      <c r="AX457" s="30"/>
      <c r="AY457" s="30"/>
      <c r="AZ457" s="30"/>
      <c r="BA457" s="30"/>
      <c r="BB457" s="26"/>
      <c r="BC457" s="26"/>
      <c r="BD457" s="26"/>
      <c r="BE457" s="26"/>
      <c r="BF457" s="26"/>
    </row>
    <row r="458" spans="1:58" ht="15.75" customHeight="1">
      <c r="A458" s="67"/>
      <c r="B458" s="67"/>
      <c r="C458" s="67"/>
      <c r="D458" s="68"/>
      <c r="E458" s="68"/>
      <c r="F458" s="68"/>
      <c r="G458" s="68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30"/>
      <c r="AO458" s="25"/>
      <c r="AP458" s="120"/>
      <c r="AQ458" s="120"/>
      <c r="AR458" s="121"/>
      <c r="AS458" s="96"/>
      <c r="AT458" s="122"/>
      <c r="AU458" s="123"/>
      <c r="AV458" s="122"/>
      <c r="AW458" s="122"/>
      <c r="AX458" s="30"/>
      <c r="AY458" s="30"/>
      <c r="AZ458" s="30"/>
      <c r="BA458" s="30"/>
      <c r="BB458" s="26"/>
      <c r="BC458" s="26"/>
      <c r="BD458" s="26"/>
      <c r="BE458" s="26"/>
      <c r="BF458" s="26"/>
    </row>
    <row r="459" spans="1:58" ht="15.75" customHeight="1">
      <c r="A459" s="67"/>
      <c r="B459" s="67"/>
      <c r="C459" s="67"/>
      <c r="D459" s="68"/>
      <c r="E459" s="68"/>
      <c r="F459" s="68"/>
      <c r="G459" s="68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30"/>
      <c r="AO459" s="25"/>
      <c r="AP459" s="120"/>
      <c r="AQ459" s="120"/>
      <c r="AR459" s="121"/>
      <c r="AS459" s="96"/>
      <c r="AT459" s="122"/>
      <c r="AU459" s="123"/>
      <c r="AV459" s="122"/>
      <c r="AW459" s="122"/>
      <c r="AX459" s="30"/>
      <c r="AY459" s="30"/>
      <c r="AZ459" s="30"/>
      <c r="BA459" s="30"/>
      <c r="BB459" s="26"/>
      <c r="BC459" s="26"/>
      <c r="BD459" s="26"/>
      <c r="BE459" s="26"/>
      <c r="BF459" s="26"/>
    </row>
    <row r="460" spans="1:58" ht="15.75" customHeight="1">
      <c r="A460" s="67"/>
      <c r="B460" s="67"/>
      <c r="C460" s="67"/>
      <c r="D460" s="68"/>
      <c r="E460" s="68"/>
      <c r="F460" s="68"/>
      <c r="G460" s="68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30"/>
      <c r="AO460" s="25"/>
      <c r="AP460" s="120"/>
      <c r="AQ460" s="120"/>
      <c r="AR460" s="121"/>
      <c r="AS460" s="96"/>
      <c r="AT460" s="122"/>
      <c r="AU460" s="123"/>
      <c r="AV460" s="122"/>
      <c r="AW460" s="122"/>
      <c r="AX460" s="30"/>
      <c r="AY460" s="30"/>
      <c r="AZ460" s="30"/>
      <c r="BA460" s="30"/>
      <c r="BB460" s="26"/>
      <c r="BC460" s="26"/>
      <c r="BD460" s="26"/>
      <c r="BE460" s="26"/>
      <c r="BF460" s="26"/>
    </row>
    <row r="461" spans="1:58" ht="15.75" customHeight="1">
      <c r="A461" s="67"/>
      <c r="B461" s="67"/>
      <c r="C461" s="67"/>
      <c r="D461" s="68"/>
      <c r="E461" s="68"/>
      <c r="F461" s="68"/>
      <c r="G461" s="68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30"/>
      <c r="AO461" s="25"/>
      <c r="AP461" s="120"/>
      <c r="AQ461" s="120"/>
      <c r="AR461" s="121"/>
      <c r="AS461" s="96"/>
      <c r="AT461" s="122"/>
      <c r="AU461" s="123"/>
      <c r="AV461" s="122"/>
      <c r="AW461" s="122"/>
      <c r="AX461" s="30"/>
      <c r="AY461" s="30"/>
      <c r="AZ461" s="30"/>
      <c r="BA461" s="30"/>
      <c r="BB461" s="26"/>
      <c r="BC461" s="26"/>
      <c r="BD461" s="26"/>
      <c r="BE461" s="26"/>
      <c r="BF461" s="26"/>
    </row>
    <row r="462" spans="1:58" ht="15.75" customHeight="1">
      <c r="A462" s="67"/>
      <c r="B462" s="67"/>
      <c r="C462" s="67"/>
      <c r="D462" s="68"/>
      <c r="E462" s="68"/>
      <c r="F462" s="68"/>
      <c r="G462" s="68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30"/>
      <c r="AO462" s="25"/>
      <c r="AP462" s="120"/>
      <c r="AQ462" s="120"/>
      <c r="AR462" s="121"/>
      <c r="AS462" s="96"/>
      <c r="AT462" s="122"/>
      <c r="AU462" s="123"/>
      <c r="AV462" s="122"/>
      <c r="AW462" s="122"/>
      <c r="AX462" s="30"/>
      <c r="AY462" s="30"/>
      <c r="AZ462" s="30"/>
      <c r="BA462" s="30"/>
      <c r="BB462" s="26"/>
      <c r="BC462" s="26"/>
      <c r="BD462" s="26"/>
      <c r="BE462" s="26"/>
      <c r="BF462" s="26"/>
    </row>
    <row r="463" spans="1:58" ht="15.75" customHeight="1">
      <c r="A463" s="67"/>
      <c r="B463" s="67"/>
      <c r="C463" s="67"/>
      <c r="D463" s="68"/>
      <c r="E463" s="68"/>
      <c r="F463" s="68"/>
      <c r="G463" s="68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30"/>
      <c r="AO463" s="25"/>
      <c r="AP463" s="120"/>
      <c r="AQ463" s="120"/>
      <c r="AR463" s="121"/>
      <c r="AS463" s="96"/>
      <c r="AT463" s="122"/>
      <c r="AU463" s="123"/>
      <c r="AV463" s="122"/>
      <c r="AW463" s="122"/>
      <c r="AX463" s="30"/>
      <c r="AY463" s="30"/>
      <c r="AZ463" s="30"/>
      <c r="BA463" s="30"/>
      <c r="BB463" s="26"/>
      <c r="BC463" s="26"/>
      <c r="BD463" s="26"/>
      <c r="BE463" s="26"/>
      <c r="BF463" s="26"/>
    </row>
    <row r="464" spans="1:58" ht="15.75" customHeight="1">
      <c r="A464" s="67"/>
      <c r="B464" s="67"/>
      <c r="C464" s="67"/>
      <c r="D464" s="68"/>
      <c r="E464" s="68"/>
      <c r="F464" s="68"/>
      <c r="G464" s="68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30"/>
      <c r="AO464" s="25"/>
      <c r="AP464" s="120"/>
      <c r="AQ464" s="120"/>
      <c r="AR464" s="121"/>
      <c r="AS464" s="96"/>
      <c r="AT464" s="122"/>
      <c r="AU464" s="123"/>
      <c r="AV464" s="122"/>
      <c r="AW464" s="122"/>
      <c r="AX464" s="30"/>
      <c r="AY464" s="30"/>
      <c r="AZ464" s="30"/>
      <c r="BA464" s="30"/>
      <c r="BB464" s="26"/>
      <c r="BC464" s="26"/>
      <c r="BD464" s="26"/>
      <c r="BE464" s="26"/>
      <c r="BF464" s="26"/>
    </row>
    <row r="465" spans="1:58" ht="15.75" customHeight="1">
      <c r="A465" s="67"/>
      <c r="B465" s="67"/>
      <c r="C465" s="67"/>
      <c r="D465" s="68"/>
      <c r="E465" s="68"/>
      <c r="F465" s="68"/>
      <c r="G465" s="68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30"/>
      <c r="AO465" s="25"/>
      <c r="AP465" s="120"/>
      <c r="AQ465" s="120"/>
      <c r="AR465" s="121"/>
      <c r="AS465" s="96"/>
      <c r="AT465" s="122"/>
      <c r="AU465" s="123"/>
      <c r="AV465" s="122"/>
      <c r="AW465" s="122"/>
      <c r="AX465" s="30"/>
      <c r="AY465" s="30"/>
      <c r="AZ465" s="30"/>
      <c r="BA465" s="30"/>
      <c r="BB465" s="26"/>
      <c r="BC465" s="26"/>
      <c r="BD465" s="26"/>
      <c r="BE465" s="26"/>
      <c r="BF465" s="26"/>
    </row>
    <row r="466" spans="1:58" ht="15.75" customHeight="1">
      <c r="A466" s="67"/>
      <c r="B466" s="67"/>
      <c r="C466" s="67"/>
      <c r="D466" s="68"/>
      <c r="E466" s="68"/>
      <c r="F466" s="68"/>
      <c r="G466" s="68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30"/>
      <c r="AO466" s="25"/>
      <c r="AP466" s="120"/>
      <c r="AQ466" s="120"/>
      <c r="AR466" s="121"/>
      <c r="AS466" s="96"/>
      <c r="AT466" s="122"/>
      <c r="AU466" s="123"/>
      <c r="AV466" s="122"/>
      <c r="AW466" s="122"/>
      <c r="AX466" s="30"/>
      <c r="AY466" s="30"/>
      <c r="AZ466" s="30"/>
      <c r="BA466" s="30"/>
      <c r="BB466" s="26"/>
      <c r="BC466" s="26"/>
      <c r="BD466" s="26"/>
      <c r="BE466" s="26"/>
      <c r="BF466" s="26"/>
    </row>
    <row r="467" spans="1:58" ht="15.75" customHeight="1">
      <c r="A467" s="67"/>
      <c r="B467" s="67"/>
      <c r="C467" s="67"/>
      <c r="D467" s="68"/>
      <c r="E467" s="68"/>
      <c r="F467" s="68"/>
      <c r="G467" s="68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30"/>
      <c r="AO467" s="25"/>
      <c r="AP467" s="120"/>
      <c r="AQ467" s="120"/>
      <c r="AR467" s="121"/>
      <c r="AS467" s="96"/>
      <c r="AT467" s="122"/>
      <c r="AU467" s="123"/>
      <c r="AV467" s="122"/>
      <c r="AW467" s="122"/>
      <c r="AX467" s="30"/>
      <c r="AY467" s="30"/>
      <c r="AZ467" s="30"/>
      <c r="BA467" s="30"/>
      <c r="BB467" s="26"/>
      <c r="BC467" s="26"/>
      <c r="BD467" s="26"/>
      <c r="BE467" s="26"/>
      <c r="BF467" s="26"/>
    </row>
    <row r="468" spans="1:58" ht="15.75" customHeight="1">
      <c r="A468" s="67"/>
      <c r="B468" s="67"/>
      <c r="C468" s="67"/>
      <c r="D468" s="68"/>
      <c r="E468" s="68"/>
      <c r="F468" s="68"/>
      <c r="G468" s="68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30"/>
      <c r="AO468" s="25"/>
      <c r="AP468" s="120"/>
      <c r="AQ468" s="120"/>
      <c r="AR468" s="121"/>
      <c r="AS468" s="96"/>
      <c r="AT468" s="122"/>
      <c r="AU468" s="123"/>
      <c r="AV468" s="122"/>
      <c r="AW468" s="122"/>
      <c r="AX468" s="30"/>
      <c r="AY468" s="30"/>
      <c r="AZ468" s="30"/>
      <c r="BA468" s="30"/>
      <c r="BB468" s="26"/>
      <c r="BC468" s="26"/>
      <c r="BD468" s="26"/>
      <c r="BE468" s="26"/>
      <c r="BF468" s="26"/>
    </row>
    <row r="469" spans="1:58" ht="15.75" customHeight="1">
      <c r="A469" s="67"/>
      <c r="B469" s="67"/>
      <c r="C469" s="67"/>
      <c r="D469" s="68"/>
      <c r="E469" s="68"/>
      <c r="F469" s="68"/>
      <c r="G469" s="68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30"/>
      <c r="AO469" s="25"/>
      <c r="AP469" s="120"/>
      <c r="AQ469" s="120"/>
      <c r="AR469" s="121"/>
      <c r="AS469" s="96"/>
      <c r="AT469" s="122"/>
      <c r="AU469" s="123"/>
      <c r="AV469" s="122"/>
      <c r="AW469" s="122"/>
      <c r="AX469" s="30"/>
      <c r="AY469" s="30"/>
      <c r="AZ469" s="30"/>
      <c r="BA469" s="30"/>
      <c r="BB469" s="26"/>
      <c r="BC469" s="26"/>
      <c r="BD469" s="26"/>
      <c r="BE469" s="26"/>
      <c r="BF469" s="26"/>
    </row>
    <row r="470" spans="1:58" ht="15.75" customHeight="1">
      <c r="A470" s="67"/>
      <c r="B470" s="67"/>
      <c r="C470" s="67"/>
      <c r="D470" s="68"/>
      <c r="E470" s="68"/>
      <c r="F470" s="68"/>
      <c r="G470" s="68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30"/>
      <c r="AO470" s="25"/>
      <c r="AP470" s="120"/>
      <c r="AQ470" s="120"/>
      <c r="AR470" s="121"/>
      <c r="AS470" s="96"/>
      <c r="AT470" s="122"/>
      <c r="AU470" s="123"/>
      <c r="AV470" s="122"/>
      <c r="AW470" s="122"/>
      <c r="AX470" s="30"/>
      <c r="AY470" s="30"/>
      <c r="AZ470" s="30"/>
      <c r="BA470" s="30"/>
      <c r="BB470" s="26"/>
      <c r="BC470" s="26"/>
      <c r="BD470" s="26"/>
      <c r="BE470" s="26"/>
      <c r="BF470" s="26"/>
    </row>
    <row r="471" spans="1:58" ht="15.75" customHeight="1">
      <c r="A471" s="67"/>
      <c r="B471" s="67"/>
      <c r="C471" s="67"/>
      <c r="D471" s="68"/>
      <c r="E471" s="68"/>
      <c r="F471" s="68"/>
      <c r="G471" s="68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30"/>
      <c r="AO471" s="25"/>
      <c r="AP471" s="120"/>
      <c r="AQ471" s="120"/>
      <c r="AR471" s="121"/>
      <c r="AS471" s="96"/>
      <c r="AT471" s="122"/>
      <c r="AU471" s="123"/>
      <c r="AV471" s="122"/>
      <c r="AW471" s="122"/>
      <c r="AX471" s="30"/>
      <c r="AY471" s="30"/>
      <c r="AZ471" s="30"/>
      <c r="BA471" s="30"/>
      <c r="BB471" s="26"/>
      <c r="BC471" s="26"/>
      <c r="BD471" s="26"/>
      <c r="BE471" s="26"/>
      <c r="BF471" s="26"/>
    </row>
    <row r="472" spans="1:58" ht="15.75" customHeight="1">
      <c r="A472" s="67"/>
      <c r="B472" s="67"/>
      <c r="C472" s="67"/>
      <c r="D472" s="68"/>
      <c r="E472" s="68"/>
      <c r="F472" s="68"/>
      <c r="G472" s="68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30"/>
      <c r="AO472" s="25"/>
      <c r="AP472" s="120"/>
      <c r="AQ472" s="120"/>
      <c r="AR472" s="121"/>
      <c r="AS472" s="96"/>
      <c r="AT472" s="122"/>
      <c r="AU472" s="123"/>
      <c r="AV472" s="122"/>
      <c r="AW472" s="122"/>
      <c r="AX472" s="30"/>
      <c r="AY472" s="30"/>
      <c r="AZ472" s="30"/>
      <c r="BA472" s="30"/>
      <c r="BB472" s="26"/>
      <c r="BC472" s="26"/>
      <c r="BD472" s="26"/>
      <c r="BE472" s="26"/>
      <c r="BF472" s="26"/>
    </row>
    <row r="473" spans="1:58" ht="15.75" customHeight="1">
      <c r="A473" s="67"/>
      <c r="B473" s="67"/>
      <c r="C473" s="67"/>
      <c r="D473" s="68"/>
      <c r="E473" s="68"/>
      <c r="F473" s="68"/>
      <c r="G473" s="68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30"/>
      <c r="AO473" s="25"/>
      <c r="AP473" s="120"/>
      <c r="AQ473" s="120"/>
      <c r="AR473" s="121"/>
      <c r="AS473" s="96"/>
      <c r="AT473" s="122"/>
      <c r="AU473" s="123"/>
      <c r="AV473" s="122"/>
      <c r="AW473" s="122"/>
      <c r="AX473" s="30"/>
      <c r="AY473" s="30"/>
      <c r="AZ473" s="30"/>
      <c r="BA473" s="30"/>
      <c r="BB473" s="26"/>
      <c r="BC473" s="26"/>
      <c r="BD473" s="26"/>
      <c r="BE473" s="26"/>
      <c r="BF473" s="26"/>
    </row>
    <row r="474" spans="1:58" ht="15.75" customHeight="1">
      <c r="A474" s="67"/>
      <c r="B474" s="67"/>
      <c r="C474" s="67"/>
      <c r="D474" s="68"/>
      <c r="E474" s="68"/>
      <c r="F474" s="68"/>
      <c r="G474" s="68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30"/>
      <c r="AO474" s="25"/>
      <c r="AP474" s="120"/>
      <c r="AQ474" s="120"/>
      <c r="AR474" s="121"/>
      <c r="AS474" s="96"/>
      <c r="AT474" s="122"/>
      <c r="AU474" s="123"/>
      <c r="AV474" s="122"/>
      <c r="AW474" s="122"/>
      <c r="AX474" s="30"/>
      <c r="AY474" s="30"/>
      <c r="AZ474" s="30"/>
      <c r="BA474" s="30"/>
      <c r="BB474" s="26"/>
      <c r="BC474" s="26"/>
      <c r="BD474" s="26"/>
      <c r="BE474" s="26"/>
      <c r="BF474" s="26"/>
    </row>
    <row r="475" spans="1:58" ht="15.75" customHeight="1">
      <c r="A475" s="67"/>
      <c r="B475" s="67"/>
      <c r="C475" s="67"/>
      <c r="D475" s="68"/>
      <c r="E475" s="68"/>
      <c r="F475" s="68"/>
      <c r="G475" s="68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30"/>
      <c r="AO475" s="25"/>
      <c r="AP475" s="120"/>
      <c r="AQ475" s="120"/>
      <c r="AR475" s="121"/>
      <c r="AS475" s="96"/>
      <c r="AT475" s="122"/>
      <c r="AU475" s="123"/>
      <c r="AV475" s="122"/>
      <c r="AW475" s="122"/>
      <c r="AX475" s="30"/>
      <c r="AY475" s="30"/>
      <c r="AZ475" s="30"/>
      <c r="BA475" s="30"/>
      <c r="BB475" s="26"/>
      <c r="BC475" s="26"/>
      <c r="BD475" s="26"/>
      <c r="BE475" s="26"/>
      <c r="BF475" s="26"/>
    </row>
    <row r="476" spans="1:58" ht="15.75" customHeight="1">
      <c r="A476" s="67"/>
      <c r="B476" s="67"/>
      <c r="C476" s="67"/>
      <c r="D476" s="68"/>
      <c r="E476" s="68"/>
      <c r="F476" s="68"/>
      <c r="G476" s="68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30"/>
      <c r="AO476" s="25"/>
      <c r="AP476" s="120"/>
      <c r="AQ476" s="120"/>
      <c r="AR476" s="121"/>
      <c r="AS476" s="96"/>
      <c r="AT476" s="122"/>
      <c r="AU476" s="123"/>
      <c r="AV476" s="122"/>
      <c r="AW476" s="122"/>
      <c r="AX476" s="30"/>
      <c r="AY476" s="30"/>
      <c r="AZ476" s="30"/>
      <c r="BA476" s="30"/>
      <c r="BB476" s="26"/>
      <c r="BC476" s="26"/>
      <c r="BD476" s="26"/>
      <c r="BE476" s="26"/>
      <c r="BF476" s="26"/>
    </row>
    <row r="477" spans="1:58" ht="15.75" customHeight="1">
      <c r="A477" s="67"/>
      <c r="B477" s="67"/>
      <c r="C477" s="67"/>
      <c r="D477" s="68"/>
      <c r="E477" s="68"/>
      <c r="F477" s="68"/>
      <c r="G477" s="68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30"/>
      <c r="AO477" s="25"/>
      <c r="AP477" s="120"/>
      <c r="AQ477" s="120"/>
      <c r="AR477" s="121"/>
      <c r="AS477" s="96"/>
      <c r="AT477" s="122"/>
      <c r="AU477" s="123"/>
      <c r="AV477" s="122"/>
      <c r="AW477" s="122"/>
      <c r="AX477" s="30"/>
      <c r="AY477" s="30"/>
      <c r="AZ477" s="30"/>
      <c r="BA477" s="30"/>
      <c r="BB477" s="26"/>
      <c r="BC477" s="26"/>
      <c r="BD477" s="26"/>
      <c r="BE477" s="26"/>
      <c r="BF477" s="26"/>
    </row>
    <row r="478" spans="1:58" ht="15.75" customHeight="1">
      <c r="A478" s="67"/>
      <c r="B478" s="67"/>
      <c r="C478" s="67"/>
      <c r="D478" s="68"/>
      <c r="E478" s="68"/>
      <c r="F478" s="68"/>
      <c r="G478" s="68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30"/>
      <c r="AO478" s="25"/>
      <c r="AP478" s="120"/>
      <c r="AQ478" s="120"/>
      <c r="AR478" s="121"/>
      <c r="AS478" s="96"/>
      <c r="AT478" s="122"/>
      <c r="AU478" s="123"/>
      <c r="AV478" s="122"/>
      <c r="AW478" s="122"/>
      <c r="AX478" s="30"/>
      <c r="AY478" s="30"/>
      <c r="AZ478" s="30"/>
      <c r="BA478" s="30"/>
      <c r="BB478" s="26"/>
      <c r="BC478" s="26"/>
      <c r="BD478" s="26"/>
      <c r="BE478" s="26"/>
      <c r="BF478" s="26"/>
    </row>
    <row r="479" spans="1:58" ht="15.75" customHeight="1">
      <c r="A479" s="67"/>
      <c r="B479" s="67"/>
      <c r="C479" s="67"/>
      <c r="D479" s="68"/>
      <c r="E479" s="68"/>
      <c r="F479" s="68"/>
      <c r="G479" s="68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30"/>
      <c r="AO479" s="25"/>
      <c r="AP479" s="120"/>
      <c r="AQ479" s="120"/>
      <c r="AR479" s="121"/>
      <c r="AS479" s="96"/>
      <c r="AT479" s="122"/>
      <c r="AU479" s="123"/>
      <c r="AV479" s="122"/>
      <c r="AW479" s="122"/>
      <c r="AX479" s="30"/>
      <c r="AY479" s="30"/>
      <c r="AZ479" s="30"/>
      <c r="BA479" s="30"/>
      <c r="BB479" s="26"/>
      <c r="BC479" s="26"/>
      <c r="BD479" s="26"/>
      <c r="BE479" s="26"/>
      <c r="BF479" s="26"/>
    </row>
    <row r="480" spans="1:58" ht="15.75" customHeight="1">
      <c r="A480" s="67"/>
      <c r="B480" s="67"/>
      <c r="C480" s="67"/>
      <c r="D480" s="68"/>
      <c r="E480" s="68"/>
      <c r="F480" s="68"/>
      <c r="G480" s="68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30"/>
      <c r="AO480" s="25"/>
      <c r="AP480" s="120"/>
      <c r="AQ480" s="120"/>
      <c r="AR480" s="121"/>
      <c r="AS480" s="96"/>
      <c r="AT480" s="122"/>
      <c r="AU480" s="123"/>
      <c r="AV480" s="122"/>
      <c r="AW480" s="122"/>
      <c r="AX480" s="30"/>
      <c r="AY480" s="30"/>
      <c r="AZ480" s="30"/>
      <c r="BA480" s="30"/>
      <c r="BB480" s="26"/>
      <c r="BC480" s="26"/>
      <c r="BD480" s="26"/>
      <c r="BE480" s="26"/>
      <c r="BF480" s="26"/>
    </row>
    <row r="481" spans="1:58" ht="15.75" customHeight="1">
      <c r="A481" s="67"/>
      <c r="B481" s="67"/>
      <c r="C481" s="67"/>
      <c r="D481" s="68"/>
      <c r="E481" s="68"/>
      <c r="F481" s="68"/>
      <c r="G481" s="68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30"/>
      <c r="AO481" s="25"/>
      <c r="AP481" s="120"/>
      <c r="AQ481" s="120"/>
      <c r="AR481" s="121"/>
      <c r="AS481" s="96"/>
      <c r="AT481" s="122"/>
      <c r="AU481" s="123"/>
      <c r="AV481" s="122"/>
      <c r="AW481" s="122"/>
      <c r="AX481" s="30"/>
      <c r="AY481" s="30"/>
      <c r="AZ481" s="30"/>
      <c r="BA481" s="30"/>
      <c r="BB481" s="26"/>
      <c r="BC481" s="26"/>
      <c r="BD481" s="26"/>
      <c r="BE481" s="26"/>
      <c r="BF481" s="26"/>
    </row>
    <row r="482" spans="1:58" ht="15.75" customHeight="1">
      <c r="A482" s="67"/>
      <c r="B482" s="67"/>
      <c r="C482" s="67"/>
      <c r="D482" s="68"/>
      <c r="E482" s="68"/>
      <c r="F482" s="68"/>
      <c r="G482" s="68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30"/>
      <c r="AO482" s="25"/>
      <c r="AP482" s="120"/>
      <c r="AQ482" s="120"/>
      <c r="AR482" s="121"/>
      <c r="AS482" s="96"/>
      <c r="AT482" s="122"/>
      <c r="AU482" s="123"/>
      <c r="AV482" s="122"/>
      <c r="AW482" s="122"/>
      <c r="AX482" s="30"/>
      <c r="AY482" s="30"/>
      <c r="AZ482" s="30"/>
      <c r="BA482" s="30"/>
      <c r="BB482" s="26"/>
      <c r="BC482" s="26"/>
      <c r="BD482" s="26"/>
      <c r="BE482" s="26"/>
      <c r="BF482" s="26"/>
    </row>
    <row r="483" spans="1:58" ht="15.75" customHeight="1">
      <c r="A483" s="67"/>
      <c r="B483" s="67"/>
      <c r="C483" s="67"/>
      <c r="D483" s="68"/>
      <c r="E483" s="68"/>
      <c r="F483" s="68"/>
      <c r="G483" s="68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30"/>
      <c r="AO483" s="25"/>
      <c r="AP483" s="120"/>
      <c r="AQ483" s="120"/>
      <c r="AR483" s="121"/>
      <c r="AS483" s="96"/>
      <c r="AT483" s="122"/>
      <c r="AU483" s="123"/>
      <c r="AV483" s="122"/>
      <c r="AW483" s="122"/>
      <c r="AX483" s="30"/>
      <c r="AY483" s="30"/>
      <c r="AZ483" s="30"/>
      <c r="BA483" s="30"/>
      <c r="BB483" s="26"/>
      <c r="BC483" s="26"/>
      <c r="BD483" s="26"/>
      <c r="BE483" s="26"/>
      <c r="BF483" s="26"/>
    </row>
    <row r="484" spans="1:58" ht="15.75" customHeight="1">
      <c r="A484" s="67"/>
      <c r="B484" s="67"/>
      <c r="C484" s="67"/>
      <c r="D484" s="68"/>
      <c r="E484" s="68"/>
      <c r="F484" s="68"/>
      <c r="G484" s="68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30"/>
      <c r="AO484" s="25"/>
      <c r="AP484" s="120"/>
      <c r="AQ484" s="120"/>
      <c r="AR484" s="121"/>
      <c r="AS484" s="96"/>
      <c r="AT484" s="122"/>
      <c r="AU484" s="123"/>
      <c r="AV484" s="122"/>
      <c r="AW484" s="122"/>
      <c r="AX484" s="30"/>
      <c r="AY484" s="30"/>
      <c r="AZ484" s="30"/>
      <c r="BA484" s="30"/>
      <c r="BB484" s="26"/>
      <c r="BC484" s="26"/>
      <c r="BD484" s="26"/>
      <c r="BE484" s="26"/>
      <c r="BF484" s="26"/>
    </row>
    <row r="485" spans="1:58" ht="15.75" customHeight="1">
      <c r="A485" s="67"/>
      <c r="B485" s="67"/>
      <c r="C485" s="67"/>
      <c r="D485" s="68"/>
      <c r="E485" s="68"/>
      <c r="F485" s="68"/>
      <c r="G485" s="68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30"/>
      <c r="AO485" s="25"/>
      <c r="AP485" s="120"/>
      <c r="AQ485" s="120"/>
      <c r="AR485" s="121"/>
      <c r="AS485" s="96"/>
      <c r="AT485" s="122"/>
      <c r="AU485" s="123"/>
      <c r="AV485" s="122"/>
      <c r="AW485" s="122"/>
      <c r="AX485" s="30"/>
      <c r="AY485" s="30"/>
      <c r="AZ485" s="30"/>
      <c r="BA485" s="30"/>
      <c r="BB485" s="26"/>
      <c r="BC485" s="26"/>
      <c r="BD485" s="26"/>
      <c r="BE485" s="26"/>
      <c r="BF485" s="26"/>
    </row>
    <row r="486" spans="1:58" ht="15.75" customHeight="1">
      <c r="A486" s="67"/>
      <c r="B486" s="67"/>
      <c r="C486" s="67"/>
      <c r="D486" s="68"/>
      <c r="E486" s="68"/>
      <c r="F486" s="68"/>
      <c r="G486" s="68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30"/>
      <c r="AO486" s="25"/>
      <c r="AP486" s="120"/>
      <c r="AQ486" s="120"/>
      <c r="AR486" s="121"/>
      <c r="AS486" s="96"/>
      <c r="AT486" s="122"/>
      <c r="AU486" s="123"/>
      <c r="AV486" s="122"/>
      <c r="AW486" s="122"/>
      <c r="AX486" s="30"/>
      <c r="AY486" s="30"/>
      <c r="AZ486" s="30"/>
      <c r="BA486" s="30"/>
      <c r="BB486" s="26"/>
      <c r="BC486" s="26"/>
      <c r="BD486" s="26"/>
      <c r="BE486" s="26"/>
      <c r="BF486" s="26"/>
    </row>
    <row r="487" spans="1:58" ht="15.75" customHeight="1">
      <c r="A487" s="67"/>
      <c r="B487" s="67"/>
      <c r="C487" s="67"/>
      <c r="D487" s="68"/>
      <c r="E487" s="68"/>
      <c r="F487" s="68"/>
      <c r="G487" s="68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30"/>
      <c r="AO487" s="25"/>
      <c r="AP487" s="120"/>
      <c r="AQ487" s="120"/>
      <c r="AR487" s="121"/>
      <c r="AS487" s="96"/>
      <c r="AT487" s="122"/>
      <c r="AU487" s="123"/>
      <c r="AV487" s="122"/>
      <c r="AW487" s="122"/>
      <c r="AX487" s="30"/>
      <c r="AY487" s="30"/>
      <c r="AZ487" s="30"/>
      <c r="BA487" s="30"/>
      <c r="BB487" s="26"/>
      <c r="BC487" s="26"/>
      <c r="BD487" s="26"/>
      <c r="BE487" s="26"/>
      <c r="BF487" s="26"/>
    </row>
    <row r="488" spans="1:58" ht="15.75" customHeight="1">
      <c r="A488" s="67"/>
      <c r="B488" s="67"/>
      <c r="C488" s="67"/>
      <c r="D488" s="68"/>
      <c r="E488" s="68"/>
      <c r="F488" s="68"/>
      <c r="G488" s="68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30"/>
      <c r="AO488" s="25"/>
      <c r="AP488" s="120"/>
      <c r="AQ488" s="120"/>
      <c r="AR488" s="121"/>
      <c r="AS488" s="96"/>
      <c r="AT488" s="122"/>
      <c r="AU488" s="123"/>
      <c r="AV488" s="122"/>
      <c r="AW488" s="122"/>
      <c r="AX488" s="30"/>
      <c r="AY488" s="30"/>
      <c r="AZ488" s="30"/>
      <c r="BA488" s="30"/>
      <c r="BB488" s="26"/>
      <c r="BC488" s="26"/>
      <c r="BD488" s="26"/>
      <c r="BE488" s="26"/>
      <c r="BF488" s="26"/>
    </row>
    <row r="489" spans="1:58" ht="15.75" customHeight="1">
      <c r="A489" s="67"/>
      <c r="B489" s="67"/>
      <c r="C489" s="67"/>
      <c r="D489" s="68"/>
      <c r="E489" s="68"/>
      <c r="F489" s="68"/>
      <c r="G489" s="68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30"/>
      <c r="AO489" s="25"/>
      <c r="AP489" s="120"/>
      <c r="AQ489" s="120"/>
      <c r="AR489" s="121"/>
      <c r="AS489" s="96"/>
      <c r="AT489" s="122"/>
      <c r="AU489" s="123"/>
      <c r="AV489" s="122"/>
      <c r="AW489" s="122"/>
      <c r="AX489" s="30"/>
      <c r="AY489" s="30"/>
      <c r="AZ489" s="30"/>
      <c r="BA489" s="30"/>
      <c r="BB489" s="26"/>
      <c r="BC489" s="26"/>
      <c r="BD489" s="26"/>
      <c r="BE489" s="26"/>
      <c r="BF489" s="26"/>
    </row>
    <row r="490" spans="1:58" ht="15.75" customHeight="1">
      <c r="A490" s="67"/>
      <c r="B490" s="67"/>
      <c r="C490" s="67"/>
      <c r="D490" s="68"/>
      <c r="E490" s="68"/>
      <c r="F490" s="68"/>
      <c r="G490" s="68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30"/>
      <c r="AO490" s="25"/>
      <c r="AP490" s="120"/>
      <c r="AQ490" s="120"/>
      <c r="AR490" s="121"/>
      <c r="AS490" s="96"/>
      <c r="AT490" s="122"/>
      <c r="AU490" s="123"/>
      <c r="AV490" s="122"/>
      <c r="AW490" s="122"/>
      <c r="AX490" s="30"/>
      <c r="AY490" s="30"/>
      <c r="AZ490" s="30"/>
      <c r="BA490" s="30"/>
      <c r="BB490" s="26"/>
      <c r="BC490" s="26"/>
      <c r="BD490" s="26"/>
      <c r="BE490" s="26"/>
      <c r="BF490" s="26"/>
    </row>
    <row r="491" spans="1:58" ht="15.75" customHeight="1">
      <c r="A491" s="67"/>
      <c r="B491" s="67"/>
      <c r="C491" s="67"/>
      <c r="D491" s="68"/>
      <c r="E491" s="68"/>
      <c r="F491" s="68"/>
      <c r="G491" s="68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30"/>
      <c r="AO491" s="25"/>
      <c r="AP491" s="120"/>
      <c r="AQ491" s="120"/>
      <c r="AR491" s="121"/>
      <c r="AS491" s="96"/>
      <c r="AT491" s="122"/>
      <c r="AU491" s="123"/>
      <c r="AV491" s="122"/>
      <c r="AW491" s="122"/>
      <c r="AX491" s="30"/>
      <c r="AY491" s="30"/>
      <c r="AZ491" s="30"/>
      <c r="BA491" s="30"/>
      <c r="BB491" s="26"/>
      <c r="BC491" s="26"/>
      <c r="BD491" s="26"/>
      <c r="BE491" s="26"/>
      <c r="BF491" s="26"/>
    </row>
    <row r="492" spans="1:58" ht="15.75" customHeight="1">
      <c r="A492" s="67"/>
      <c r="B492" s="67"/>
      <c r="C492" s="67"/>
      <c r="D492" s="68"/>
      <c r="E492" s="68"/>
      <c r="F492" s="68"/>
      <c r="G492" s="68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30"/>
      <c r="AO492" s="25"/>
      <c r="AP492" s="120"/>
      <c r="AQ492" s="120"/>
      <c r="AR492" s="121"/>
      <c r="AS492" s="96"/>
      <c r="AT492" s="122"/>
      <c r="AU492" s="123"/>
      <c r="AV492" s="122"/>
      <c r="AW492" s="122"/>
      <c r="AX492" s="30"/>
      <c r="AY492" s="30"/>
      <c r="AZ492" s="30"/>
      <c r="BA492" s="30"/>
      <c r="BB492" s="26"/>
      <c r="BC492" s="26"/>
      <c r="BD492" s="26"/>
      <c r="BE492" s="26"/>
      <c r="BF492" s="26"/>
    </row>
    <row r="493" spans="1:58" ht="15.75" customHeight="1">
      <c r="A493" s="67"/>
      <c r="B493" s="67"/>
      <c r="C493" s="67"/>
      <c r="D493" s="68"/>
      <c r="E493" s="68"/>
      <c r="F493" s="68"/>
      <c r="G493" s="68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30"/>
      <c r="AO493" s="25"/>
      <c r="AP493" s="120"/>
      <c r="AQ493" s="120"/>
      <c r="AR493" s="121"/>
      <c r="AS493" s="96"/>
      <c r="AT493" s="122"/>
      <c r="AU493" s="123"/>
      <c r="AV493" s="122"/>
      <c r="AW493" s="122"/>
      <c r="AX493" s="30"/>
      <c r="AY493" s="30"/>
      <c r="AZ493" s="30"/>
      <c r="BA493" s="30"/>
      <c r="BB493" s="26"/>
      <c r="BC493" s="26"/>
      <c r="BD493" s="26"/>
      <c r="BE493" s="26"/>
      <c r="BF493" s="26"/>
    </row>
    <row r="494" spans="1:58" ht="15.75" customHeight="1">
      <c r="A494" s="67"/>
      <c r="B494" s="67"/>
      <c r="C494" s="67"/>
      <c r="D494" s="68"/>
      <c r="E494" s="68"/>
      <c r="F494" s="68"/>
      <c r="G494" s="68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30"/>
      <c r="AO494" s="25"/>
      <c r="AP494" s="120"/>
      <c r="AQ494" s="120"/>
      <c r="AR494" s="121"/>
      <c r="AS494" s="96"/>
      <c r="AT494" s="122"/>
      <c r="AU494" s="123"/>
      <c r="AV494" s="122"/>
      <c r="AW494" s="122"/>
      <c r="AX494" s="30"/>
      <c r="AY494" s="30"/>
      <c r="AZ494" s="30"/>
      <c r="BA494" s="30"/>
      <c r="BB494" s="26"/>
      <c r="BC494" s="26"/>
      <c r="BD494" s="26"/>
      <c r="BE494" s="26"/>
      <c r="BF494" s="26"/>
    </row>
    <row r="495" spans="1:58" ht="15.75" customHeight="1">
      <c r="A495" s="67"/>
      <c r="B495" s="67"/>
      <c r="C495" s="67"/>
      <c r="D495" s="68"/>
      <c r="E495" s="68"/>
      <c r="F495" s="68"/>
      <c r="G495" s="68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30"/>
      <c r="AO495" s="25"/>
      <c r="AP495" s="120"/>
      <c r="AQ495" s="120"/>
      <c r="AR495" s="121"/>
      <c r="AS495" s="96"/>
      <c r="AT495" s="122"/>
      <c r="AU495" s="123"/>
      <c r="AV495" s="122"/>
      <c r="AW495" s="122"/>
      <c r="AX495" s="30"/>
      <c r="AY495" s="30"/>
      <c r="AZ495" s="30"/>
      <c r="BA495" s="30"/>
      <c r="BB495" s="26"/>
      <c r="BC495" s="26"/>
      <c r="BD495" s="26"/>
      <c r="BE495" s="26"/>
      <c r="BF495" s="26"/>
    </row>
    <row r="496" spans="1:58" ht="15.75" customHeight="1">
      <c r="A496" s="67"/>
      <c r="B496" s="67"/>
      <c r="C496" s="67"/>
      <c r="D496" s="68"/>
      <c r="E496" s="68"/>
      <c r="F496" s="68"/>
      <c r="G496" s="68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30"/>
      <c r="AO496" s="25"/>
      <c r="AP496" s="120"/>
      <c r="AQ496" s="120"/>
      <c r="AR496" s="121"/>
      <c r="AS496" s="96"/>
      <c r="AT496" s="122"/>
      <c r="AU496" s="123"/>
      <c r="AV496" s="122"/>
      <c r="AW496" s="122"/>
      <c r="AX496" s="30"/>
      <c r="AY496" s="30"/>
      <c r="AZ496" s="30"/>
      <c r="BA496" s="30"/>
      <c r="BB496" s="26"/>
      <c r="BC496" s="26"/>
      <c r="BD496" s="26"/>
      <c r="BE496" s="26"/>
      <c r="BF496" s="26"/>
    </row>
    <row r="497" spans="1:58" ht="15.75" customHeight="1">
      <c r="A497" s="67"/>
      <c r="B497" s="67"/>
      <c r="C497" s="67"/>
      <c r="D497" s="68"/>
      <c r="E497" s="68"/>
      <c r="F497" s="68"/>
      <c r="G497" s="68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30"/>
      <c r="AO497" s="25"/>
      <c r="AP497" s="120"/>
      <c r="AQ497" s="120"/>
      <c r="AR497" s="121"/>
      <c r="AS497" s="96"/>
      <c r="AT497" s="122"/>
      <c r="AU497" s="123"/>
      <c r="AV497" s="122"/>
      <c r="AW497" s="122"/>
      <c r="AX497" s="30"/>
      <c r="AY497" s="30"/>
      <c r="AZ497" s="30"/>
      <c r="BA497" s="30"/>
      <c r="BB497" s="26"/>
      <c r="BC497" s="26"/>
      <c r="BD497" s="26"/>
      <c r="BE497" s="26"/>
      <c r="BF497" s="26"/>
    </row>
    <row r="498" spans="1:58" ht="15.75" customHeight="1">
      <c r="A498" s="67"/>
      <c r="B498" s="67"/>
      <c r="C498" s="67"/>
      <c r="D498" s="68"/>
      <c r="E498" s="68"/>
      <c r="F498" s="68"/>
      <c r="G498" s="68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30"/>
      <c r="AO498" s="25"/>
      <c r="AP498" s="120"/>
      <c r="AQ498" s="120"/>
      <c r="AR498" s="121"/>
      <c r="AS498" s="96"/>
      <c r="AT498" s="122"/>
      <c r="AU498" s="123"/>
      <c r="AV498" s="122"/>
      <c r="AW498" s="122"/>
      <c r="AX498" s="30"/>
      <c r="AY498" s="30"/>
      <c r="AZ498" s="30"/>
      <c r="BA498" s="30"/>
      <c r="BB498" s="26"/>
      <c r="BC498" s="26"/>
      <c r="BD498" s="26"/>
      <c r="BE498" s="26"/>
      <c r="BF498" s="26"/>
    </row>
    <row r="499" spans="1:58" ht="15.75" customHeight="1">
      <c r="A499" s="67"/>
      <c r="B499" s="67"/>
      <c r="C499" s="67"/>
      <c r="D499" s="68"/>
      <c r="E499" s="68"/>
      <c r="F499" s="68"/>
      <c r="G499" s="68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30"/>
      <c r="AO499" s="25"/>
      <c r="AP499" s="120"/>
      <c r="AQ499" s="120"/>
      <c r="AR499" s="121"/>
      <c r="AS499" s="96"/>
      <c r="AT499" s="122"/>
      <c r="AU499" s="123"/>
      <c r="AV499" s="122"/>
      <c r="AW499" s="122"/>
      <c r="AX499" s="30"/>
      <c r="AY499" s="30"/>
      <c r="AZ499" s="30"/>
      <c r="BA499" s="30"/>
      <c r="BB499" s="26"/>
      <c r="BC499" s="26"/>
      <c r="BD499" s="26"/>
      <c r="BE499" s="26"/>
      <c r="BF499" s="26"/>
    </row>
    <row r="500" spans="1:58" ht="15.75" customHeight="1">
      <c r="A500" s="67"/>
      <c r="B500" s="67"/>
      <c r="C500" s="67"/>
      <c r="D500" s="68"/>
      <c r="E500" s="68"/>
      <c r="F500" s="68"/>
      <c r="G500" s="68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30"/>
      <c r="AO500" s="25"/>
      <c r="AP500" s="120"/>
      <c r="AQ500" s="120"/>
      <c r="AR500" s="121"/>
      <c r="AS500" s="96"/>
      <c r="AT500" s="122"/>
      <c r="AU500" s="123"/>
      <c r="AV500" s="122"/>
      <c r="AW500" s="122"/>
      <c r="AX500" s="30"/>
      <c r="AY500" s="30"/>
      <c r="AZ500" s="30"/>
      <c r="BA500" s="30"/>
      <c r="BB500" s="26"/>
      <c r="BC500" s="26"/>
      <c r="BD500" s="26"/>
      <c r="BE500" s="26"/>
      <c r="BF500" s="26"/>
    </row>
    <row r="501" spans="1:58" ht="15.75" customHeight="1">
      <c r="A501" s="67"/>
      <c r="B501" s="67"/>
      <c r="C501" s="67"/>
      <c r="D501" s="68"/>
      <c r="E501" s="68"/>
      <c r="F501" s="68"/>
      <c r="G501" s="68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30"/>
      <c r="AO501" s="25"/>
      <c r="AP501" s="120"/>
      <c r="AQ501" s="120"/>
      <c r="AR501" s="121"/>
      <c r="AS501" s="96"/>
      <c r="AT501" s="122"/>
      <c r="AU501" s="123"/>
      <c r="AV501" s="122"/>
      <c r="AW501" s="122"/>
      <c r="AX501" s="30"/>
      <c r="AY501" s="30"/>
      <c r="AZ501" s="30"/>
      <c r="BA501" s="30"/>
      <c r="BB501" s="26"/>
      <c r="BC501" s="26"/>
      <c r="BD501" s="26"/>
      <c r="BE501" s="26"/>
      <c r="BF501" s="26"/>
    </row>
    <row r="502" spans="1:58" ht="15.75" customHeight="1">
      <c r="A502" s="67"/>
      <c r="B502" s="67"/>
      <c r="C502" s="67"/>
      <c r="D502" s="68"/>
      <c r="E502" s="68"/>
      <c r="F502" s="68"/>
      <c r="G502" s="68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30"/>
      <c r="AO502" s="25"/>
      <c r="AP502" s="120"/>
      <c r="AQ502" s="120"/>
      <c r="AR502" s="121"/>
      <c r="AS502" s="96"/>
      <c r="AT502" s="122"/>
      <c r="AU502" s="123"/>
      <c r="AV502" s="122"/>
      <c r="AW502" s="122"/>
      <c r="AX502" s="30"/>
      <c r="AY502" s="30"/>
      <c r="AZ502" s="30"/>
      <c r="BA502" s="30"/>
      <c r="BB502" s="26"/>
      <c r="BC502" s="26"/>
      <c r="BD502" s="26"/>
      <c r="BE502" s="26"/>
      <c r="BF502" s="26"/>
    </row>
    <row r="503" spans="1:58" ht="15.75" customHeight="1">
      <c r="A503" s="67"/>
      <c r="B503" s="67"/>
      <c r="C503" s="67"/>
      <c r="D503" s="68"/>
      <c r="E503" s="68"/>
      <c r="F503" s="68"/>
      <c r="G503" s="68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30"/>
      <c r="AO503" s="25"/>
      <c r="AP503" s="120"/>
      <c r="AQ503" s="120"/>
      <c r="AR503" s="121"/>
      <c r="AS503" s="96"/>
      <c r="AT503" s="122"/>
      <c r="AU503" s="123"/>
      <c r="AV503" s="122"/>
      <c r="AW503" s="122"/>
      <c r="AX503" s="30"/>
      <c r="AY503" s="30"/>
      <c r="AZ503" s="30"/>
      <c r="BA503" s="30"/>
      <c r="BB503" s="26"/>
      <c r="BC503" s="26"/>
      <c r="BD503" s="26"/>
      <c r="BE503" s="26"/>
      <c r="BF503" s="26"/>
    </row>
    <row r="504" spans="1:58" ht="15.75" customHeight="1">
      <c r="A504" s="67"/>
      <c r="B504" s="67"/>
      <c r="C504" s="67"/>
      <c r="D504" s="68"/>
      <c r="E504" s="68"/>
      <c r="F504" s="68"/>
      <c r="G504" s="68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30"/>
      <c r="AO504" s="25"/>
      <c r="AP504" s="120"/>
      <c r="AQ504" s="120"/>
      <c r="AR504" s="121"/>
      <c r="AS504" s="96"/>
      <c r="AT504" s="122"/>
      <c r="AU504" s="123"/>
      <c r="AV504" s="122"/>
      <c r="AW504" s="122"/>
      <c r="AX504" s="30"/>
      <c r="AY504" s="30"/>
      <c r="AZ504" s="30"/>
      <c r="BA504" s="30"/>
      <c r="BB504" s="26"/>
      <c r="BC504" s="26"/>
      <c r="BD504" s="26"/>
      <c r="BE504" s="26"/>
      <c r="BF504" s="26"/>
    </row>
    <row r="505" spans="1:58" ht="15.75" customHeight="1">
      <c r="A505" s="67"/>
      <c r="B505" s="67"/>
      <c r="C505" s="67"/>
      <c r="D505" s="68"/>
      <c r="E505" s="68"/>
      <c r="F505" s="68"/>
      <c r="G505" s="68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30"/>
      <c r="AO505" s="25"/>
      <c r="AP505" s="120"/>
      <c r="AQ505" s="120"/>
      <c r="AR505" s="121"/>
      <c r="AS505" s="96"/>
      <c r="AT505" s="122"/>
      <c r="AU505" s="123"/>
      <c r="AV505" s="122"/>
      <c r="AW505" s="122"/>
      <c r="AX505" s="30"/>
      <c r="AY505" s="30"/>
      <c r="AZ505" s="30"/>
      <c r="BA505" s="30"/>
      <c r="BB505" s="26"/>
      <c r="BC505" s="26"/>
      <c r="BD505" s="26"/>
      <c r="BE505" s="26"/>
      <c r="BF505" s="26"/>
    </row>
    <row r="506" spans="1:58" ht="15.75" customHeight="1">
      <c r="A506" s="67"/>
      <c r="B506" s="67"/>
      <c r="C506" s="67"/>
      <c r="D506" s="68"/>
      <c r="E506" s="68"/>
      <c r="F506" s="68"/>
      <c r="G506" s="68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30"/>
      <c r="AO506" s="25"/>
      <c r="AP506" s="120"/>
      <c r="AQ506" s="120"/>
      <c r="AR506" s="121"/>
      <c r="AS506" s="96"/>
      <c r="AT506" s="122"/>
      <c r="AU506" s="123"/>
      <c r="AV506" s="122"/>
      <c r="AW506" s="122"/>
      <c r="AX506" s="30"/>
      <c r="AY506" s="30"/>
      <c r="AZ506" s="30"/>
      <c r="BA506" s="30"/>
      <c r="BB506" s="26"/>
      <c r="BC506" s="26"/>
      <c r="BD506" s="26"/>
      <c r="BE506" s="26"/>
      <c r="BF506" s="26"/>
    </row>
    <row r="507" spans="1:58" ht="15.75" customHeight="1">
      <c r="A507" s="67"/>
      <c r="B507" s="67"/>
      <c r="C507" s="67"/>
      <c r="D507" s="68"/>
      <c r="E507" s="68"/>
      <c r="F507" s="68"/>
      <c r="G507" s="68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30"/>
      <c r="AO507" s="25"/>
      <c r="AP507" s="120"/>
      <c r="AQ507" s="120"/>
      <c r="AR507" s="121"/>
      <c r="AS507" s="96"/>
      <c r="AT507" s="122"/>
      <c r="AU507" s="123"/>
      <c r="AV507" s="122"/>
      <c r="AW507" s="122"/>
      <c r="AX507" s="30"/>
      <c r="AY507" s="30"/>
      <c r="AZ507" s="30"/>
      <c r="BA507" s="30"/>
      <c r="BB507" s="26"/>
      <c r="BC507" s="26"/>
      <c r="BD507" s="26"/>
      <c r="BE507" s="26"/>
      <c r="BF507" s="26"/>
    </row>
    <row r="508" spans="1:58" ht="15.75" customHeight="1">
      <c r="A508" s="67"/>
      <c r="B508" s="67"/>
      <c r="C508" s="67"/>
      <c r="D508" s="68"/>
      <c r="E508" s="68"/>
      <c r="F508" s="68"/>
      <c r="G508" s="68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30"/>
      <c r="AO508" s="25"/>
      <c r="AP508" s="120"/>
      <c r="AQ508" s="120"/>
      <c r="AR508" s="121"/>
      <c r="AS508" s="96"/>
      <c r="AT508" s="122"/>
      <c r="AU508" s="123"/>
      <c r="AV508" s="122"/>
      <c r="AW508" s="122"/>
      <c r="AX508" s="30"/>
      <c r="AY508" s="30"/>
      <c r="AZ508" s="30"/>
      <c r="BA508" s="30"/>
      <c r="BB508" s="26"/>
      <c r="BC508" s="26"/>
      <c r="BD508" s="26"/>
      <c r="BE508" s="26"/>
      <c r="BF508" s="26"/>
    </row>
    <row r="509" spans="1:58" ht="15.75" customHeight="1">
      <c r="A509" s="67"/>
      <c r="B509" s="67"/>
      <c r="C509" s="67"/>
      <c r="D509" s="68"/>
      <c r="E509" s="68"/>
      <c r="F509" s="68"/>
      <c r="G509" s="68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30"/>
      <c r="AO509" s="25"/>
      <c r="AP509" s="120"/>
      <c r="AQ509" s="120"/>
      <c r="AR509" s="121"/>
      <c r="AS509" s="96"/>
      <c r="AT509" s="122"/>
      <c r="AU509" s="123"/>
      <c r="AV509" s="122"/>
      <c r="AW509" s="122"/>
      <c r="AX509" s="30"/>
      <c r="AY509" s="30"/>
      <c r="AZ509" s="30"/>
      <c r="BA509" s="30"/>
      <c r="BB509" s="26"/>
      <c r="BC509" s="26"/>
      <c r="BD509" s="26"/>
      <c r="BE509" s="26"/>
      <c r="BF509" s="26"/>
    </row>
    <row r="510" spans="1:58" ht="15.75" customHeight="1">
      <c r="A510" s="67"/>
      <c r="B510" s="67"/>
      <c r="C510" s="67"/>
      <c r="D510" s="68"/>
      <c r="E510" s="68"/>
      <c r="F510" s="68"/>
      <c r="G510" s="68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30"/>
      <c r="AO510" s="25"/>
      <c r="AP510" s="120"/>
      <c r="AQ510" s="120"/>
      <c r="AR510" s="121"/>
      <c r="AS510" s="96"/>
      <c r="AT510" s="122"/>
      <c r="AU510" s="123"/>
      <c r="AV510" s="122"/>
      <c r="AW510" s="122"/>
      <c r="AX510" s="30"/>
      <c r="AY510" s="30"/>
      <c r="AZ510" s="30"/>
      <c r="BA510" s="30"/>
      <c r="BB510" s="26"/>
      <c r="BC510" s="26"/>
      <c r="BD510" s="26"/>
      <c r="BE510" s="26"/>
      <c r="BF510" s="26"/>
    </row>
    <row r="511" spans="1:58" ht="15.75" customHeight="1">
      <c r="A511" s="67"/>
      <c r="B511" s="67"/>
      <c r="C511" s="67"/>
      <c r="D511" s="68"/>
      <c r="E511" s="68"/>
      <c r="F511" s="68"/>
      <c r="G511" s="68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30"/>
      <c r="AO511" s="25"/>
      <c r="AP511" s="120"/>
      <c r="AQ511" s="120"/>
      <c r="AR511" s="121"/>
      <c r="AS511" s="96"/>
      <c r="AT511" s="122"/>
      <c r="AU511" s="123"/>
      <c r="AV511" s="122"/>
      <c r="AW511" s="122"/>
      <c r="AX511" s="30"/>
      <c r="AY511" s="30"/>
      <c r="AZ511" s="30"/>
      <c r="BA511" s="30"/>
      <c r="BB511" s="26"/>
      <c r="BC511" s="26"/>
      <c r="BD511" s="26"/>
      <c r="BE511" s="26"/>
      <c r="BF511" s="26"/>
    </row>
    <row r="512" spans="1:58" ht="15.75" customHeight="1">
      <c r="A512" s="67"/>
      <c r="B512" s="67"/>
      <c r="C512" s="67"/>
      <c r="D512" s="68"/>
      <c r="E512" s="68"/>
      <c r="F512" s="68"/>
      <c r="G512" s="68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30"/>
      <c r="AO512" s="25"/>
      <c r="AP512" s="120"/>
      <c r="AQ512" s="120"/>
      <c r="AR512" s="121"/>
      <c r="AS512" s="96"/>
      <c r="AT512" s="122"/>
      <c r="AU512" s="123"/>
      <c r="AV512" s="122"/>
      <c r="AW512" s="122"/>
      <c r="AX512" s="30"/>
      <c r="AY512" s="30"/>
      <c r="AZ512" s="30"/>
      <c r="BA512" s="30"/>
      <c r="BB512" s="26"/>
      <c r="BC512" s="26"/>
      <c r="BD512" s="26"/>
      <c r="BE512" s="26"/>
      <c r="BF512" s="26"/>
    </row>
    <row r="513" spans="1:58" ht="15.75" customHeight="1">
      <c r="A513" s="67"/>
      <c r="B513" s="67"/>
      <c r="C513" s="67"/>
      <c r="D513" s="68"/>
      <c r="E513" s="68"/>
      <c r="F513" s="68"/>
      <c r="G513" s="68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30"/>
      <c r="AO513" s="25"/>
      <c r="AP513" s="120"/>
      <c r="AQ513" s="120"/>
      <c r="AR513" s="121"/>
      <c r="AS513" s="96"/>
      <c r="AT513" s="122"/>
      <c r="AU513" s="123"/>
      <c r="AV513" s="122"/>
      <c r="AW513" s="122"/>
      <c r="AX513" s="30"/>
      <c r="AY513" s="30"/>
      <c r="AZ513" s="30"/>
      <c r="BA513" s="30"/>
      <c r="BB513" s="26"/>
      <c r="BC513" s="26"/>
      <c r="BD513" s="26"/>
      <c r="BE513" s="26"/>
      <c r="BF513" s="26"/>
    </row>
    <row r="514" spans="1:58" ht="15.75" customHeight="1">
      <c r="A514" s="67"/>
      <c r="B514" s="67"/>
      <c r="C514" s="67"/>
      <c r="D514" s="68"/>
      <c r="E514" s="68"/>
      <c r="F514" s="68"/>
      <c r="G514" s="68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30"/>
      <c r="AO514" s="25"/>
      <c r="AP514" s="120"/>
      <c r="AQ514" s="120"/>
      <c r="AR514" s="121"/>
      <c r="AS514" s="96"/>
      <c r="AT514" s="122"/>
      <c r="AU514" s="123"/>
      <c r="AV514" s="122"/>
      <c r="AW514" s="122"/>
      <c r="AX514" s="30"/>
      <c r="AY514" s="30"/>
      <c r="AZ514" s="30"/>
      <c r="BA514" s="30"/>
      <c r="BB514" s="26"/>
      <c r="BC514" s="26"/>
      <c r="BD514" s="26"/>
      <c r="BE514" s="26"/>
      <c r="BF514" s="26"/>
    </row>
    <row r="515" spans="1:58" ht="15.75" customHeight="1">
      <c r="A515" s="67"/>
      <c r="B515" s="67"/>
      <c r="C515" s="67"/>
      <c r="D515" s="68"/>
      <c r="E515" s="68"/>
      <c r="F515" s="68"/>
      <c r="G515" s="68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30"/>
      <c r="AO515" s="25"/>
      <c r="AP515" s="120"/>
      <c r="AQ515" s="120"/>
      <c r="AR515" s="121"/>
      <c r="AS515" s="96"/>
      <c r="AT515" s="122"/>
      <c r="AU515" s="123"/>
      <c r="AV515" s="122"/>
      <c r="AW515" s="122"/>
      <c r="AX515" s="30"/>
      <c r="AY515" s="30"/>
      <c r="AZ515" s="30"/>
      <c r="BA515" s="30"/>
      <c r="BB515" s="26"/>
      <c r="BC515" s="26"/>
      <c r="BD515" s="26"/>
      <c r="BE515" s="26"/>
      <c r="BF515" s="26"/>
    </row>
    <row r="516" spans="1:58" ht="15.75" customHeight="1">
      <c r="A516" s="67"/>
      <c r="B516" s="67"/>
      <c r="C516" s="67"/>
      <c r="D516" s="68"/>
      <c r="E516" s="68"/>
      <c r="F516" s="68"/>
      <c r="G516" s="68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30"/>
      <c r="AO516" s="25"/>
      <c r="AP516" s="120"/>
      <c r="AQ516" s="120"/>
      <c r="AR516" s="121"/>
      <c r="AS516" s="96"/>
      <c r="AT516" s="122"/>
      <c r="AU516" s="123"/>
      <c r="AV516" s="122"/>
      <c r="AW516" s="122"/>
      <c r="AX516" s="30"/>
      <c r="AY516" s="30"/>
      <c r="AZ516" s="30"/>
      <c r="BA516" s="30"/>
      <c r="BB516" s="26"/>
      <c r="BC516" s="26"/>
      <c r="BD516" s="26"/>
      <c r="BE516" s="26"/>
      <c r="BF516" s="26"/>
    </row>
    <row r="517" spans="1:58" ht="15.75" customHeight="1">
      <c r="A517" s="67"/>
      <c r="B517" s="67"/>
      <c r="C517" s="67"/>
      <c r="D517" s="68"/>
      <c r="E517" s="68"/>
      <c r="F517" s="68"/>
      <c r="G517" s="68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30"/>
      <c r="AO517" s="25"/>
      <c r="AP517" s="120"/>
      <c r="AQ517" s="120"/>
      <c r="AR517" s="121"/>
      <c r="AS517" s="96"/>
      <c r="AT517" s="122"/>
      <c r="AU517" s="123"/>
      <c r="AV517" s="122"/>
      <c r="AW517" s="122"/>
      <c r="AX517" s="30"/>
      <c r="AY517" s="30"/>
      <c r="AZ517" s="30"/>
      <c r="BA517" s="30"/>
      <c r="BB517" s="26"/>
      <c r="BC517" s="26"/>
      <c r="BD517" s="26"/>
      <c r="BE517" s="26"/>
      <c r="BF517" s="26"/>
    </row>
    <row r="518" spans="1:58" ht="15.75" customHeight="1">
      <c r="A518" s="67"/>
      <c r="B518" s="67"/>
      <c r="C518" s="67"/>
      <c r="D518" s="68"/>
      <c r="E518" s="68"/>
      <c r="F518" s="68"/>
      <c r="G518" s="68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30"/>
      <c r="AO518" s="25"/>
      <c r="AP518" s="120"/>
      <c r="AQ518" s="120"/>
      <c r="AR518" s="121"/>
      <c r="AS518" s="96"/>
      <c r="AT518" s="122"/>
      <c r="AU518" s="123"/>
      <c r="AV518" s="122"/>
      <c r="AW518" s="122"/>
      <c r="AX518" s="30"/>
      <c r="AY518" s="30"/>
      <c r="AZ518" s="30"/>
      <c r="BA518" s="30"/>
      <c r="BB518" s="26"/>
      <c r="BC518" s="26"/>
      <c r="BD518" s="26"/>
      <c r="BE518" s="26"/>
      <c r="BF518" s="26"/>
    </row>
    <row r="519" spans="1:58" ht="15.75" customHeight="1">
      <c r="A519" s="67"/>
      <c r="B519" s="67"/>
      <c r="C519" s="67"/>
      <c r="D519" s="68"/>
      <c r="E519" s="68"/>
      <c r="F519" s="68"/>
      <c r="G519" s="68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30"/>
      <c r="AO519" s="25"/>
      <c r="AP519" s="120"/>
      <c r="AQ519" s="120"/>
      <c r="AR519" s="121"/>
      <c r="AS519" s="96"/>
      <c r="AT519" s="122"/>
      <c r="AU519" s="123"/>
      <c r="AV519" s="122"/>
      <c r="AW519" s="122"/>
      <c r="AX519" s="30"/>
      <c r="AY519" s="30"/>
      <c r="AZ519" s="30"/>
      <c r="BA519" s="30"/>
      <c r="BB519" s="26"/>
      <c r="BC519" s="26"/>
      <c r="BD519" s="26"/>
      <c r="BE519" s="26"/>
      <c r="BF519" s="26"/>
    </row>
    <row r="520" spans="1:58" ht="15.75" customHeight="1">
      <c r="A520" s="67"/>
      <c r="B520" s="67"/>
      <c r="C520" s="67"/>
      <c r="D520" s="68"/>
      <c r="E520" s="68"/>
      <c r="F520" s="68"/>
      <c r="G520" s="68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30"/>
      <c r="AO520" s="25"/>
      <c r="AP520" s="120"/>
      <c r="AQ520" s="120"/>
      <c r="AR520" s="121"/>
      <c r="AS520" s="96"/>
      <c r="AT520" s="122"/>
      <c r="AU520" s="123"/>
      <c r="AV520" s="122"/>
      <c r="AW520" s="122"/>
      <c r="AX520" s="30"/>
      <c r="AY520" s="30"/>
      <c r="AZ520" s="30"/>
      <c r="BA520" s="30"/>
      <c r="BB520" s="26"/>
      <c r="BC520" s="26"/>
      <c r="BD520" s="26"/>
      <c r="BE520" s="26"/>
      <c r="BF520" s="26"/>
    </row>
    <row r="521" spans="1:58" ht="15.75" customHeight="1">
      <c r="A521" s="67"/>
      <c r="B521" s="67"/>
      <c r="C521" s="67"/>
      <c r="D521" s="68"/>
      <c r="E521" s="68"/>
      <c r="F521" s="68"/>
      <c r="G521" s="68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30"/>
      <c r="AO521" s="25"/>
      <c r="AP521" s="120"/>
      <c r="AQ521" s="120"/>
      <c r="AR521" s="121"/>
      <c r="AS521" s="96"/>
      <c r="AT521" s="122"/>
      <c r="AU521" s="123"/>
      <c r="AV521" s="122"/>
      <c r="AW521" s="122"/>
      <c r="AX521" s="30"/>
      <c r="AY521" s="30"/>
      <c r="AZ521" s="30"/>
      <c r="BA521" s="30"/>
      <c r="BB521" s="26"/>
      <c r="BC521" s="26"/>
      <c r="BD521" s="26"/>
      <c r="BE521" s="26"/>
      <c r="BF521" s="26"/>
    </row>
    <row r="522" spans="1:58" ht="15.75" customHeight="1">
      <c r="A522" s="67"/>
      <c r="B522" s="67"/>
      <c r="C522" s="67"/>
      <c r="D522" s="68"/>
      <c r="E522" s="68"/>
      <c r="F522" s="68"/>
      <c r="G522" s="68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30"/>
      <c r="AO522" s="25"/>
      <c r="AP522" s="120"/>
      <c r="AQ522" s="120"/>
      <c r="AR522" s="121"/>
      <c r="AS522" s="96"/>
      <c r="AT522" s="122"/>
      <c r="AU522" s="123"/>
      <c r="AV522" s="122"/>
      <c r="AW522" s="122"/>
      <c r="AX522" s="30"/>
      <c r="AY522" s="30"/>
      <c r="AZ522" s="30"/>
      <c r="BA522" s="30"/>
      <c r="BB522" s="26"/>
      <c r="BC522" s="26"/>
      <c r="BD522" s="26"/>
      <c r="BE522" s="26"/>
      <c r="BF522" s="26"/>
    </row>
    <row r="523" spans="1:58" ht="15.75" customHeight="1">
      <c r="A523" s="67"/>
      <c r="B523" s="67"/>
      <c r="C523" s="67"/>
      <c r="D523" s="68"/>
      <c r="E523" s="68"/>
      <c r="F523" s="68"/>
      <c r="G523" s="68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30"/>
      <c r="AO523" s="25"/>
      <c r="AP523" s="120"/>
      <c r="AQ523" s="120"/>
      <c r="AR523" s="121"/>
      <c r="AS523" s="96"/>
      <c r="AT523" s="122"/>
      <c r="AU523" s="123"/>
      <c r="AV523" s="122"/>
      <c r="AW523" s="122"/>
      <c r="AX523" s="30"/>
      <c r="AY523" s="30"/>
      <c r="AZ523" s="30"/>
      <c r="BA523" s="30"/>
      <c r="BB523" s="26"/>
      <c r="BC523" s="26"/>
      <c r="BD523" s="26"/>
      <c r="BE523" s="26"/>
      <c r="BF523" s="26"/>
    </row>
    <row r="524" spans="1:58" ht="15.75" customHeight="1">
      <c r="A524" s="67"/>
      <c r="B524" s="67"/>
      <c r="C524" s="67"/>
      <c r="D524" s="68"/>
      <c r="E524" s="68"/>
      <c r="F524" s="68"/>
      <c r="G524" s="68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30"/>
      <c r="AO524" s="25"/>
      <c r="AP524" s="120"/>
      <c r="AQ524" s="120"/>
      <c r="AR524" s="121"/>
      <c r="AS524" s="96"/>
      <c r="AT524" s="122"/>
      <c r="AU524" s="123"/>
      <c r="AV524" s="122"/>
      <c r="AW524" s="122"/>
      <c r="AX524" s="30"/>
      <c r="AY524" s="30"/>
      <c r="AZ524" s="30"/>
      <c r="BA524" s="30"/>
      <c r="BB524" s="26"/>
      <c r="BC524" s="26"/>
      <c r="BD524" s="26"/>
      <c r="BE524" s="26"/>
      <c r="BF524" s="26"/>
    </row>
    <row r="525" spans="1:58" ht="15.75" customHeight="1">
      <c r="A525" s="67"/>
      <c r="B525" s="67"/>
      <c r="C525" s="67"/>
      <c r="D525" s="68"/>
      <c r="E525" s="68"/>
      <c r="F525" s="68"/>
      <c r="G525" s="68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30"/>
      <c r="AO525" s="25"/>
      <c r="AP525" s="120"/>
      <c r="AQ525" s="120"/>
      <c r="AR525" s="121"/>
      <c r="AS525" s="96"/>
      <c r="AT525" s="122"/>
      <c r="AU525" s="123"/>
      <c r="AV525" s="122"/>
      <c r="AW525" s="122"/>
      <c r="AX525" s="30"/>
      <c r="AY525" s="30"/>
      <c r="AZ525" s="30"/>
      <c r="BA525" s="30"/>
      <c r="BB525" s="26"/>
      <c r="BC525" s="26"/>
      <c r="BD525" s="26"/>
      <c r="BE525" s="26"/>
      <c r="BF525" s="26"/>
    </row>
    <row r="526" spans="1:58" ht="15.75" customHeight="1">
      <c r="A526" s="67"/>
      <c r="B526" s="67"/>
      <c r="C526" s="67"/>
      <c r="D526" s="68"/>
      <c r="E526" s="68"/>
      <c r="F526" s="68"/>
      <c r="G526" s="68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30"/>
      <c r="AO526" s="25"/>
      <c r="AP526" s="120"/>
      <c r="AQ526" s="120"/>
      <c r="AR526" s="121"/>
      <c r="AS526" s="96"/>
      <c r="AT526" s="122"/>
      <c r="AU526" s="123"/>
      <c r="AV526" s="122"/>
      <c r="AW526" s="122"/>
      <c r="AX526" s="30"/>
      <c r="AY526" s="30"/>
      <c r="AZ526" s="30"/>
      <c r="BA526" s="30"/>
      <c r="BB526" s="26"/>
      <c r="BC526" s="26"/>
      <c r="BD526" s="26"/>
      <c r="BE526" s="26"/>
      <c r="BF526" s="26"/>
    </row>
    <row r="527" spans="1:58" ht="15.75" customHeight="1">
      <c r="A527" s="67"/>
      <c r="B527" s="67"/>
      <c r="C527" s="67"/>
      <c r="D527" s="68"/>
      <c r="E527" s="68"/>
      <c r="F527" s="68"/>
      <c r="G527" s="68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30"/>
      <c r="AO527" s="25"/>
      <c r="AP527" s="120"/>
      <c r="AQ527" s="120"/>
      <c r="AR527" s="121"/>
      <c r="AS527" s="96"/>
      <c r="AT527" s="122"/>
      <c r="AU527" s="123"/>
      <c r="AV527" s="122"/>
      <c r="AW527" s="122"/>
      <c r="AX527" s="30"/>
      <c r="AY527" s="30"/>
      <c r="AZ527" s="30"/>
      <c r="BA527" s="30"/>
      <c r="BB527" s="26"/>
      <c r="BC527" s="26"/>
      <c r="BD527" s="26"/>
      <c r="BE527" s="26"/>
      <c r="BF527" s="26"/>
    </row>
    <row r="528" spans="1:58" ht="15.75" customHeight="1">
      <c r="A528" s="67"/>
      <c r="B528" s="67"/>
      <c r="C528" s="67"/>
      <c r="D528" s="68"/>
      <c r="E528" s="68"/>
      <c r="F528" s="68"/>
      <c r="G528" s="68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30"/>
      <c r="AO528" s="25"/>
      <c r="AP528" s="120"/>
      <c r="AQ528" s="120"/>
      <c r="AR528" s="121"/>
      <c r="AS528" s="96"/>
      <c r="AT528" s="122"/>
      <c r="AU528" s="123"/>
      <c r="AV528" s="122"/>
      <c r="AW528" s="122"/>
      <c r="AX528" s="30"/>
      <c r="AY528" s="30"/>
      <c r="AZ528" s="30"/>
      <c r="BA528" s="30"/>
      <c r="BB528" s="26"/>
      <c r="BC528" s="26"/>
      <c r="BD528" s="26"/>
      <c r="BE528" s="26"/>
      <c r="BF528" s="26"/>
    </row>
    <row r="529" spans="1:58" ht="15.75" customHeight="1">
      <c r="A529" s="67"/>
      <c r="B529" s="67"/>
      <c r="C529" s="67"/>
      <c r="D529" s="68"/>
      <c r="E529" s="68"/>
      <c r="F529" s="68"/>
      <c r="G529" s="68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30"/>
      <c r="AO529" s="25"/>
      <c r="AP529" s="120"/>
      <c r="AQ529" s="120"/>
      <c r="AR529" s="121"/>
      <c r="AS529" s="96"/>
      <c r="AT529" s="122"/>
      <c r="AU529" s="123"/>
      <c r="AV529" s="122"/>
      <c r="AW529" s="122"/>
      <c r="AX529" s="30"/>
      <c r="AY529" s="30"/>
      <c r="AZ529" s="30"/>
      <c r="BA529" s="30"/>
      <c r="BB529" s="26"/>
      <c r="BC529" s="26"/>
      <c r="BD529" s="26"/>
      <c r="BE529" s="26"/>
      <c r="BF529" s="26"/>
    </row>
    <row r="530" spans="1:58" ht="15.75" customHeight="1">
      <c r="A530" s="67"/>
      <c r="B530" s="67"/>
      <c r="C530" s="67"/>
      <c r="D530" s="68"/>
      <c r="E530" s="68"/>
      <c r="F530" s="68"/>
      <c r="G530" s="68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30"/>
      <c r="AO530" s="25"/>
      <c r="AP530" s="120"/>
      <c r="AQ530" s="120"/>
      <c r="AR530" s="121"/>
      <c r="AS530" s="96"/>
      <c r="AT530" s="122"/>
      <c r="AU530" s="123"/>
      <c r="AV530" s="122"/>
      <c r="AW530" s="122"/>
      <c r="AX530" s="30"/>
      <c r="AY530" s="30"/>
      <c r="AZ530" s="30"/>
      <c r="BA530" s="30"/>
      <c r="BB530" s="26"/>
      <c r="BC530" s="26"/>
      <c r="BD530" s="26"/>
      <c r="BE530" s="26"/>
      <c r="BF530" s="26"/>
    </row>
    <row r="531" spans="1:58" ht="15.75" customHeight="1">
      <c r="A531" s="67"/>
      <c r="B531" s="67"/>
      <c r="C531" s="67"/>
      <c r="D531" s="68"/>
      <c r="E531" s="68"/>
      <c r="F531" s="68"/>
      <c r="G531" s="68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30"/>
      <c r="AO531" s="25"/>
      <c r="AP531" s="120"/>
      <c r="AQ531" s="120"/>
      <c r="AR531" s="121"/>
      <c r="AS531" s="96"/>
      <c r="AT531" s="122"/>
      <c r="AU531" s="123"/>
      <c r="AV531" s="122"/>
      <c r="AW531" s="122"/>
      <c r="AX531" s="30"/>
      <c r="AY531" s="30"/>
      <c r="AZ531" s="30"/>
      <c r="BA531" s="30"/>
      <c r="BB531" s="26"/>
      <c r="BC531" s="26"/>
      <c r="BD531" s="26"/>
      <c r="BE531" s="26"/>
      <c r="BF531" s="26"/>
    </row>
    <row r="532" spans="1:58" ht="15.75" customHeight="1">
      <c r="A532" s="67"/>
      <c r="B532" s="67"/>
      <c r="C532" s="67"/>
      <c r="D532" s="68"/>
      <c r="E532" s="68"/>
      <c r="F532" s="68"/>
      <c r="G532" s="68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30"/>
      <c r="AO532" s="25"/>
      <c r="AP532" s="120"/>
      <c r="AQ532" s="120"/>
      <c r="AR532" s="121"/>
      <c r="AS532" s="96"/>
      <c r="AT532" s="122"/>
      <c r="AU532" s="123"/>
      <c r="AV532" s="122"/>
      <c r="AW532" s="122"/>
      <c r="AX532" s="30"/>
      <c r="AY532" s="30"/>
      <c r="AZ532" s="30"/>
      <c r="BA532" s="30"/>
      <c r="BB532" s="26"/>
      <c r="BC532" s="26"/>
      <c r="BD532" s="26"/>
      <c r="BE532" s="26"/>
      <c r="BF532" s="26"/>
    </row>
    <row r="533" spans="1:58" ht="15.75" customHeight="1">
      <c r="A533" s="67"/>
      <c r="B533" s="67"/>
      <c r="C533" s="67"/>
      <c r="D533" s="68"/>
      <c r="E533" s="68"/>
      <c r="F533" s="68"/>
      <c r="G533" s="68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30"/>
      <c r="AO533" s="25"/>
      <c r="AP533" s="120"/>
      <c r="AQ533" s="120"/>
      <c r="AR533" s="121"/>
      <c r="AS533" s="96"/>
      <c r="AT533" s="122"/>
      <c r="AU533" s="123"/>
      <c r="AV533" s="122"/>
      <c r="AW533" s="122"/>
      <c r="AX533" s="30"/>
      <c r="AY533" s="30"/>
      <c r="AZ533" s="30"/>
      <c r="BA533" s="30"/>
      <c r="BB533" s="26"/>
      <c r="BC533" s="26"/>
      <c r="BD533" s="26"/>
      <c r="BE533" s="26"/>
      <c r="BF533" s="26"/>
    </row>
    <row r="534" spans="1:58" ht="15.75" customHeight="1">
      <c r="A534" s="67"/>
      <c r="B534" s="67"/>
      <c r="C534" s="67"/>
      <c r="D534" s="68"/>
      <c r="E534" s="68"/>
      <c r="F534" s="68"/>
      <c r="G534" s="68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30"/>
      <c r="AO534" s="25"/>
      <c r="AP534" s="120"/>
      <c r="AQ534" s="120"/>
      <c r="AR534" s="121"/>
      <c r="AS534" s="96"/>
      <c r="AT534" s="122"/>
      <c r="AU534" s="123"/>
      <c r="AV534" s="122"/>
      <c r="AW534" s="122"/>
      <c r="AX534" s="30"/>
      <c r="AY534" s="30"/>
      <c r="AZ534" s="30"/>
      <c r="BA534" s="30"/>
      <c r="BB534" s="26"/>
      <c r="BC534" s="26"/>
      <c r="BD534" s="26"/>
      <c r="BE534" s="26"/>
      <c r="BF534" s="26"/>
    </row>
    <row r="535" spans="1:58" ht="15.75" customHeight="1">
      <c r="A535" s="67"/>
      <c r="B535" s="67"/>
      <c r="C535" s="67"/>
      <c r="D535" s="68"/>
      <c r="E535" s="68"/>
      <c r="F535" s="68"/>
      <c r="G535" s="68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30"/>
      <c r="AO535" s="25"/>
      <c r="AP535" s="120"/>
      <c r="AQ535" s="120"/>
      <c r="AR535" s="121"/>
      <c r="AS535" s="96"/>
      <c r="AT535" s="122"/>
      <c r="AU535" s="123"/>
      <c r="AV535" s="122"/>
      <c r="AW535" s="122"/>
      <c r="AX535" s="30"/>
      <c r="AY535" s="30"/>
      <c r="AZ535" s="30"/>
      <c r="BA535" s="30"/>
      <c r="BB535" s="26"/>
      <c r="BC535" s="26"/>
      <c r="BD535" s="26"/>
      <c r="BE535" s="26"/>
      <c r="BF535" s="26"/>
    </row>
    <row r="536" spans="1:58" ht="15.75" customHeight="1">
      <c r="A536" s="67"/>
      <c r="B536" s="67"/>
      <c r="C536" s="67"/>
      <c r="D536" s="68"/>
      <c r="E536" s="68"/>
      <c r="F536" s="68"/>
      <c r="G536" s="68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30"/>
      <c r="AO536" s="25"/>
      <c r="AP536" s="120"/>
      <c r="AQ536" s="120"/>
      <c r="AR536" s="121"/>
      <c r="AS536" s="96"/>
      <c r="AT536" s="122"/>
      <c r="AU536" s="123"/>
      <c r="AV536" s="122"/>
      <c r="AW536" s="122"/>
      <c r="AX536" s="30"/>
      <c r="AY536" s="30"/>
      <c r="AZ536" s="30"/>
      <c r="BA536" s="30"/>
      <c r="BB536" s="26"/>
      <c r="BC536" s="26"/>
      <c r="BD536" s="26"/>
      <c r="BE536" s="26"/>
      <c r="BF536" s="26"/>
    </row>
    <row r="537" spans="1:58" ht="15.75" customHeight="1">
      <c r="A537" s="67"/>
      <c r="B537" s="67"/>
      <c r="C537" s="67"/>
      <c r="D537" s="68"/>
      <c r="E537" s="68"/>
      <c r="F537" s="68"/>
      <c r="G537" s="68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30"/>
      <c r="AO537" s="25"/>
      <c r="AP537" s="120"/>
      <c r="AQ537" s="120"/>
      <c r="AR537" s="121"/>
      <c r="AS537" s="96"/>
      <c r="AT537" s="122"/>
      <c r="AU537" s="123"/>
      <c r="AV537" s="122"/>
      <c r="AW537" s="122"/>
      <c r="AX537" s="30"/>
      <c r="AY537" s="30"/>
      <c r="AZ537" s="30"/>
      <c r="BA537" s="30"/>
      <c r="BB537" s="26"/>
      <c r="BC537" s="26"/>
      <c r="BD537" s="26"/>
      <c r="BE537" s="26"/>
      <c r="BF537" s="26"/>
    </row>
    <row r="538" spans="1:58" ht="15.75" customHeight="1">
      <c r="A538" s="67"/>
      <c r="B538" s="67"/>
      <c r="C538" s="67"/>
      <c r="D538" s="68"/>
      <c r="E538" s="68"/>
      <c r="F538" s="68"/>
      <c r="G538" s="68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30"/>
      <c r="AO538" s="25"/>
      <c r="AP538" s="120"/>
      <c r="AQ538" s="120"/>
      <c r="AR538" s="121"/>
      <c r="AS538" s="96"/>
      <c r="AT538" s="122"/>
      <c r="AU538" s="123"/>
      <c r="AV538" s="122"/>
      <c r="AW538" s="122"/>
      <c r="AX538" s="30"/>
      <c r="AY538" s="30"/>
      <c r="AZ538" s="30"/>
      <c r="BA538" s="30"/>
      <c r="BB538" s="26"/>
      <c r="BC538" s="26"/>
      <c r="BD538" s="26"/>
      <c r="BE538" s="26"/>
      <c r="BF538" s="26"/>
    </row>
    <row r="539" spans="1:58" ht="15.75" customHeight="1">
      <c r="A539" s="67"/>
      <c r="B539" s="67"/>
      <c r="C539" s="67"/>
      <c r="D539" s="68"/>
      <c r="E539" s="68"/>
      <c r="F539" s="68"/>
      <c r="G539" s="68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30"/>
      <c r="AO539" s="25"/>
      <c r="AP539" s="120"/>
      <c r="AQ539" s="120"/>
      <c r="AR539" s="121"/>
      <c r="AS539" s="96"/>
      <c r="AT539" s="122"/>
      <c r="AU539" s="123"/>
      <c r="AV539" s="122"/>
      <c r="AW539" s="122"/>
      <c r="AX539" s="30"/>
      <c r="AY539" s="30"/>
      <c r="AZ539" s="30"/>
      <c r="BA539" s="30"/>
      <c r="BB539" s="26"/>
      <c r="BC539" s="26"/>
      <c r="BD539" s="26"/>
      <c r="BE539" s="26"/>
      <c r="BF539" s="26"/>
    </row>
    <row r="540" spans="1:58" ht="15.75" customHeight="1">
      <c r="A540" s="67"/>
      <c r="B540" s="67"/>
      <c r="C540" s="67"/>
      <c r="D540" s="68"/>
      <c r="E540" s="68"/>
      <c r="F540" s="68"/>
      <c r="G540" s="68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30"/>
      <c r="AO540" s="25"/>
      <c r="AP540" s="120"/>
      <c r="AQ540" s="120"/>
      <c r="AR540" s="121"/>
      <c r="AS540" s="96"/>
      <c r="AT540" s="122"/>
      <c r="AU540" s="123"/>
      <c r="AV540" s="122"/>
      <c r="AW540" s="122"/>
      <c r="AX540" s="30"/>
      <c r="AY540" s="30"/>
      <c r="AZ540" s="30"/>
      <c r="BA540" s="30"/>
      <c r="BB540" s="26"/>
      <c r="BC540" s="26"/>
      <c r="BD540" s="26"/>
      <c r="BE540" s="26"/>
      <c r="BF540" s="26"/>
    </row>
    <row r="541" spans="1:58" ht="15.75" customHeight="1">
      <c r="A541" s="67"/>
      <c r="B541" s="67"/>
      <c r="C541" s="67"/>
      <c r="D541" s="68"/>
      <c r="E541" s="68"/>
      <c r="F541" s="68"/>
      <c r="G541" s="68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30"/>
      <c r="AO541" s="25"/>
      <c r="AP541" s="120"/>
      <c r="AQ541" s="120"/>
      <c r="AR541" s="121"/>
      <c r="AS541" s="96"/>
      <c r="AT541" s="122"/>
      <c r="AU541" s="123"/>
      <c r="AV541" s="122"/>
      <c r="AW541" s="122"/>
      <c r="AX541" s="30"/>
      <c r="AY541" s="30"/>
      <c r="AZ541" s="30"/>
      <c r="BA541" s="30"/>
      <c r="BB541" s="26"/>
      <c r="BC541" s="26"/>
      <c r="BD541" s="26"/>
      <c r="BE541" s="26"/>
      <c r="BF541" s="26"/>
    </row>
    <row r="542" spans="1:58" ht="15.75" customHeight="1">
      <c r="A542" s="67"/>
      <c r="B542" s="67"/>
      <c r="C542" s="67"/>
      <c r="D542" s="68"/>
      <c r="E542" s="68"/>
      <c r="F542" s="68"/>
      <c r="G542" s="68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30"/>
      <c r="AO542" s="25"/>
      <c r="AP542" s="120"/>
      <c r="AQ542" s="120"/>
      <c r="AR542" s="121"/>
      <c r="AS542" s="96"/>
      <c r="AT542" s="122"/>
      <c r="AU542" s="123"/>
      <c r="AV542" s="122"/>
      <c r="AW542" s="122"/>
      <c r="AX542" s="30"/>
      <c r="AY542" s="30"/>
      <c r="AZ542" s="30"/>
      <c r="BA542" s="30"/>
      <c r="BB542" s="26"/>
      <c r="BC542" s="26"/>
      <c r="BD542" s="26"/>
      <c r="BE542" s="26"/>
      <c r="BF542" s="26"/>
    </row>
    <row r="543" spans="1:58" ht="15.75" customHeight="1">
      <c r="A543" s="67"/>
      <c r="B543" s="67"/>
      <c r="C543" s="67"/>
      <c r="D543" s="68"/>
      <c r="E543" s="68"/>
      <c r="F543" s="68"/>
      <c r="G543" s="68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30"/>
      <c r="AO543" s="25"/>
      <c r="AP543" s="120"/>
      <c r="AQ543" s="120"/>
      <c r="AR543" s="121"/>
      <c r="AS543" s="96"/>
      <c r="AT543" s="122"/>
      <c r="AU543" s="123"/>
      <c r="AV543" s="122"/>
      <c r="AW543" s="122"/>
      <c r="AX543" s="30"/>
      <c r="AY543" s="30"/>
      <c r="AZ543" s="30"/>
      <c r="BA543" s="30"/>
      <c r="BB543" s="26"/>
      <c r="BC543" s="26"/>
      <c r="BD543" s="26"/>
      <c r="BE543" s="26"/>
      <c r="BF543" s="26"/>
    </row>
    <row r="544" spans="1:58" ht="15.75" customHeight="1">
      <c r="A544" s="67"/>
      <c r="B544" s="67"/>
      <c r="C544" s="67"/>
      <c r="D544" s="68"/>
      <c r="E544" s="68"/>
      <c r="F544" s="68"/>
      <c r="G544" s="68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30"/>
      <c r="AO544" s="25"/>
      <c r="AP544" s="120"/>
      <c r="AQ544" s="120"/>
      <c r="AR544" s="121"/>
      <c r="AS544" s="96"/>
      <c r="AT544" s="122"/>
      <c r="AU544" s="123"/>
      <c r="AV544" s="122"/>
      <c r="AW544" s="122"/>
      <c r="AX544" s="30"/>
      <c r="AY544" s="30"/>
      <c r="AZ544" s="30"/>
      <c r="BA544" s="30"/>
      <c r="BB544" s="26"/>
      <c r="BC544" s="26"/>
      <c r="BD544" s="26"/>
      <c r="BE544" s="26"/>
      <c r="BF544" s="26"/>
    </row>
    <row r="545" spans="1:58" ht="15.75" customHeight="1">
      <c r="A545" s="67"/>
      <c r="B545" s="67"/>
      <c r="C545" s="67"/>
      <c r="D545" s="68"/>
      <c r="E545" s="68"/>
      <c r="F545" s="68"/>
      <c r="G545" s="68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30"/>
      <c r="AO545" s="25"/>
      <c r="AP545" s="120"/>
      <c r="AQ545" s="120"/>
      <c r="AR545" s="121"/>
      <c r="AS545" s="96"/>
      <c r="AT545" s="122"/>
      <c r="AU545" s="123"/>
      <c r="AV545" s="122"/>
      <c r="AW545" s="122"/>
      <c r="AX545" s="30"/>
      <c r="AY545" s="30"/>
      <c r="AZ545" s="30"/>
      <c r="BA545" s="30"/>
      <c r="BB545" s="26"/>
      <c r="BC545" s="26"/>
      <c r="BD545" s="26"/>
      <c r="BE545" s="26"/>
      <c r="BF545" s="26"/>
    </row>
    <row r="546" spans="1:58" ht="15.75" customHeight="1">
      <c r="A546" s="67"/>
      <c r="B546" s="67"/>
      <c r="C546" s="67"/>
      <c r="D546" s="68"/>
      <c r="E546" s="68"/>
      <c r="F546" s="68"/>
      <c r="G546" s="68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30"/>
      <c r="AO546" s="25"/>
      <c r="AP546" s="120"/>
      <c r="AQ546" s="120"/>
      <c r="AR546" s="121"/>
      <c r="AS546" s="96"/>
      <c r="AT546" s="122"/>
      <c r="AU546" s="123"/>
      <c r="AV546" s="122"/>
      <c r="AW546" s="122"/>
      <c r="AX546" s="30"/>
      <c r="AY546" s="30"/>
      <c r="AZ546" s="30"/>
      <c r="BA546" s="30"/>
      <c r="BB546" s="26"/>
      <c r="BC546" s="26"/>
      <c r="BD546" s="26"/>
      <c r="BE546" s="26"/>
      <c r="BF546" s="26"/>
    </row>
    <row r="547" spans="1:58" ht="15.75" customHeight="1">
      <c r="A547" s="67"/>
      <c r="B547" s="67"/>
      <c r="C547" s="67"/>
      <c r="D547" s="68"/>
      <c r="E547" s="68"/>
      <c r="F547" s="68"/>
      <c r="G547" s="68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30"/>
      <c r="AO547" s="25"/>
      <c r="AP547" s="120"/>
      <c r="AQ547" s="120"/>
      <c r="AR547" s="121"/>
      <c r="AS547" s="96"/>
      <c r="AT547" s="122"/>
      <c r="AU547" s="123"/>
      <c r="AV547" s="122"/>
      <c r="AW547" s="122"/>
      <c r="AX547" s="30"/>
      <c r="AY547" s="30"/>
      <c r="AZ547" s="30"/>
      <c r="BA547" s="30"/>
      <c r="BB547" s="26"/>
      <c r="BC547" s="26"/>
      <c r="BD547" s="26"/>
      <c r="BE547" s="26"/>
      <c r="BF547" s="26"/>
    </row>
    <row r="548" spans="1:58" ht="15.75" customHeight="1">
      <c r="A548" s="67"/>
      <c r="B548" s="67"/>
      <c r="C548" s="67"/>
      <c r="D548" s="68"/>
      <c r="E548" s="68"/>
      <c r="F548" s="68"/>
      <c r="G548" s="68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30"/>
      <c r="AO548" s="25"/>
      <c r="AP548" s="120"/>
      <c r="AQ548" s="120"/>
      <c r="AR548" s="121"/>
      <c r="AS548" s="96"/>
      <c r="AT548" s="122"/>
      <c r="AU548" s="123"/>
      <c r="AV548" s="122"/>
      <c r="AW548" s="122"/>
      <c r="AX548" s="30"/>
      <c r="AY548" s="30"/>
      <c r="AZ548" s="30"/>
      <c r="BA548" s="30"/>
      <c r="BB548" s="26"/>
      <c r="BC548" s="26"/>
      <c r="BD548" s="26"/>
      <c r="BE548" s="26"/>
      <c r="BF548" s="26"/>
    </row>
    <row r="549" spans="1:58" ht="15.75" customHeight="1">
      <c r="A549" s="67"/>
      <c r="B549" s="67"/>
      <c r="C549" s="67"/>
      <c r="D549" s="68"/>
      <c r="E549" s="68"/>
      <c r="F549" s="68"/>
      <c r="G549" s="68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30"/>
      <c r="AO549" s="25"/>
      <c r="AP549" s="120"/>
      <c r="AQ549" s="120"/>
      <c r="AR549" s="121"/>
      <c r="AS549" s="96"/>
      <c r="AT549" s="122"/>
      <c r="AU549" s="123"/>
      <c r="AV549" s="122"/>
      <c r="AW549" s="122"/>
      <c r="AX549" s="30"/>
      <c r="AY549" s="30"/>
      <c r="AZ549" s="30"/>
      <c r="BA549" s="30"/>
      <c r="BB549" s="26"/>
      <c r="BC549" s="26"/>
      <c r="BD549" s="26"/>
      <c r="BE549" s="26"/>
      <c r="BF549" s="26"/>
    </row>
    <row r="550" spans="1:58" ht="15.75" customHeight="1">
      <c r="A550" s="67"/>
      <c r="B550" s="67"/>
      <c r="C550" s="67"/>
      <c r="D550" s="68"/>
      <c r="E550" s="68"/>
      <c r="F550" s="68"/>
      <c r="G550" s="68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30"/>
      <c r="AO550" s="25"/>
      <c r="AP550" s="120"/>
      <c r="AQ550" s="120"/>
      <c r="AR550" s="121"/>
      <c r="AS550" s="96"/>
      <c r="AT550" s="122"/>
      <c r="AU550" s="123"/>
      <c r="AV550" s="122"/>
      <c r="AW550" s="122"/>
      <c r="AX550" s="30"/>
      <c r="AY550" s="30"/>
      <c r="AZ550" s="30"/>
      <c r="BA550" s="30"/>
      <c r="BB550" s="26"/>
      <c r="BC550" s="26"/>
      <c r="BD550" s="26"/>
      <c r="BE550" s="26"/>
      <c r="BF550" s="26"/>
    </row>
    <row r="551" spans="1:58" ht="15.75" customHeight="1">
      <c r="A551" s="67"/>
      <c r="B551" s="67"/>
      <c r="C551" s="67"/>
      <c r="D551" s="68"/>
      <c r="E551" s="68"/>
      <c r="F551" s="68"/>
      <c r="G551" s="68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30"/>
      <c r="AO551" s="25"/>
      <c r="AP551" s="120"/>
      <c r="AQ551" s="120"/>
      <c r="AR551" s="121"/>
      <c r="AS551" s="96"/>
      <c r="AT551" s="122"/>
      <c r="AU551" s="123"/>
      <c r="AV551" s="122"/>
      <c r="AW551" s="122"/>
      <c r="AX551" s="30"/>
      <c r="AY551" s="30"/>
      <c r="AZ551" s="30"/>
      <c r="BA551" s="30"/>
      <c r="BB551" s="26"/>
      <c r="BC551" s="26"/>
      <c r="BD551" s="26"/>
      <c r="BE551" s="26"/>
      <c r="BF551" s="26"/>
    </row>
    <row r="552" spans="1:58" ht="15.75" customHeight="1">
      <c r="A552" s="67"/>
      <c r="B552" s="67"/>
      <c r="C552" s="67"/>
      <c r="D552" s="68"/>
      <c r="E552" s="68"/>
      <c r="F552" s="68"/>
      <c r="G552" s="68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30"/>
      <c r="AO552" s="25"/>
      <c r="AP552" s="120"/>
      <c r="AQ552" s="120"/>
      <c r="AR552" s="121"/>
      <c r="AS552" s="96"/>
      <c r="AT552" s="122"/>
      <c r="AU552" s="123"/>
      <c r="AV552" s="122"/>
      <c r="AW552" s="122"/>
      <c r="AX552" s="30"/>
      <c r="AY552" s="30"/>
      <c r="AZ552" s="30"/>
      <c r="BA552" s="30"/>
      <c r="BB552" s="26"/>
      <c r="BC552" s="26"/>
      <c r="BD552" s="26"/>
      <c r="BE552" s="26"/>
      <c r="BF552" s="26"/>
    </row>
    <row r="553" spans="1:58" ht="15.75" customHeight="1">
      <c r="A553" s="67"/>
      <c r="B553" s="67"/>
      <c r="C553" s="67"/>
      <c r="D553" s="68"/>
      <c r="E553" s="68"/>
      <c r="F553" s="68"/>
      <c r="G553" s="68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30"/>
      <c r="AO553" s="25"/>
      <c r="AP553" s="120"/>
      <c r="AQ553" s="120"/>
      <c r="AR553" s="121"/>
      <c r="AS553" s="96"/>
      <c r="AT553" s="122"/>
      <c r="AU553" s="123"/>
      <c r="AV553" s="122"/>
      <c r="AW553" s="122"/>
      <c r="AX553" s="30"/>
      <c r="AY553" s="30"/>
      <c r="AZ553" s="30"/>
      <c r="BA553" s="30"/>
      <c r="BB553" s="26"/>
      <c r="BC553" s="26"/>
      <c r="BD553" s="26"/>
      <c r="BE553" s="26"/>
      <c r="BF553" s="26"/>
    </row>
    <row r="554" spans="1:58" ht="15.75" customHeight="1">
      <c r="A554" s="67"/>
      <c r="B554" s="67"/>
      <c r="C554" s="67"/>
      <c r="D554" s="68"/>
      <c r="E554" s="68"/>
      <c r="F554" s="68"/>
      <c r="G554" s="68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30"/>
      <c r="AO554" s="25"/>
      <c r="AP554" s="120"/>
      <c r="AQ554" s="120"/>
      <c r="AR554" s="121"/>
      <c r="AS554" s="96"/>
      <c r="AT554" s="122"/>
      <c r="AU554" s="123"/>
      <c r="AV554" s="122"/>
      <c r="AW554" s="122"/>
      <c r="AX554" s="30"/>
      <c r="AY554" s="30"/>
      <c r="AZ554" s="30"/>
      <c r="BA554" s="30"/>
      <c r="BB554" s="26"/>
      <c r="BC554" s="26"/>
      <c r="BD554" s="26"/>
      <c r="BE554" s="26"/>
      <c r="BF554" s="26"/>
    </row>
    <row r="555" spans="1:58" ht="15.75" customHeight="1">
      <c r="A555" s="67"/>
      <c r="B555" s="67"/>
      <c r="C555" s="67"/>
      <c r="D555" s="68"/>
      <c r="E555" s="68"/>
      <c r="F555" s="68"/>
      <c r="G555" s="68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30"/>
      <c r="AO555" s="25"/>
      <c r="AP555" s="120"/>
      <c r="AQ555" s="120"/>
      <c r="AR555" s="121"/>
      <c r="AS555" s="96"/>
      <c r="AT555" s="122"/>
      <c r="AU555" s="123"/>
      <c r="AV555" s="122"/>
      <c r="AW555" s="122"/>
      <c r="AX555" s="30"/>
      <c r="AY555" s="30"/>
      <c r="AZ555" s="30"/>
      <c r="BA555" s="30"/>
      <c r="BB555" s="26"/>
      <c r="BC555" s="26"/>
      <c r="BD555" s="26"/>
      <c r="BE555" s="26"/>
      <c r="BF555" s="26"/>
    </row>
    <row r="556" spans="1:58" ht="15.75" customHeight="1">
      <c r="A556" s="67"/>
      <c r="B556" s="67"/>
      <c r="C556" s="67"/>
      <c r="D556" s="68"/>
      <c r="E556" s="68"/>
      <c r="F556" s="68"/>
      <c r="G556" s="68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30"/>
      <c r="AO556" s="25"/>
      <c r="AP556" s="120"/>
      <c r="AQ556" s="120"/>
      <c r="AR556" s="121"/>
      <c r="AS556" s="96"/>
      <c r="AT556" s="122"/>
      <c r="AU556" s="123"/>
      <c r="AV556" s="122"/>
      <c r="AW556" s="122"/>
      <c r="AX556" s="30"/>
      <c r="AY556" s="30"/>
      <c r="AZ556" s="30"/>
      <c r="BA556" s="30"/>
      <c r="BB556" s="26"/>
      <c r="BC556" s="26"/>
      <c r="BD556" s="26"/>
      <c r="BE556" s="26"/>
      <c r="BF556" s="26"/>
    </row>
    <row r="557" spans="1:58" ht="15.75" customHeight="1">
      <c r="A557" s="67"/>
      <c r="B557" s="67"/>
      <c r="C557" s="67"/>
      <c r="D557" s="68"/>
      <c r="E557" s="68"/>
      <c r="F557" s="68"/>
      <c r="G557" s="68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30"/>
      <c r="AO557" s="25"/>
      <c r="AP557" s="120"/>
      <c r="AQ557" s="120"/>
      <c r="AR557" s="121"/>
      <c r="AS557" s="96"/>
      <c r="AT557" s="122"/>
      <c r="AU557" s="123"/>
      <c r="AV557" s="122"/>
      <c r="AW557" s="122"/>
      <c r="AX557" s="30"/>
      <c r="AY557" s="30"/>
      <c r="AZ557" s="30"/>
      <c r="BA557" s="30"/>
      <c r="BB557" s="26"/>
      <c r="BC557" s="26"/>
      <c r="BD557" s="26"/>
      <c r="BE557" s="26"/>
      <c r="BF557" s="26"/>
    </row>
    <row r="558" spans="1:58" ht="15.75" customHeight="1">
      <c r="A558" s="67"/>
      <c r="B558" s="67"/>
      <c r="C558" s="67"/>
      <c r="D558" s="68"/>
      <c r="E558" s="68"/>
      <c r="F558" s="68"/>
      <c r="G558" s="68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30"/>
      <c r="AO558" s="25"/>
      <c r="AP558" s="120"/>
      <c r="AQ558" s="120"/>
      <c r="AR558" s="121"/>
      <c r="AS558" s="96"/>
      <c r="AT558" s="122"/>
      <c r="AU558" s="123"/>
      <c r="AV558" s="122"/>
      <c r="AW558" s="122"/>
      <c r="AX558" s="30"/>
      <c r="AY558" s="30"/>
      <c r="AZ558" s="30"/>
      <c r="BA558" s="30"/>
      <c r="BB558" s="26"/>
      <c r="BC558" s="26"/>
      <c r="BD558" s="26"/>
      <c r="BE558" s="26"/>
      <c r="BF558" s="26"/>
    </row>
    <row r="559" spans="1:58" ht="15.75" customHeight="1">
      <c r="A559" s="67"/>
      <c r="B559" s="67"/>
      <c r="C559" s="67"/>
      <c r="D559" s="68"/>
      <c r="E559" s="68"/>
      <c r="F559" s="68"/>
      <c r="G559" s="68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30"/>
      <c r="AO559" s="25"/>
      <c r="AP559" s="120"/>
      <c r="AQ559" s="120"/>
      <c r="AR559" s="121"/>
      <c r="AS559" s="96"/>
      <c r="AT559" s="122"/>
      <c r="AU559" s="123"/>
      <c r="AV559" s="122"/>
      <c r="AW559" s="122"/>
      <c r="AX559" s="30"/>
      <c r="AY559" s="30"/>
      <c r="AZ559" s="30"/>
      <c r="BA559" s="30"/>
      <c r="BB559" s="26"/>
      <c r="BC559" s="26"/>
      <c r="BD559" s="26"/>
      <c r="BE559" s="26"/>
      <c r="BF559" s="26"/>
    </row>
    <row r="560" spans="1:58" ht="15.75" customHeight="1">
      <c r="A560" s="67"/>
      <c r="B560" s="67"/>
      <c r="C560" s="67"/>
      <c r="D560" s="68"/>
      <c r="E560" s="68"/>
      <c r="F560" s="68"/>
      <c r="G560" s="68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30"/>
      <c r="AO560" s="25"/>
      <c r="AP560" s="120"/>
      <c r="AQ560" s="120"/>
      <c r="AR560" s="121"/>
      <c r="AS560" s="96"/>
      <c r="AT560" s="122"/>
      <c r="AU560" s="123"/>
      <c r="AV560" s="122"/>
      <c r="AW560" s="122"/>
      <c r="AX560" s="30"/>
      <c r="AY560" s="30"/>
      <c r="AZ560" s="30"/>
      <c r="BA560" s="30"/>
      <c r="BB560" s="26"/>
      <c r="BC560" s="26"/>
      <c r="BD560" s="26"/>
      <c r="BE560" s="26"/>
      <c r="BF560" s="26"/>
    </row>
    <row r="561" spans="1:58" ht="15.75" customHeight="1">
      <c r="A561" s="67"/>
      <c r="B561" s="67"/>
      <c r="C561" s="67"/>
      <c r="D561" s="68"/>
      <c r="E561" s="68"/>
      <c r="F561" s="68"/>
      <c r="G561" s="68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30"/>
      <c r="AO561" s="25"/>
      <c r="AP561" s="120"/>
      <c r="AQ561" s="120"/>
      <c r="AR561" s="121"/>
      <c r="AS561" s="96"/>
      <c r="AT561" s="122"/>
      <c r="AU561" s="123"/>
      <c r="AV561" s="122"/>
      <c r="AW561" s="122"/>
      <c r="AX561" s="30"/>
      <c r="AY561" s="30"/>
      <c r="AZ561" s="30"/>
      <c r="BA561" s="30"/>
      <c r="BB561" s="26"/>
      <c r="BC561" s="26"/>
      <c r="BD561" s="26"/>
      <c r="BE561" s="26"/>
      <c r="BF561" s="26"/>
    </row>
    <row r="562" spans="1:58" ht="15.75" customHeight="1">
      <c r="A562" s="67"/>
      <c r="B562" s="67"/>
      <c r="C562" s="67"/>
      <c r="D562" s="68"/>
      <c r="E562" s="68"/>
      <c r="F562" s="68"/>
      <c r="G562" s="68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30"/>
      <c r="AO562" s="25"/>
      <c r="AP562" s="120"/>
      <c r="AQ562" s="120"/>
      <c r="AR562" s="121"/>
      <c r="AS562" s="96"/>
      <c r="AT562" s="122"/>
      <c r="AU562" s="123"/>
      <c r="AV562" s="122"/>
      <c r="AW562" s="122"/>
      <c r="AX562" s="30"/>
      <c r="AY562" s="30"/>
      <c r="AZ562" s="30"/>
      <c r="BA562" s="30"/>
      <c r="BB562" s="26"/>
      <c r="BC562" s="26"/>
      <c r="BD562" s="26"/>
      <c r="BE562" s="26"/>
      <c r="BF562" s="26"/>
    </row>
    <row r="563" spans="1:58" ht="15.75" customHeight="1">
      <c r="A563" s="67"/>
      <c r="B563" s="67"/>
      <c r="C563" s="67"/>
      <c r="D563" s="68"/>
      <c r="E563" s="68"/>
      <c r="F563" s="68"/>
      <c r="G563" s="68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30"/>
      <c r="AO563" s="25"/>
      <c r="AP563" s="120"/>
      <c r="AQ563" s="120"/>
      <c r="AR563" s="121"/>
      <c r="AS563" s="96"/>
      <c r="AT563" s="122"/>
      <c r="AU563" s="123"/>
      <c r="AV563" s="122"/>
      <c r="AW563" s="122"/>
      <c r="AX563" s="30"/>
      <c r="AY563" s="30"/>
      <c r="AZ563" s="30"/>
      <c r="BA563" s="30"/>
      <c r="BB563" s="26"/>
      <c r="BC563" s="26"/>
      <c r="BD563" s="26"/>
      <c r="BE563" s="26"/>
      <c r="BF563" s="26"/>
    </row>
    <row r="564" spans="1:58" ht="15.75" customHeight="1">
      <c r="A564" s="67"/>
      <c r="B564" s="67"/>
      <c r="C564" s="67"/>
      <c r="D564" s="68"/>
      <c r="E564" s="68"/>
      <c r="F564" s="68"/>
      <c r="G564" s="68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30"/>
      <c r="AO564" s="25"/>
      <c r="AP564" s="120"/>
      <c r="AQ564" s="120"/>
      <c r="AR564" s="121"/>
      <c r="AS564" s="96"/>
      <c r="AT564" s="122"/>
      <c r="AU564" s="123"/>
      <c r="AV564" s="122"/>
      <c r="AW564" s="122"/>
      <c r="AX564" s="30"/>
      <c r="AY564" s="30"/>
      <c r="AZ564" s="30"/>
      <c r="BA564" s="30"/>
      <c r="BB564" s="26"/>
      <c r="BC564" s="26"/>
      <c r="BD564" s="26"/>
      <c r="BE564" s="26"/>
      <c r="BF564" s="26"/>
    </row>
    <row r="565" spans="1:58" ht="15.75" customHeight="1">
      <c r="A565" s="67"/>
      <c r="B565" s="67"/>
      <c r="C565" s="67"/>
      <c r="D565" s="68"/>
      <c r="E565" s="68"/>
      <c r="F565" s="68"/>
      <c r="G565" s="68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30"/>
      <c r="AO565" s="25"/>
      <c r="AP565" s="120"/>
      <c r="AQ565" s="120"/>
      <c r="AR565" s="121"/>
      <c r="AS565" s="96"/>
      <c r="AT565" s="122"/>
      <c r="AU565" s="123"/>
      <c r="AV565" s="122"/>
      <c r="AW565" s="122"/>
      <c r="AX565" s="30"/>
      <c r="AY565" s="30"/>
      <c r="AZ565" s="30"/>
      <c r="BA565" s="30"/>
      <c r="BB565" s="26"/>
      <c r="BC565" s="26"/>
      <c r="BD565" s="26"/>
      <c r="BE565" s="26"/>
      <c r="BF565" s="26"/>
    </row>
    <row r="566" spans="1:58" ht="15.75" customHeight="1">
      <c r="A566" s="67"/>
      <c r="B566" s="67"/>
      <c r="C566" s="67"/>
      <c r="D566" s="68"/>
      <c r="E566" s="68"/>
      <c r="F566" s="68"/>
      <c r="G566" s="68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30"/>
      <c r="AO566" s="25"/>
      <c r="AP566" s="120"/>
      <c r="AQ566" s="120"/>
      <c r="AR566" s="121"/>
      <c r="AS566" s="96"/>
      <c r="AT566" s="122"/>
      <c r="AU566" s="123"/>
      <c r="AV566" s="122"/>
      <c r="AW566" s="122"/>
      <c r="AX566" s="30"/>
      <c r="AY566" s="30"/>
      <c r="AZ566" s="30"/>
      <c r="BA566" s="30"/>
      <c r="BB566" s="26"/>
      <c r="BC566" s="26"/>
      <c r="BD566" s="26"/>
      <c r="BE566" s="26"/>
      <c r="BF566" s="26"/>
    </row>
    <row r="567" spans="1:58" ht="15.75" customHeight="1">
      <c r="A567" s="67"/>
      <c r="B567" s="67"/>
      <c r="C567" s="67"/>
      <c r="D567" s="68"/>
      <c r="E567" s="68"/>
      <c r="F567" s="68"/>
      <c r="G567" s="68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30"/>
      <c r="AO567" s="25"/>
      <c r="AP567" s="120"/>
      <c r="AQ567" s="120"/>
      <c r="AR567" s="121"/>
      <c r="AS567" s="96"/>
      <c r="AT567" s="122"/>
      <c r="AU567" s="123"/>
      <c r="AV567" s="122"/>
      <c r="AW567" s="122"/>
      <c r="AX567" s="30"/>
      <c r="AY567" s="30"/>
      <c r="AZ567" s="30"/>
      <c r="BA567" s="30"/>
      <c r="BB567" s="26"/>
      <c r="BC567" s="26"/>
      <c r="BD567" s="26"/>
      <c r="BE567" s="26"/>
      <c r="BF567" s="26"/>
    </row>
    <row r="568" spans="1:58" ht="15.75" customHeight="1">
      <c r="A568" s="67"/>
      <c r="B568" s="67"/>
      <c r="C568" s="67"/>
      <c r="D568" s="68"/>
      <c r="E568" s="68"/>
      <c r="F568" s="68"/>
      <c r="G568" s="68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30"/>
      <c r="AO568" s="25"/>
      <c r="AP568" s="120"/>
      <c r="AQ568" s="120"/>
      <c r="AR568" s="121"/>
      <c r="AS568" s="96"/>
      <c r="AT568" s="122"/>
      <c r="AU568" s="123"/>
      <c r="AV568" s="122"/>
      <c r="AW568" s="122"/>
      <c r="AX568" s="30"/>
      <c r="AY568" s="30"/>
      <c r="AZ568" s="30"/>
      <c r="BA568" s="30"/>
      <c r="BB568" s="26"/>
      <c r="BC568" s="26"/>
      <c r="BD568" s="26"/>
      <c r="BE568" s="26"/>
      <c r="BF568" s="26"/>
    </row>
    <row r="569" spans="1:58" ht="15.75" customHeight="1">
      <c r="A569" s="67"/>
      <c r="B569" s="67"/>
      <c r="C569" s="67"/>
      <c r="D569" s="68"/>
      <c r="E569" s="68"/>
      <c r="F569" s="68"/>
      <c r="G569" s="68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30"/>
      <c r="AO569" s="25"/>
      <c r="AP569" s="120"/>
      <c r="AQ569" s="120"/>
      <c r="AR569" s="121"/>
      <c r="AS569" s="96"/>
      <c r="AT569" s="122"/>
      <c r="AU569" s="123"/>
      <c r="AV569" s="122"/>
      <c r="AW569" s="122"/>
      <c r="AX569" s="30"/>
      <c r="AY569" s="30"/>
      <c r="AZ569" s="30"/>
      <c r="BA569" s="30"/>
      <c r="BB569" s="26"/>
      <c r="BC569" s="26"/>
      <c r="BD569" s="26"/>
      <c r="BE569" s="26"/>
      <c r="BF569" s="26"/>
    </row>
    <row r="570" spans="1:58" ht="15.75" customHeight="1">
      <c r="A570" s="67"/>
      <c r="B570" s="67"/>
      <c r="C570" s="67"/>
      <c r="D570" s="68"/>
      <c r="E570" s="68"/>
      <c r="F570" s="68"/>
      <c r="G570" s="68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30"/>
      <c r="AO570" s="25"/>
      <c r="AP570" s="120"/>
      <c r="AQ570" s="120"/>
      <c r="AR570" s="121"/>
      <c r="AS570" s="96"/>
      <c r="AT570" s="122"/>
      <c r="AU570" s="123"/>
      <c r="AV570" s="122"/>
      <c r="AW570" s="122"/>
      <c r="AX570" s="30"/>
      <c r="AY570" s="30"/>
      <c r="AZ570" s="30"/>
      <c r="BA570" s="30"/>
      <c r="BB570" s="26"/>
      <c r="BC570" s="26"/>
      <c r="BD570" s="26"/>
      <c r="BE570" s="26"/>
      <c r="BF570" s="26"/>
    </row>
    <row r="571" spans="1:58" ht="15.75" customHeight="1">
      <c r="A571" s="67"/>
      <c r="B571" s="67"/>
      <c r="C571" s="67"/>
      <c r="D571" s="68"/>
      <c r="E571" s="68"/>
      <c r="F571" s="68"/>
      <c r="G571" s="68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30"/>
      <c r="AO571" s="25"/>
      <c r="AP571" s="120"/>
      <c r="AQ571" s="120"/>
      <c r="AR571" s="121"/>
      <c r="AS571" s="96"/>
      <c r="AT571" s="122"/>
      <c r="AU571" s="123"/>
      <c r="AV571" s="122"/>
      <c r="AW571" s="122"/>
      <c r="AX571" s="30"/>
      <c r="AY571" s="30"/>
      <c r="AZ571" s="30"/>
      <c r="BA571" s="30"/>
      <c r="BB571" s="26"/>
      <c r="BC571" s="26"/>
      <c r="BD571" s="26"/>
      <c r="BE571" s="26"/>
      <c r="BF571" s="26"/>
    </row>
    <row r="572" spans="1:58" ht="15.75" customHeight="1">
      <c r="A572" s="67"/>
      <c r="B572" s="67"/>
      <c r="C572" s="67"/>
      <c r="D572" s="68"/>
      <c r="E572" s="68"/>
      <c r="F572" s="68"/>
      <c r="G572" s="68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30"/>
      <c r="AO572" s="25"/>
      <c r="AP572" s="120"/>
      <c r="AQ572" s="120"/>
      <c r="AR572" s="121"/>
      <c r="AS572" s="96"/>
      <c r="AT572" s="122"/>
      <c r="AU572" s="123"/>
      <c r="AV572" s="122"/>
      <c r="AW572" s="122"/>
      <c r="AX572" s="30"/>
      <c r="AY572" s="30"/>
      <c r="AZ572" s="30"/>
      <c r="BA572" s="30"/>
      <c r="BB572" s="26"/>
      <c r="BC572" s="26"/>
      <c r="BD572" s="26"/>
      <c r="BE572" s="26"/>
      <c r="BF572" s="26"/>
    </row>
    <row r="573" spans="1:58" ht="15.75" customHeight="1">
      <c r="A573" s="67"/>
      <c r="B573" s="67"/>
      <c r="C573" s="67"/>
      <c r="D573" s="68"/>
      <c r="E573" s="68"/>
      <c r="F573" s="68"/>
      <c r="G573" s="68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30"/>
      <c r="AO573" s="25"/>
      <c r="AP573" s="120"/>
      <c r="AQ573" s="120"/>
      <c r="AR573" s="121"/>
      <c r="AS573" s="96"/>
      <c r="AT573" s="122"/>
      <c r="AU573" s="123"/>
      <c r="AV573" s="122"/>
      <c r="AW573" s="122"/>
      <c r="AX573" s="30"/>
      <c r="AY573" s="30"/>
      <c r="AZ573" s="30"/>
      <c r="BA573" s="30"/>
      <c r="BB573" s="26"/>
      <c r="BC573" s="26"/>
      <c r="BD573" s="26"/>
      <c r="BE573" s="26"/>
      <c r="BF573" s="26"/>
    </row>
    <row r="574" spans="1:58" ht="15.75" customHeight="1">
      <c r="A574" s="67"/>
      <c r="B574" s="67"/>
      <c r="C574" s="67"/>
      <c r="D574" s="68"/>
      <c r="E574" s="68"/>
      <c r="F574" s="68"/>
      <c r="G574" s="68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30"/>
      <c r="AO574" s="25"/>
      <c r="AP574" s="120"/>
      <c r="AQ574" s="120"/>
      <c r="AR574" s="121"/>
      <c r="AS574" s="96"/>
      <c r="AT574" s="122"/>
      <c r="AU574" s="123"/>
      <c r="AV574" s="122"/>
      <c r="AW574" s="122"/>
      <c r="AX574" s="30"/>
      <c r="AY574" s="30"/>
      <c r="AZ574" s="30"/>
      <c r="BA574" s="30"/>
      <c r="BB574" s="26"/>
      <c r="BC574" s="26"/>
      <c r="BD574" s="26"/>
      <c r="BE574" s="26"/>
      <c r="BF574" s="26"/>
    </row>
    <row r="575" spans="1:58" ht="15.75" customHeight="1">
      <c r="A575" s="67"/>
      <c r="B575" s="67"/>
      <c r="C575" s="67"/>
      <c r="D575" s="68"/>
      <c r="E575" s="68"/>
      <c r="F575" s="68"/>
      <c r="G575" s="68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30"/>
      <c r="AO575" s="25"/>
      <c r="AP575" s="120"/>
      <c r="AQ575" s="120"/>
      <c r="AR575" s="121"/>
      <c r="AS575" s="96"/>
      <c r="AT575" s="122"/>
      <c r="AU575" s="123"/>
      <c r="AV575" s="122"/>
      <c r="AW575" s="122"/>
      <c r="AX575" s="30"/>
      <c r="AY575" s="30"/>
      <c r="AZ575" s="30"/>
      <c r="BA575" s="30"/>
      <c r="BB575" s="26"/>
      <c r="BC575" s="26"/>
      <c r="BD575" s="26"/>
      <c r="BE575" s="26"/>
      <c r="BF575" s="26"/>
    </row>
    <row r="576" spans="1:58" ht="15.75" customHeight="1">
      <c r="A576" s="67"/>
      <c r="B576" s="67"/>
      <c r="C576" s="67"/>
      <c r="D576" s="68"/>
      <c r="E576" s="68"/>
      <c r="F576" s="68"/>
      <c r="G576" s="68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30"/>
      <c r="AO576" s="25"/>
      <c r="AP576" s="120"/>
      <c r="AQ576" s="120"/>
      <c r="AR576" s="121"/>
      <c r="AS576" s="96"/>
      <c r="AT576" s="122"/>
      <c r="AU576" s="123"/>
      <c r="AV576" s="122"/>
      <c r="AW576" s="122"/>
      <c r="AX576" s="30"/>
      <c r="AY576" s="30"/>
      <c r="AZ576" s="30"/>
      <c r="BA576" s="30"/>
      <c r="BB576" s="26"/>
      <c r="BC576" s="26"/>
      <c r="BD576" s="26"/>
      <c r="BE576" s="26"/>
      <c r="BF576" s="26"/>
    </row>
    <row r="577" spans="1:58" ht="15.75" customHeight="1">
      <c r="A577" s="67"/>
      <c r="B577" s="67"/>
      <c r="C577" s="67"/>
      <c r="D577" s="68"/>
      <c r="E577" s="68"/>
      <c r="F577" s="68"/>
      <c r="G577" s="68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30"/>
      <c r="AO577" s="25"/>
      <c r="AP577" s="120"/>
      <c r="AQ577" s="120"/>
      <c r="AR577" s="121"/>
      <c r="AS577" s="96"/>
      <c r="AT577" s="122"/>
      <c r="AU577" s="123"/>
      <c r="AV577" s="122"/>
      <c r="AW577" s="122"/>
      <c r="AX577" s="30"/>
      <c r="AY577" s="30"/>
      <c r="AZ577" s="30"/>
      <c r="BA577" s="30"/>
      <c r="BB577" s="26"/>
      <c r="BC577" s="26"/>
      <c r="BD577" s="26"/>
      <c r="BE577" s="26"/>
      <c r="BF577" s="26"/>
    </row>
    <row r="578" spans="1:58" ht="15.75" customHeight="1">
      <c r="A578" s="67"/>
      <c r="B578" s="67"/>
      <c r="C578" s="67"/>
      <c r="D578" s="68"/>
      <c r="E578" s="68"/>
      <c r="F578" s="68"/>
      <c r="G578" s="68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30"/>
      <c r="AO578" s="25"/>
      <c r="AP578" s="120"/>
      <c r="AQ578" s="120"/>
      <c r="AR578" s="121"/>
      <c r="AS578" s="96"/>
      <c r="AT578" s="122"/>
      <c r="AU578" s="123"/>
      <c r="AV578" s="122"/>
      <c r="AW578" s="122"/>
      <c r="AX578" s="30"/>
      <c r="AY578" s="30"/>
      <c r="AZ578" s="30"/>
      <c r="BA578" s="30"/>
      <c r="BB578" s="26"/>
      <c r="BC578" s="26"/>
      <c r="BD578" s="26"/>
      <c r="BE578" s="26"/>
      <c r="BF578" s="26"/>
    </row>
    <row r="579" spans="1:58" ht="15.75" customHeight="1">
      <c r="A579" s="67"/>
      <c r="B579" s="67"/>
      <c r="C579" s="67"/>
      <c r="D579" s="68"/>
      <c r="E579" s="68"/>
      <c r="F579" s="68"/>
      <c r="G579" s="68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30"/>
      <c r="AO579" s="25"/>
      <c r="AP579" s="120"/>
      <c r="AQ579" s="120"/>
      <c r="AR579" s="121"/>
      <c r="AS579" s="96"/>
      <c r="AT579" s="122"/>
      <c r="AU579" s="123"/>
      <c r="AV579" s="122"/>
      <c r="AW579" s="122"/>
      <c r="AX579" s="30"/>
      <c r="AY579" s="30"/>
      <c r="AZ579" s="30"/>
      <c r="BA579" s="30"/>
      <c r="BB579" s="26"/>
      <c r="BC579" s="26"/>
      <c r="BD579" s="26"/>
      <c r="BE579" s="26"/>
      <c r="BF579" s="26"/>
    </row>
    <row r="580" spans="1:58" ht="15.75" customHeight="1">
      <c r="A580" s="67"/>
      <c r="B580" s="67"/>
      <c r="C580" s="67"/>
      <c r="D580" s="68"/>
      <c r="E580" s="68"/>
      <c r="F580" s="68"/>
      <c r="G580" s="68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30"/>
      <c r="AO580" s="25"/>
      <c r="AP580" s="120"/>
      <c r="AQ580" s="120"/>
      <c r="AR580" s="121"/>
      <c r="AS580" s="96"/>
      <c r="AT580" s="122"/>
      <c r="AU580" s="123"/>
      <c r="AV580" s="122"/>
      <c r="AW580" s="122"/>
      <c r="AX580" s="30"/>
      <c r="AY580" s="30"/>
      <c r="AZ580" s="30"/>
      <c r="BA580" s="30"/>
      <c r="BB580" s="26"/>
      <c r="BC580" s="26"/>
      <c r="BD580" s="26"/>
      <c r="BE580" s="26"/>
      <c r="BF580" s="26"/>
    </row>
    <row r="581" spans="1:58" ht="15.75" customHeight="1">
      <c r="A581" s="67"/>
      <c r="B581" s="67"/>
      <c r="C581" s="67"/>
      <c r="D581" s="68"/>
      <c r="E581" s="68"/>
      <c r="F581" s="68"/>
      <c r="G581" s="68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30"/>
      <c r="AO581" s="25"/>
      <c r="AP581" s="120"/>
      <c r="AQ581" s="120"/>
      <c r="AR581" s="121"/>
      <c r="AS581" s="96"/>
      <c r="AT581" s="122"/>
      <c r="AU581" s="123"/>
      <c r="AV581" s="122"/>
      <c r="AW581" s="122"/>
      <c r="AX581" s="30"/>
      <c r="AY581" s="30"/>
      <c r="AZ581" s="30"/>
      <c r="BA581" s="30"/>
      <c r="BB581" s="26"/>
      <c r="BC581" s="26"/>
      <c r="BD581" s="26"/>
      <c r="BE581" s="26"/>
      <c r="BF581" s="26"/>
    </row>
    <row r="582" spans="1:58" ht="15.75" customHeight="1">
      <c r="A582" s="67"/>
      <c r="B582" s="67"/>
      <c r="C582" s="67"/>
      <c r="D582" s="68"/>
      <c r="E582" s="68"/>
      <c r="F582" s="68"/>
      <c r="G582" s="68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30"/>
      <c r="AO582" s="25"/>
      <c r="AP582" s="120"/>
      <c r="AQ582" s="120"/>
      <c r="AR582" s="121"/>
      <c r="AS582" s="96"/>
      <c r="AT582" s="122"/>
      <c r="AU582" s="123"/>
      <c r="AV582" s="122"/>
      <c r="AW582" s="122"/>
      <c r="AX582" s="30"/>
      <c r="AY582" s="30"/>
      <c r="AZ582" s="30"/>
      <c r="BA582" s="30"/>
      <c r="BB582" s="26"/>
      <c r="BC582" s="26"/>
      <c r="BD582" s="26"/>
      <c r="BE582" s="26"/>
      <c r="BF582" s="26"/>
    </row>
    <row r="583" spans="1:58" ht="15.75" customHeight="1">
      <c r="A583" s="67"/>
      <c r="B583" s="67"/>
      <c r="C583" s="67"/>
      <c r="D583" s="68"/>
      <c r="E583" s="68"/>
      <c r="F583" s="68"/>
      <c r="G583" s="68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30"/>
      <c r="AO583" s="25"/>
      <c r="AP583" s="120"/>
      <c r="AQ583" s="120"/>
      <c r="AR583" s="121"/>
      <c r="AS583" s="96"/>
      <c r="AT583" s="122"/>
      <c r="AU583" s="123"/>
      <c r="AV583" s="122"/>
      <c r="AW583" s="122"/>
      <c r="AX583" s="30"/>
      <c r="AY583" s="30"/>
      <c r="AZ583" s="30"/>
      <c r="BA583" s="30"/>
      <c r="BB583" s="26"/>
      <c r="BC583" s="26"/>
      <c r="BD583" s="26"/>
      <c r="BE583" s="26"/>
      <c r="BF583" s="26"/>
    </row>
    <row r="584" spans="1:58" ht="15.75" customHeight="1">
      <c r="A584" s="67"/>
      <c r="B584" s="67"/>
      <c r="C584" s="67"/>
      <c r="D584" s="68"/>
      <c r="E584" s="68"/>
      <c r="F584" s="68"/>
      <c r="G584" s="68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30"/>
      <c r="AO584" s="25"/>
      <c r="AP584" s="120"/>
      <c r="AQ584" s="120"/>
      <c r="AR584" s="121"/>
      <c r="AS584" s="96"/>
      <c r="AT584" s="122"/>
      <c r="AU584" s="123"/>
      <c r="AV584" s="122"/>
      <c r="AW584" s="122"/>
      <c r="AX584" s="30"/>
      <c r="AY584" s="30"/>
      <c r="AZ584" s="30"/>
      <c r="BA584" s="30"/>
      <c r="BB584" s="26"/>
      <c r="BC584" s="26"/>
      <c r="BD584" s="26"/>
      <c r="BE584" s="26"/>
      <c r="BF584" s="26"/>
    </row>
    <row r="585" spans="1:58" ht="15.75" customHeight="1">
      <c r="A585" s="67"/>
      <c r="B585" s="67"/>
      <c r="C585" s="67"/>
      <c r="D585" s="68"/>
      <c r="E585" s="68"/>
      <c r="F585" s="68"/>
      <c r="G585" s="68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30"/>
      <c r="AO585" s="25"/>
      <c r="AP585" s="120"/>
      <c r="AQ585" s="120"/>
      <c r="AR585" s="121"/>
      <c r="AS585" s="96"/>
      <c r="AT585" s="122"/>
      <c r="AU585" s="123"/>
      <c r="AV585" s="122"/>
      <c r="AW585" s="122"/>
      <c r="AX585" s="30"/>
      <c r="AY585" s="30"/>
      <c r="AZ585" s="30"/>
      <c r="BA585" s="30"/>
      <c r="BB585" s="26"/>
      <c r="BC585" s="26"/>
      <c r="BD585" s="26"/>
      <c r="BE585" s="26"/>
      <c r="BF585" s="26"/>
    </row>
    <row r="586" spans="1:58" ht="15.75" customHeight="1">
      <c r="A586" s="67"/>
      <c r="B586" s="67"/>
      <c r="C586" s="67"/>
      <c r="D586" s="68"/>
      <c r="E586" s="68"/>
      <c r="F586" s="68"/>
      <c r="G586" s="68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30"/>
      <c r="AO586" s="25"/>
      <c r="AP586" s="120"/>
      <c r="AQ586" s="120"/>
      <c r="AR586" s="121"/>
      <c r="AS586" s="96"/>
      <c r="AT586" s="122"/>
      <c r="AU586" s="123"/>
      <c r="AV586" s="122"/>
      <c r="AW586" s="122"/>
      <c r="AX586" s="30"/>
      <c r="AY586" s="30"/>
      <c r="AZ586" s="30"/>
      <c r="BA586" s="30"/>
      <c r="BB586" s="26"/>
      <c r="BC586" s="26"/>
      <c r="BD586" s="26"/>
      <c r="BE586" s="26"/>
      <c r="BF586" s="26"/>
    </row>
    <row r="587" spans="1:58" ht="15.75" customHeight="1">
      <c r="A587" s="67"/>
      <c r="B587" s="67"/>
      <c r="C587" s="67"/>
      <c r="D587" s="68"/>
      <c r="E587" s="68"/>
      <c r="F587" s="68"/>
      <c r="G587" s="68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30"/>
      <c r="AO587" s="25"/>
      <c r="AP587" s="120"/>
      <c r="AQ587" s="120"/>
      <c r="AR587" s="121"/>
      <c r="AS587" s="96"/>
      <c r="AT587" s="122"/>
      <c r="AU587" s="123"/>
      <c r="AV587" s="122"/>
      <c r="AW587" s="122"/>
      <c r="AX587" s="30"/>
      <c r="AY587" s="30"/>
      <c r="AZ587" s="30"/>
      <c r="BA587" s="30"/>
      <c r="BB587" s="26"/>
      <c r="BC587" s="26"/>
      <c r="BD587" s="26"/>
      <c r="BE587" s="26"/>
      <c r="BF587" s="26"/>
    </row>
    <row r="588" spans="1:58" ht="15.75" customHeight="1">
      <c r="A588" s="67"/>
      <c r="B588" s="67"/>
      <c r="C588" s="67"/>
      <c r="D588" s="68"/>
      <c r="E588" s="68"/>
      <c r="F588" s="68"/>
      <c r="G588" s="68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30"/>
      <c r="AO588" s="25"/>
      <c r="AP588" s="120"/>
      <c r="AQ588" s="120"/>
      <c r="AR588" s="121"/>
      <c r="AS588" s="96"/>
      <c r="AT588" s="122"/>
      <c r="AU588" s="123"/>
      <c r="AV588" s="122"/>
      <c r="AW588" s="122"/>
      <c r="AX588" s="30"/>
      <c r="AY588" s="30"/>
      <c r="AZ588" s="30"/>
      <c r="BA588" s="30"/>
      <c r="BB588" s="26"/>
      <c r="BC588" s="26"/>
      <c r="BD588" s="26"/>
      <c r="BE588" s="26"/>
      <c r="BF588" s="26"/>
    </row>
    <row r="589" spans="1:58" ht="15.75" customHeight="1">
      <c r="A589" s="67"/>
      <c r="B589" s="67"/>
      <c r="C589" s="67"/>
      <c r="D589" s="68"/>
      <c r="E589" s="68"/>
      <c r="F589" s="68"/>
      <c r="G589" s="68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30"/>
      <c r="AO589" s="25"/>
      <c r="AP589" s="120"/>
      <c r="AQ589" s="120"/>
      <c r="AR589" s="121"/>
      <c r="AS589" s="96"/>
      <c r="AT589" s="122"/>
      <c r="AU589" s="123"/>
      <c r="AV589" s="122"/>
      <c r="AW589" s="122"/>
      <c r="AX589" s="30"/>
      <c r="AY589" s="30"/>
      <c r="AZ589" s="30"/>
      <c r="BA589" s="30"/>
      <c r="BB589" s="26"/>
      <c r="BC589" s="26"/>
      <c r="BD589" s="26"/>
      <c r="BE589" s="26"/>
      <c r="BF589" s="26"/>
    </row>
    <row r="590" spans="1:58" ht="15.75" customHeight="1">
      <c r="A590" s="67"/>
      <c r="B590" s="67"/>
      <c r="C590" s="67"/>
      <c r="D590" s="68"/>
      <c r="E590" s="68"/>
      <c r="F590" s="68"/>
      <c r="G590" s="68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30"/>
      <c r="AO590" s="25"/>
      <c r="AP590" s="120"/>
      <c r="AQ590" s="120"/>
      <c r="AR590" s="121"/>
      <c r="AS590" s="96"/>
      <c r="AT590" s="122"/>
      <c r="AU590" s="123"/>
      <c r="AV590" s="122"/>
      <c r="AW590" s="122"/>
      <c r="AX590" s="30"/>
      <c r="AY590" s="30"/>
      <c r="AZ590" s="30"/>
      <c r="BA590" s="30"/>
      <c r="BB590" s="26"/>
      <c r="BC590" s="26"/>
      <c r="BD590" s="26"/>
      <c r="BE590" s="26"/>
      <c r="BF590" s="26"/>
    </row>
    <row r="591" spans="1:58" ht="15.75" customHeight="1">
      <c r="A591" s="67"/>
      <c r="B591" s="67"/>
      <c r="C591" s="67"/>
      <c r="D591" s="68"/>
      <c r="E591" s="68"/>
      <c r="F591" s="68"/>
      <c r="G591" s="68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30"/>
      <c r="AO591" s="25"/>
      <c r="AP591" s="120"/>
      <c r="AQ591" s="120"/>
      <c r="AR591" s="121"/>
      <c r="AS591" s="96"/>
      <c r="AT591" s="122"/>
      <c r="AU591" s="123"/>
      <c r="AV591" s="122"/>
      <c r="AW591" s="122"/>
      <c r="AX591" s="30"/>
      <c r="AY591" s="30"/>
      <c r="AZ591" s="30"/>
      <c r="BA591" s="30"/>
      <c r="BB591" s="26"/>
      <c r="BC591" s="26"/>
      <c r="BD591" s="26"/>
      <c r="BE591" s="26"/>
      <c r="BF591" s="26"/>
    </row>
    <row r="592" spans="1:58" ht="15.75" customHeight="1">
      <c r="A592" s="67"/>
      <c r="B592" s="67"/>
      <c r="C592" s="67"/>
      <c r="D592" s="68"/>
      <c r="E592" s="68"/>
      <c r="F592" s="68"/>
      <c r="G592" s="68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30"/>
      <c r="AO592" s="25"/>
      <c r="AP592" s="120"/>
      <c r="AQ592" s="120"/>
      <c r="AR592" s="121"/>
      <c r="AS592" s="96"/>
      <c r="AT592" s="122"/>
      <c r="AU592" s="123"/>
      <c r="AV592" s="122"/>
      <c r="AW592" s="122"/>
      <c r="AX592" s="30"/>
      <c r="AY592" s="30"/>
      <c r="AZ592" s="30"/>
      <c r="BA592" s="30"/>
      <c r="BB592" s="26"/>
      <c r="BC592" s="26"/>
      <c r="BD592" s="26"/>
      <c r="BE592" s="26"/>
      <c r="BF592" s="26"/>
    </row>
    <row r="593" spans="1:58" ht="15.75" customHeight="1">
      <c r="A593" s="67"/>
      <c r="B593" s="67"/>
      <c r="C593" s="67"/>
      <c r="D593" s="68"/>
      <c r="E593" s="68"/>
      <c r="F593" s="68"/>
      <c r="G593" s="68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30"/>
      <c r="AO593" s="25"/>
      <c r="AP593" s="120"/>
      <c r="AQ593" s="120"/>
      <c r="AR593" s="121"/>
      <c r="AS593" s="96"/>
      <c r="AT593" s="122"/>
      <c r="AU593" s="123"/>
      <c r="AV593" s="122"/>
      <c r="AW593" s="122"/>
      <c r="AX593" s="30"/>
      <c r="AY593" s="30"/>
      <c r="AZ593" s="30"/>
      <c r="BA593" s="30"/>
      <c r="BB593" s="26"/>
      <c r="BC593" s="26"/>
      <c r="BD593" s="26"/>
      <c r="BE593" s="26"/>
      <c r="BF593" s="26"/>
    </row>
    <row r="594" spans="1:58" ht="15.75" customHeight="1">
      <c r="A594" s="67"/>
      <c r="B594" s="67"/>
      <c r="C594" s="67"/>
      <c r="D594" s="68"/>
      <c r="E594" s="68"/>
      <c r="F594" s="68"/>
      <c r="G594" s="68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30"/>
      <c r="AO594" s="25"/>
      <c r="AP594" s="120"/>
      <c r="AQ594" s="120"/>
      <c r="AR594" s="121"/>
      <c r="AS594" s="96"/>
      <c r="AT594" s="122"/>
      <c r="AU594" s="123"/>
      <c r="AV594" s="122"/>
      <c r="AW594" s="122"/>
      <c r="AX594" s="30"/>
      <c r="AY594" s="30"/>
      <c r="AZ594" s="30"/>
      <c r="BA594" s="30"/>
      <c r="BB594" s="26"/>
      <c r="BC594" s="26"/>
      <c r="BD594" s="26"/>
      <c r="BE594" s="26"/>
      <c r="BF594" s="26"/>
    </row>
    <row r="595" spans="1:58" ht="15.75" customHeight="1">
      <c r="A595" s="67"/>
      <c r="B595" s="67"/>
      <c r="C595" s="67"/>
      <c r="D595" s="68"/>
      <c r="E595" s="68"/>
      <c r="F595" s="68"/>
      <c r="G595" s="68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30"/>
      <c r="AO595" s="25"/>
      <c r="AP595" s="120"/>
      <c r="AQ595" s="120"/>
      <c r="AR595" s="121"/>
      <c r="AS595" s="96"/>
      <c r="AT595" s="122"/>
      <c r="AU595" s="123"/>
      <c r="AV595" s="122"/>
      <c r="AW595" s="122"/>
      <c r="AX595" s="30"/>
      <c r="AY595" s="30"/>
      <c r="AZ595" s="30"/>
      <c r="BA595" s="30"/>
      <c r="BB595" s="26"/>
      <c r="BC595" s="26"/>
      <c r="BD595" s="26"/>
      <c r="BE595" s="26"/>
      <c r="BF595" s="26"/>
    </row>
    <row r="596" spans="1:58" ht="15.75" customHeight="1">
      <c r="A596" s="67"/>
      <c r="B596" s="67"/>
      <c r="C596" s="67"/>
      <c r="D596" s="68"/>
      <c r="E596" s="68"/>
      <c r="F596" s="68"/>
      <c r="G596" s="68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30"/>
      <c r="AO596" s="25"/>
      <c r="AP596" s="120"/>
      <c r="AQ596" s="120"/>
      <c r="AR596" s="121"/>
      <c r="AS596" s="96"/>
      <c r="AT596" s="122"/>
      <c r="AU596" s="123"/>
      <c r="AV596" s="122"/>
      <c r="AW596" s="122"/>
      <c r="AX596" s="30"/>
      <c r="AY596" s="30"/>
      <c r="AZ596" s="30"/>
      <c r="BA596" s="30"/>
      <c r="BB596" s="26"/>
      <c r="BC596" s="26"/>
      <c r="BD596" s="26"/>
      <c r="BE596" s="26"/>
      <c r="BF596" s="26"/>
    </row>
    <row r="597" spans="1:58" ht="15.75" customHeight="1">
      <c r="A597" s="67"/>
      <c r="B597" s="67"/>
      <c r="C597" s="67"/>
      <c r="D597" s="68"/>
      <c r="E597" s="68"/>
      <c r="F597" s="68"/>
      <c r="G597" s="68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30"/>
      <c r="AO597" s="25"/>
      <c r="AP597" s="120"/>
      <c r="AQ597" s="120"/>
      <c r="AR597" s="121"/>
      <c r="AS597" s="96"/>
      <c r="AT597" s="122"/>
      <c r="AU597" s="123"/>
      <c r="AV597" s="122"/>
      <c r="AW597" s="122"/>
      <c r="AX597" s="30"/>
      <c r="AY597" s="30"/>
      <c r="AZ597" s="30"/>
      <c r="BA597" s="30"/>
      <c r="BB597" s="26"/>
      <c r="BC597" s="26"/>
      <c r="BD597" s="26"/>
      <c r="BE597" s="26"/>
      <c r="BF597" s="26"/>
    </row>
    <row r="598" spans="1:58" ht="15.75" customHeight="1">
      <c r="A598" s="67"/>
      <c r="B598" s="67"/>
      <c r="C598" s="67"/>
      <c r="D598" s="68"/>
      <c r="E598" s="68"/>
      <c r="F598" s="68"/>
      <c r="G598" s="68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30"/>
      <c r="AO598" s="25"/>
      <c r="AP598" s="120"/>
      <c r="AQ598" s="120"/>
      <c r="AR598" s="121"/>
      <c r="AS598" s="96"/>
      <c r="AT598" s="122"/>
      <c r="AU598" s="123"/>
      <c r="AV598" s="122"/>
      <c r="AW598" s="122"/>
      <c r="AX598" s="30"/>
      <c r="AY598" s="30"/>
      <c r="AZ598" s="30"/>
      <c r="BA598" s="30"/>
      <c r="BB598" s="26"/>
      <c r="BC598" s="26"/>
      <c r="BD598" s="26"/>
      <c r="BE598" s="26"/>
      <c r="BF598" s="26"/>
    </row>
    <row r="599" spans="1:58" ht="15.75" customHeight="1">
      <c r="A599" s="67"/>
      <c r="B599" s="67"/>
      <c r="C599" s="67"/>
      <c r="D599" s="68"/>
      <c r="E599" s="68"/>
      <c r="F599" s="68"/>
      <c r="G599" s="68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30"/>
      <c r="AO599" s="25"/>
      <c r="AP599" s="120"/>
      <c r="AQ599" s="120"/>
      <c r="AR599" s="121"/>
      <c r="AS599" s="96"/>
      <c r="AT599" s="122"/>
      <c r="AU599" s="123"/>
      <c r="AV599" s="122"/>
      <c r="AW599" s="122"/>
      <c r="AX599" s="30"/>
      <c r="AY599" s="30"/>
      <c r="AZ599" s="30"/>
      <c r="BA599" s="30"/>
      <c r="BB599" s="26"/>
      <c r="BC599" s="26"/>
      <c r="BD599" s="26"/>
      <c r="BE599" s="26"/>
      <c r="BF599" s="26"/>
    </row>
    <row r="600" spans="1:58" ht="15.75" customHeight="1">
      <c r="A600" s="67"/>
      <c r="B600" s="67"/>
      <c r="C600" s="67"/>
      <c r="D600" s="68"/>
      <c r="E600" s="68"/>
      <c r="F600" s="68"/>
      <c r="G600" s="68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30"/>
      <c r="AO600" s="25"/>
      <c r="AP600" s="120"/>
      <c r="AQ600" s="120"/>
      <c r="AR600" s="121"/>
      <c r="AS600" s="96"/>
      <c r="AT600" s="122"/>
      <c r="AU600" s="123"/>
      <c r="AV600" s="122"/>
      <c r="AW600" s="122"/>
      <c r="AX600" s="30"/>
      <c r="AY600" s="30"/>
      <c r="AZ600" s="30"/>
      <c r="BA600" s="30"/>
      <c r="BB600" s="26"/>
      <c r="BC600" s="26"/>
      <c r="BD600" s="26"/>
      <c r="BE600" s="26"/>
      <c r="BF600" s="26"/>
    </row>
    <row r="601" spans="1:58" ht="15.75" customHeight="1">
      <c r="A601" s="67"/>
      <c r="B601" s="67"/>
      <c r="C601" s="67"/>
      <c r="D601" s="68"/>
      <c r="E601" s="68"/>
      <c r="F601" s="68"/>
      <c r="G601" s="68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30"/>
      <c r="AO601" s="25"/>
      <c r="AP601" s="120"/>
      <c r="AQ601" s="120"/>
      <c r="AR601" s="121"/>
      <c r="AS601" s="96"/>
      <c r="AT601" s="122"/>
      <c r="AU601" s="123"/>
      <c r="AV601" s="122"/>
      <c r="AW601" s="122"/>
      <c r="AX601" s="30"/>
      <c r="AY601" s="30"/>
      <c r="AZ601" s="30"/>
      <c r="BA601" s="30"/>
      <c r="BB601" s="26"/>
      <c r="BC601" s="26"/>
      <c r="BD601" s="26"/>
      <c r="BE601" s="26"/>
      <c r="BF601" s="26"/>
    </row>
    <row r="602" spans="1:58" ht="15.75" customHeight="1">
      <c r="A602" s="67"/>
      <c r="B602" s="67"/>
      <c r="C602" s="67"/>
      <c r="D602" s="68"/>
      <c r="E602" s="68"/>
      <c r="F602" s="68"/>
      <c r="G602" s="68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30"/>
      <c r="AO602" s="25"/>
      <c r="AP602" s="120"/>
      <c r="AQ602" s="120"/>
      <c r="AR602" s="121"/>
      <c r="AS602" s="96"/>
      <c r="AT602" s="122"/>
      <c r="AU602" s="123"/>
      <c r="AV602" s="122"/>
      <c r="AW602" s="122"/>
      <c r="AX602" s="30"/>
      <c r="AY602" s="30"/>
      <c r="AZ602" s="30"/>
      <c r="BA602" s="30"/>
      <c r="BB602" s="26"/>
      <c r="BC602" s="26"/>
      <c r="BD602" s="26"/>
      <c r="BE602" s="26"/>
      <c r="BF602" s="26"/>
    </row>
    <row r="603" spans="1:58" ht="15.75" customHeight="1">
      <c r="A603" s="67"/>
      <c r="B603" s="67"/>
      <c r="C603" s="67"/>
      <c r="D603" s="68"/>
      <c r="E603" s="68"/>
      <c r="F603" s="68"/>
      <c r="G603" s="68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30"/>
      <c r="AO603" s="25"/>
      <c r="AP603" s="120"/>
      <c r="AQ603" s="120"/>
      <c r="AR603" s="121"/>
      <c r="AS603" s="96"/>
      <c r="AT603" s="122"/>
      <c r="AU603" s="123"/>
      <c r="AV603" s="122"/>
      <c r="AW603" s="122"/>
      <c r="AX603" s="30"/>
      <c r="AY603" s="30"/>
      <c r="AZ603" s="30"/>
      <c r="BA603" s="30"/>
      <c r="BB603" s="26"/>
      <c r="BC603" s="26"/>
      <c r="BD603" s="26"/>
      <c r="BE603" s="26"/>
      <c r="BF603" s="26"/>
    </row>
    <row r="604" spans="1:58" ht="15.75" customHeight="1">
      <c r="A604" s="67"/>
      <c r="B604" s="67"/>
      <c r="C604" s="67"/>
      <c r="D604" s="68"/>
      <c r="E604" s="68"/>
      <c r="F604" s="68"/>
      <c r="G604" s="68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30"/>
      <c r="AO604" s="25"/>
      <c r="AP604" s="120"/>
      <c r="AQ604" s="120"/>
      <c r="AR604" s="121"/>
      <c r="AS604" s="96"/>
      <c r="AT604" s="122"/>
      <c r="AU604" s="123"/>
      <c r="AV604" s="122"/>
      <c r="AW604" s="122"/>
      <c r="AX604" s="30"/>
      <c r="AY604" s="30"/>
      <c r="AZ604" s="30"/>
      <c r="BA604" s="30"/>
      <c r="BB604" s="26"/>
      <c r="BC604" s="26"/>
      <c r="BD604" s="26"/>
      <c r="BE604" s="26"/>
      <c r="BF604" s="26"/>
    </row>
    <row r="605" spans="1:58" ht="15.75" customHeight="1">
      <c r="A605" s="67"/>
      <c r="B605" s="67"/>
      <c r="C605" s="67"/>
      <c r="D605" s="68"/>
      <c r="E605" s="68"/>
      <c r="F605" s="68"/>
      <c r="G605" s="68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30"/>
      <c r="AO605" s="25"/>
      <c r="AP605" s="120"/>
      <c r="AQ605" s="120"/>
      <c r="AR605" s="121"/>
      <c r="AS605" s="96"/>
      <c r="AT605" s="122"/>
      <c r="AU605" s="123"/>
      <c r="AV605" s="122"/>
      <c r="AW605" s="122"/>
      <c r="AX605" s="30"/>
      <c r="AY605" s="30"/>
      <c r="AZ605" s="30"/>
      <c r="BA605" s="30"/>
      <c r="BB605" s="26"/>
      <c r="BC605" s="26"/>
      <c r="BD605" s="26"/>
      <c r="BE605" s="26"/>
      <c r="BF605" s="26"/>
    </row>
    <row r="606" spans="1:58" ht="15.75" customHeight="1">
      <c r="A606" s="67"/>
      <c r="B606" s="67"/>
      <c r="C606" s="67"/>
      <c r="D606" s="68"/>
      <c r="E606" s="68"/>
      <c r="F606" s="68"/>
      <c r="G606" s="68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30"/>
      <c r="AO606" s="25"/>
      <c r="AP606" s="120"/>
      <c r="AQ606" s="120"/>
      <c r="AR606" s="121"/>
      <c r="AS606" s="96"/>
      <c r="AT606" s="122"/>
      <c r="AU606" s="123"/>
      <c r="AV606" s="122"/>
      <c r="AW606" s="122"/>
      <c r="AX606" s="30"/>
      <c r="AY606" s="30"/>
      <c r="AZ606" s="30"/>
      <c r="BA606" s="30"/>
      <c r="BB606" s="26"/>
      <c r="BC606" s="26"/>
      <c r="BD606" s="26"/>
      <c r="BE606" s="26"/>
      <c r="BF606" s="26"/>
    </row>
    <row r="607" spans="1:58" ht="15.75" customHeight="1">
      <c r="A607" s="67"/>
      <c r="B607" s="67"/>
      <c r="C607" s="67"/>
      <c r="D607" s="68"/>
      <c r="E607" s="68"/>
      <c r="F607" s="68"/>
      <c r="G607" s="68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30"/>
      <c r="AO607" s="25"/>
      <c r="AP607" s="120"/>
      <c r="AQ607" s="120"/>
      <c r="AR607" s="121"/>
      <c r="AS607" s="96"/>
      <c r="AT607" s="122"/>
      <c r="AU607" s="123"/>
      <c r="AV607" s="122"/>
      <c r="AW607" s="122"/>
      <c r="AX607" s="30"/>
      <c r="AY607" s="30"/>
      <c r="AZ607" s="30"/>
      <c r="BA607" s="30"/>
      <c r="BB607" s="26"/>
      <c r="BC607" s="26"/>
      <c r="BD607" s="26"/>
      <c r="BE607" s="26"/>
      <c r="BF607" s="26"/>
    </row>
    <row r="608" spans="1:58" ht="15.75" customHeight="1">
      <c r="A608" s="67"/>
      <c r="B608" s="67"/>
      <c r="C608" s="67"/>
      <c r="D608" s="68"/>
      <c r="E608" s="68"/>
      <c r="F608" s="68"/>
      <c r="G608" s="68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30"/>
      <c r="AO608" s="25"/>
      <c r="AP608" s="120"/>
      <c r="AQ608" s="120"/>
      <c r="AR608" s="121"/>
      <c r="AS608" s="96"/>
      <c r="AT608" s="122"/>
      <c r="AU608" s="123"/>
      <c r="AV608" s="122"/>
      <c r="AW608" s="122"/>
      <c r="AX608" s="30"/>
      <c r="AY608" s="30"/>
      <c r="AZ608" s="30"/>
      <c r="BA608" s="30"/>
      <c r="BB608" s="26"/>
      <c r="BC608" s="26"/>
      <c r="BD608" s="26"/>
      <c r="BE608" s="26"/>
      <c r="BF608" s="26"/>
    </row>
    <row r="609" spans="1:58" ht="15.75" customHeight="1">
      <c r="A609" s="67"/>
      <c r="B609" s="67"/>
      <c r="C609" s="67"/>
      <c r="D609" s="68"/>
      <c r="E609" s="68"/>
      <c r="F609" s="68"/>
      <c r="G609" s="68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30"/>
      <c r="AO609" s="25"/>
      <c r="AP609" s="120"/>
      <c r="AQ609" s="120"/>
      <c r="AR609" s="121"/>
      <c r="AS609" s="96"/>
      <c r="AT609" s="122"/>
      <c r="AU609" s="123"/>
      <c r="AV609" s="122"/>
      <c r="AW609" s="122"/>
      <c r="AX609" s="30"/>
      <c r="AY609" s="30"/>
      <c r="AZ609" s="30"/>
      <c r="BA609" s="30"/>
      <c r="BB609" s="26"/>
      <c r="BC609" s="26"/>
      <c r="BD609" s="26"/>
      <c r="BE609" s="26"/>
      <c r="BF609" s="26"/>
    </row>
    <row r="610" spans="1:58" ht="15.75" customHeight="1">
      <c r="A610" s="67"/>
      <c r="B610" s="67"/>
      <c r="C610" s="67"/>
      <c r="D610" s="68"/>
      <c r="E610" s="68"/>
      <c r="F610" s="68"/>
      <c r="G610" s="68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30"/>
      <c r="AO610" s="25"/>
      <c r="AP610" s="120"/>
      <c r="AQ610" s="120"/>
      <c r="AR610" s="121"/>
      <c r="AS610" s="96"/>
      <c r="AT610" s="122"/>
      <c r="AU610" s="123"/>
      <c r="AV610" s="122"/>
      <c r="AW610" s="122"/>
      <c r="AX610" s="30"/>
      <c r="AY610" s="30"/>
      <c r="AZ610" s="30"/>
      <c r="BA610" s="30"/>
      <c r="BB610" s="26"/>
      <c r="BC610" s="26"/>
      <c r="BD610" s="26"/>
      <c r="BE610" s="26"/>
      <c r="BF610" s="26"/>
    </row>
    <row r="611" spans="1:58" ht="15.75" customHeight="1">
      <c r="A611" s="67"/>
      <c r="B611" s="67"/>
      <c r="C611" s="67"/>
      <c r="D611" s="68"/>
      <c r="E611" s="68"/>
      <c r="F611" s="68"/>
      <c r="G611" s="68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30"/>
      <c r="AO611" s="25"/>
      <c r="AP611" s="120"/>
      <c r="AQ611" s="120"/>
      <c r="AR611" s="121"/>
      <c r="AS611" s="96"/>
      <c r="AT611" s="122"/>
      <c r="AU611" s="123"/>
      <c r="AV611" s="122"/>
      <c r="AW611" s="122"/>
      <c r="AX611" s="30"/>
      <c r="AY611" s="30"/>
      <c r="AZ611" s="30"/>
      <c r="BA611" s="30"/>
      <c r="BB611" s="26"/>
      <c r="BC611" s="26"/>
      <c r="BD611" s="26"/>
      <c r="BE611" s="26"/>
      <c r="BF611" s="26"/>
    </row>
    <row r="612" spans="1:58" ht="15.75" customHeight="1">
      <c r="A612" s="67"/>
      <c r="B612" s="67"/>
      <c r="C612" s="67"/>
      <c r="D612" s="68"/>
      <c r="E612" s="68"/>
      <c r="F612" s="68"/>
      <c r="G612" s="68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30"/>
      <c r="AO612" s="25"/>
      <c r="AP612" s="120"/>
      <c r="AQ612" s="120"/>
      <c r="AR612" s="121"/>
      <c r="AS612" s="96"/>
      <c r="AT612" s="122"/>
      <c r="AU612" s="123"/>
      <c r="AV612" s="122"/>
      <c r="AW612" s="122"/>
      <c r="AX612" s="30"/>
      <c r="AY612" s="30"/>
      <c r="AZ612" s="30"/>
      <c r="BA612" s="30"/>
      <c r="BB612" s="26"/>
      <c r="BC612" s="26"/>
      <c r="BD612" s="26"/>
      <c r="BE612" s="26"/>
      <c r="BF612" s="26"/>
    </row>
    <row r="613" spans="1:58" ht="15.75" customHeight="1">
      <c r="A613" s="67"/>
      <c r="B613" s="67"/>
      <c r="C613" s="67"/>
      <c r="D613" s="68"/>
      <c r="E613" s="68"/>
      <c r="F613" s="68"/>
      <c r="G613" s="68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30"/>
      <c r="AO613" s="25"/>
      <c r="AP613" s="120"/>
      <c r="AQ613" s="120"/>
      <c r="AR613" s="121"/>
      <c r="AS613" s="96"/>
      <c r="AT613" s="122"/>
      <c r="AU613" s="123"/>
      <c r="AV613" s="122"/>
      <c r="AW613" s="122"/>
      <c r="AX613" s="30"/>
      <c r="AY613" s="30"/>
      <c r="AZ613" s="30"/>
      <c r="BA613" s="30"/>
      <c r="BB613" s="26"/>
      <c r="BC613" s="26"/>
      <c r="BD613" s="26"/>
      <c r="BE613" s="26"/>
      <c r="BF613" s="26"/>
    </row>
    <row r="614" spans="1:58" ht="15.75" customHeight="1">
      <c r="A614" s="67"/>
      <c r="B614" s="67"/>
      <c r="C614" s="67"/>
      <c r="D614" s="68"/>
      <c r="E614" s="68"/>
      <c r="F614" s="68"/>
      <c r="G614" s="68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30"/>
      <c r="AO614" s="25"/>
      <c r="AP614" s="120"/>
      <c r="AQ614" s="120"/>
      <c r="AR614" s="121"/>
      <c r="AS614" s="96"/>
      <c r="AT614" s="122"/>
      <c r="AU614" s="123"/>
      <c r="AV614" s="122"/>
      <c r="AW614" s="122"/>
      <c r="AX614" s="30"/>
      <c r="AY614" s="30"/>
      <c r="AZ614" s="30"/>
      <c r="BA614" s="30"/>
      <c r="BB614" s="26"/>
      <c r="BC614" s="26"/>
      <c r="BD614" s="26"/>
      <c r="BE614" s="26"/>
      <c r="BF614" s="26"/>
    </row>
    <row r="615" spans="1:58" ht="15.75" customHeight="1">
      <c r="A615" s="67"/>
      <c r="B615" s="67"/>
      <c r="C615" s="67"/>
      <c r="D615" s="68"/>
      <c r="E615" s="68"/>
      <c r="F615" s="68"/>
      <c r="G615" s="68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30"/>
      <c r="AO615" s="25"/>
      <c r="AP615" s="120"/>
      <c r="AQ615" s="120"/>
      <c r="AR615" s="121"/>
      <c r="AS615" s="96"/>
      <c r="AT615" s="122"/>
      <c r="AU615" s="123"/>
      <c r="AV615" s="122"/>
      <c r="AW615" s="122"/>
      <c r="AX615" s="30"/>
      <c r="AY615" s="30"/>
      <c r="AZ615" s="30"/>
      <c r="BA615" s="30"/>
      <c r="BB615" s="26"/>
      <c r="BC615" s="26"/>
      <c r="BD615" s="26"/>
      <c r="BE615" s="26"/>
      <c r="BF615" s="26"/>
    </row>
    <row r="616" spans="1:58" ht="15.75" customHeight="1">
      <c r="A616" s="67"/>
      <c r="B616" s="67"/>
      <c r="C616" s="67"/>
      <c r="D616" s="68"/>
      <c r="E616" s="68"/>
      <c r="F616" s="68"/>
      <c r="G616" s="68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30"/>
      <c r="AO616" s="25"/>
      <c r="AP616" s="120"/>
      <c r="AQ616" s="120"/>
      <c r="AR616" s="121"/>
      <c r="AS616" s="96"/>
      <c r="AT616" s="122"/>
      <c r="AU616" s="123"/>
      <c r="AV616" s="122"/>
      <c r="AW616" s="122"/>
      <c r="AX616" s="30"/>
      <c r="AY616" s="30"/>
      <c r="AZ616" s="30"/>
      <c r="BA616" s="30"/>
      <c r="BB616" s="26"/>
      <c r="BC616" s="26"/>
      <c r="BD616" s="26"/>
      <c r="BE616" s="26"/>
      <c r="BF616" s="26"/>
    </row>
    <row r="617" spans="1:58" ht="15.75" customHeight="1">
      <c r="A617" s="67"/>
      <c r="B617" s="67"/>
      <c r="C617" s="67"/>
      <c r="D617" s="68"/>
      <c r="E617" s="68"/>
      <c r="F617" s="68"/>
      <c r="G617" s="68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30"/>
      <c r="AO617" s="25"/>
      <c r="AP617" s="120"/>
      <c r="AQ617" s="120"/>
      <c r="AR617" s="121"/>
      <c r="AS617" s="96"/>
      <c r="AT617" s="122"/>
      <c r="AU617" s="123"/>
      <c r="AV617" s="122"/>
      <c r="AW617" s="122"/>
      <c r="AX617" s="30"/>
      <c r="AY617" s="30"/>
      <c r="AZ617" s="30"/>
      <c r="BA617" s="30"/>
      <c r="BB617" s="26"/>
      <c r="BC617" s="26"/>
      <c r="BD617" s="26"/>
      <c r="BE617" s="26"/>
      <c r="BF617" s="26"/>
    </row>
    <row r="618" spans="1:58" ht="15.75" customHeight="1">
      <c r="A618" s="67"/>
      <c r="B618" s="67"/>
      <c r="C618" s="67"/>
      <c r="D618" s="68"/>
      <c r="E618" s="68"/>
      <c r="F618" s="68"/>
      <c r="G618" s="68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30"/>
      <c r="AO618" s="25"/>
      <c r="AP618" s="120"/>
      <c r="AQ618" s="120"/>
      <c r="AR618" s="121"/>
      <c r="AS618" s="96"/>
      <c r="AT618" s="122"/>
      <c r="AU618" s="123"/>
      <c r="AV618" s="122"/>
      <c r="AW618" s="122"/>
      <c r="AX618" s="30"/>
      <c r="AY618" s="30"/>
      <c r="AZ618" s="30"/>
      <c r="BA618" s="30"/>
      <c r="BB618" s="26"/>
      <c r="BC618" s="26"/>
      <c r="BD618" s="26"/>
      <c r="BE618" s="26"/>
      <c r="BF618" s="26"/>
    </row>
    <row r="619" spans="1:58" ht="15.75" customHeight="1">
      <c r="A619" s="67"/>
      <c r="B619" s="67"/>
      <c r="C619" s="67"/>
      <c r="D619" s="68"/>
      <c r="E619" s="68"/>
      <c r="F619" s="68"/>
      <c r="G619" s="68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30"/>
      <c r="AO619" s="25"/>
      <c r="AP619" s="120"/>
      <c r="AQ619" s="120"/>
      <c r="AR619" s="121"/>
      <c r="AS619" s="96"/>
      <c r="AT619" s="122"/>
      <c r="AU619" s="123"/>
      <c r="AV619" s="122"/>
      <c r="AW619" s="122"/>
      <c r="AX619" s="30"/>
      <c r="AY619" s="30"/>
      <c r="AZ619" s="30"/>
      <c r="BA619" s="30"/>
      <c r="BB619" s="26"/>
      <c r="BC619" s="26"/>
      <c r="BD619" s="26"/>
      <c r="BE619" s="26"/>
      <c r="BF619" s="26"/>
    </row>
    <row r="620" spans="1:58" ht="15.75" customHeight="1">
      <c r="A620" s="67"/>
      <c r="B620" s="67"/>
      <c r="C620" s="67"/>
      <c r="D620" s="68"/>
      <c r="E620" s="68"/>
      <c r="F620" s="68"/>
      <c r="G620" s="68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30"/>
      <c r="AO620" s="25"/>
      <c r="AP620" s="120"/>
      <c r="AQ620" s="120"/>
      <c r="AR620" s="121"/>
      <c r="AS620" s="96"/>
      <c r="AT620" s="122"/>
      <c r="AU620" s="123"/>
      <c r="AV620" s="122"/>
      <c r="AW620" s="122"/>
      <c r="AX620" s="30"/>
      <c r="AY620" s="30"/>
      <c r="AZ620" s="30"/>
      <c r="BA620" s="30"/>
      <c r="BB620" s="26"/>
      <c r="BC620" s="26"/>
      <c r="BD620" s="26"/>
      <c r="BE620" s="26"/>
      <c r="BF620" s="26"/>
    </row>
    <row r="621" spans="1:58" ht="15.75" customHeight="1">
      <c r="A621" s="67"/>
      <c r="B621" s="67"/>
      <c r="C621" s="67"/>
      <c r="D621" s="68"/>
      <c r="E621" s="68"/>
      <c r="F621" s="68"/>
      <c r="G621" s="68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30"/>
      <c r="AO621" s="25"/>
      <c r="AP621" s="120"/>
      <c r="AQ621" s="120"/>
      <c r="AR621" s="121"/>
      <c r="AS621" s="96"/>
      <c r="AT621" s="122"/>
      <c r="AU621" s="123"/>
      <c r="AV621" s="122"/>
      <c r="AW621" s="122"/>
      <c r="AX621" s="30"/>
      <c r="AY621" s="30"/>
      <c r="AZ621" s="30"/>
      <c r="BA621" s="30"/>
      <c r="BB621" s="26"/>
      <c r="BC621" s="26"/>
      <c r="BD621" s="26"/>
      <c r="BE621" s="26"/>
      <c r="BF621" s="26"/>
    </row>
    <row r="622" spans="1:58" ht="15.75" customHeight="1">
      <c r="A622" s="67"/>
      <c r="B622" s="67"/>
      <c r="C622" s="67"/>
      <c r="D622" s="68"/>
      <c r="E622" s="68"/>
      <c r="F622" s="68"/>
      <c r="G622" s="68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30"/>
      <c r="AO622" s="25"/>
      <c r="AP622" s="120"/>
      <c r="AQ622" s="120"/>
      <c r="AR622" s="121"/>
      <c r="AS622" s="96"/>
      <c r="AT622" s="122"/>
      <c r="AU622" s="123"/>
      <c r="AV622" s="122"/>
      <c r="AW622" s="122"/>
      <c r="AX622" s="30"/>
      <c r="AY622" s="30"/>
      <c r="AZ622" s="30"/>
      <c r="BA622" s="30"/>
      <c r="BB622" s="26"/>
      <c r="BC622" s="26"/>
      <c r="BD622" s="26"/>
      <c r="BE622" s="26"/>
      <c r="BF622" s="26"/>
    </row>
    <row r="623" spans="1:58" ht="15.75" customHeight="1">
      <c r="A623" s="67"/>
      <c r="B623" s="67"/>
      <c r="C623" s="67"/>
      <c r="D623" s="68"/>
      <c r="E623" s="68"/>
      <c r="F623" s="68"/>
      <c r="G623" s="68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30"/>
      <c r="AO623" s="25"/>
      <c r="AP623" s="120"/>
      <c r="AQ623" s="120"/>
      <c r="AR623" s="121"/>
      <c r="AS623" s="96"/>
      <c r="AT623" s="122"/>
      <c r="AU623" s="123"/>
      <c r="AV623" s="122"/>
      <c r="AW623" s="122"/>
      <c r="AX623" s="30"/>
      <c r="AY623" s="30"/>
      <c r="AZ623" s="30"/>
      <c r="BA623" s="30"/>
      <c r="BB623" s="26"/>
      <c r="BC623" s="26"/>
      <c r="BD623" s="26"/>
      <c r="BE623" s="26"/>
      <c r="BF623" s="26"/>
    </row>
    <row r="624" spans="1:58" ht="15.75" customHeight="1">
      <c r="A624" s="67"/>
      <c r="B624" s="67"/>
      <c r="C624" s="67"/>
      <c r="D624" s="68"/>
      <c r="E624" s="68"/>
      <c r="F624" s="68"/>
      <c r="G624" s="68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30"/>
      <c r="AO624" s="25"/>
      <c r="AP624" s="120"/>
      <c r="AQ624" s="120"/>
      <c r="AR624" s="121"/>
      <c r="AS624" s="96"/>
      <c r="AT624" s="122"/>
      <c r="AU624" s="123"/>
      <c r="AV624" s="122"/>
      <c r="AW624" s="122"/>
      <c r="AX624" s="30"/>
      <c r="AY624" s="30"/>
      <c r="AZ624" s="30"/>
      <c r="BA624" s="30"/>
      <c r="BB624" s="26"/>
      <c r="BC624" s="26"/>
      <c r="BD624" s="26"/>
      <c r="BE624" s="26"/>
      <c r="BF624" s="26"/>
    </row>
    <row r="625" spans="1:58" ht="15.75" customHeight="1">
      <c r="A625" s="67"/>
      <c r="B625" s="67"/>
      <c r="C625" s="67"/>
      <c r="D625" s="68"/>
      <c r="E625" s="68"/>
      <c r="F625" s="68"/>
      <c r="G625" s="68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30"/>
      <c r="AO625" s="25"/>
      <c r="AP625" s="120"/>
      <c r="AQ625" s="120"/>
      <c r="AR625" s="121"/>
      <c r="AS625" s="96"/>
      <c r="AT625" s="122"/>
      <c r="AU625" s="123"/>
      <c r="AV625" s="122"/>
      <c r="AW625" s="122"/>
      <c r="AX625" s="30"/>
      <c r="AY625" s="30"/>
      <c r="AZ625" s="30"/>
      <c r="BA625" s="30"/>
      <c r="BB625" s="26"/>
      <c r="BC625" s="26"/>
      <c r="BD625" s="26"/>
      <c r="BE625" s="26"/>
      <c r="BF625" s="26"/>
    </row>
    <row r="626" spans="1:58" ht="15.75" customHeight="1">
      <c r="A626" s="67"/>
      <c r="B626" s="67"/>
      <c r="C626" s="67"/>
      <c r="D626" s="68"/>
      <c r="E626" s="68"/>
      <c r="F626" s="68"/>
      <c r="G626" s="68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30"/>
      <c r="AO626" s="25"/>
      <c r="AP626" s="120"/>
      <c r="AQ626" s="120"/>
      <c r="AR626" s="121"/>
      <c r="AS626" s="96"/>
      <c r="AT626" s="122"/>
      <c r="AU626" s="123"/>
      <c r="AV626" s="122"/>
      <c r="AW626" s="122"/>
      <c r="AX626" s="30"/>
      <c r="AY626" s="30"/>
      <c r="AZ626" s="30"/>
      <c r="BA626" s="30"/>
      <c r="BB626" s="26"/>
      <c r="BC626" s="26"/>
      <c r="BD626" s="26"/>
      <c r="BE626" s="26"/>
      <c r="BF626" s="26"/>
    </row>
    <row r="627" spans="1:58" ht="15.75" customHeight="1">
      <c r="A627" s="67"/>
      <c r="B627" s="67"/>
      <c r="C627" s="67"/>
      <c r="D627" s="68"/>
      <c r="E627" s="68"/>
      <c r="F627" s="68"/>
      <c r="G627" s="68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30"/>
      <c r="AO627" s="25"/>
      <c r="AP627" s="120"/>
      <c r="AQ627" s="120"/>
      <c r="AR627" s="121"/>
      <c r="AS627" s="96"/>
      <c r="AT627" s="122"/>
      <c r="AU627" s="123"/>
      <c r="AV627" s="122"/>
      <c r="AW627" s="122"/>
      <c r="AX627" s="30"/>
      <c r="AY627" s="30"/>
      <c r="AZ627" s="30"/>
      <c r="BA627" s="30"/>
      <c r="BB627" s="26"/>
      <c r="BC627" s="26"/>
      <c r="BD627" s="26"/>
      <c r="BE627" s="26"/>
      <c r="BF627" s="26"/>
    </row>
    <row r="628" spans="1:58" ht="15.75" customHeight="1">
      <c r="A628" s="67"/>
      <c r="B628" s="67"/>
      <c r="C628" s="67"/>
      <c r="D628" s="68"/>
      <c r="E628" s="68"/>
      <c r="F628" s="68"/>
      <c r="G628" s="68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30"/>
      <c r="AO628" s="25"/>
      <c r="AP628" s="120"/>
      <c r="AQ628" s="120"/>
      <c r="AR628" s="121"/>
      <c r="AS628" s="96"/>
      <c r="AT628" s="122"/>
      <c r="AU628" s="123"/>
      <c r="AV628" s="122"/>
      <c r="AW628" s="122"/>
      <c r="AX628" s="30"/>
      <c r="AY628" s="30"/>
      <c r="AZ628" s="30"/>
      <c r="BA628" s="30"/>
      <c r="BB628" s="26"/>
      <c r="BC628" s="26"/>
      <c r="BD628" s="26"/>
      <c r="BE628" s="26"/>
      <c r="BF628" s="26"/>
    </row>
    <row r="629" spans="1:58" ht="15.75" customHeight="1">
      <c r="A629" s="67"/>
      <c r="B629" s="67"/>
      <c r="C629" s="67"/>
      <c r="D629" s="68"/>
      <c r="E629" s="68"/>
      <c r="F629" s="68"/>
      <c r="G629" s="68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30"/>
      <c r="AO629" s="25"/>
      <c r="AP629" s="120"/>
      <c r="AQ629" s="120"/>
      <c r="AR629" s="121"/>
      <c r="AS629" s="96"/>
      <c r="AT629" s="122"/>
      <c r="AU629" s="123"/>
      <c r="AV629" s="122"/>
      <c r="AW629" s="122"/>
      <c r="AX629" s="30"/>
      <c r="AY629" s="30"/>
      <c r="AZ629" s="30"/>
      <c r="BA629" s="30"/>
      <c r="BB629" s="26"/>
      <c r="BC629" s="26"/>
      <c r="BD629" s="26"/>
      <c r="BE629" s="26"/>
      <c r="BF629" s="26"/>
    </row>
    <row r="630" spans="1:58" ht="15.75" customHeight="1">
      <c r="A630" s="67"/>
      <c r="B630" s="67"/>
      <c r="C630" s="67"/>
      <c r="D630" s="68"/>
      <c r="E630" s="68"/>
      <c r="F630" s="68"/>
      <c r="G630" s="68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30"/>
      <c r="AO630" s="25"/>
      <c r="AP630" s="120"/>
      <c r="AQ630" s="120"/>
      <c r="AR630" s="121"/>
      <c r="AS630" s="96"/>
      <c r="AT630" s="122"/>
      <c r="AU630" s="123"/>
      <c r="AV630" s="122"/>
      <c r="AW630" s="122"/>
      <c r="AX630" s="30"/>
      <c r="AY630" s="30"/>
      <c r="AZ630" s="30"/>
      <c r="BA630" s="30"/>
      <c r="BB630" s="26"/>
      <c r="BC630" s="26"/>
      <c r="BD630" s="26"/>
      <c r="BE630" s="26"/>
      <c r="BF630" s="26"/>
    </row>
    <row r="631" spans="1:58" ht="15.75" customHeight="1">
      <c r="A631" s="67"/>
      <c r="B631" s="67"/>
      <c r="C631" s="67"/>
      <c r="D631" s="68"/>
      <c r="E631" s="68"/>
      <c r="F631" s="68"/>
      <c r="G631" s="68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30"/>
      <c r="AO631" s="25"/>
      <c r="AP631" s="120"/>
      <c r="AQ631" s="120"/>
      <c r="AR631" s="121"/>
      <c r="AS631" s="96"/>
      <c r="AT631" s="122"/>
      <c r="AU631" s="123"/>
      <c r="AV631" s="122"/>
      <c r="AW631" s="122"/>
      <c r="AX631" s="30"/>
      <c r="AY631" s="30"/>
      <c r="AZ631" s="30"/>
      <c r="BA631" s="30"/>
      <c r="BB631" s="26"/>
      <c r="BC631" s="26"/>
      <c r="BD631" s="26"/>
      <c r="BE631" s="26"/>
      <c r="BF631" s="26"/>
    </row>
    <row r="632" spans="1:58" ht="15.75" customHeight="1">
      <c r="A632" s="67"/>
      <c r="B632" s="67"/>
      <c r="C632" s="67"/>
      <c r="D632" s="68"/>
      <c r="E632" s="68"/>
      <c r="F632" s="68"/>
      <c r="G632" s="68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30"/>
      <c r="AO632" s="25"/>
      <c r="AP632" s="120"/>
      <c r="AQ632" s="120"/>
      <c r="AR632" s="121"/>
      <c r="AS632" s="96"/>
      <c r="AT632" s="122"/>
      <c r="AU632" s="123"/>
      <c r="AV632" s="122"/>
      <c r="AW632" s="122"/>
      <c r="AX632" s="30"/>
      <c r="AY632" s="30"/>
      <c r="AZ632" s="30"/>
      <c r="BA632" s="30"/>
      <c r="BB632" s="26"/>
      <c r="BC632" s="26"/>
      <c r="BD632" s="26"/>
      <c r="BE632" s="26"/>
      <c r="BF632" s="26"/>
    </row>
    <row r="633" spans="1:58" ht="15.75" customHeight="1">
      <c r="A633" s="67"/>
      <c r="B633" s="67"/>
      <c r="C633" s="67"/>
      <c r="D633" s="68"/>
      <c r="E633" s="68"/>
      <c r="F633" s="68"/>
      <c r="G633" s="68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30"/>
      <c r="AO633" s="25"/>
      <c r="AP633" s="120"/>
      <c r="AQ633" s="120"/>
      <c r="AR633" s="121"/>
      <c r="AS633" s="96"/>
      <c r="AT633" s="122"/>
      <c r="AU633" s="123"/>
      <c r="AV633" s="122"/>
      <c r="AW633" s="122"/>
      <c r="AX633" s="30"/>
      <c r="AY633" s="30"/>
      <c r="AZ633" s="30"/>
      <c r="BA633" s="30"/>
      <c r="BB633" s="26"/>
      <c r="BC633" s="26"/>
      <c r="BD633" s="26"/>
      <c r="BE633" s="26"/>
      <c r="BF633" s="26"/>
    </row>
    <row r="634" spans="1:58" ht="15.75" customHeight="1">
      <c r="A634" s="67"/>
      <c r="B634" s="67"/>
      <c r="C634" s="67"/>
      <c r="D634" s="68"/>
      <c r="E634" s="68"/>
      <c r="F634" s="68"/>
      <c r="G634" s="68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30"/>
      <c r="AO634" s="25"/>
      <c r="AP634" s="120"/>
      <c r="AQ634" s="120"/>
      <c r="AR634" s="121"/>
      <c r="AS634" s="96"/>
      <c r="AT634" s="122"/>
      <c r="AU634" s="123"/>
      <c r="AV634" s="122"/>
      <c r="AW634" s="122"/>
      <c r="AX634" s="30"/>
      <c r="AY634" s="30"/>
      <c r="AZ634" s="30"/>
      <c r="BA634" s="30"/>
      <c r="BB634" s="26"/>
      <c r="BC634" s="26"/>
      <c r="BD634" s="26"/>
      <c r="BE634" s="26"/>
      <c r="BF634" s="26"/>
    </row>
    <row r="635" spans="1:58" ht="15.75" customHeight="1">
      <c r="A635" s="67"/>
      <c r="B635" s="67"/>
      <c r="C635" s="67"/>
      <c r="D635" s="68"/>
      <c r="E635" s="68"/>
      <c r="F635" s="68"/>
      <c r="G635" s="68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30"/>
      <c r="AO635" s="25"/>
      <c r="AP635" s="120"/>
      <c r="AQ635" s="120"/>
      <c r="AR635" s="121"/>
      <c r="AS635" s="96"/>
      <c r="AT635" s="122"/>
      <c r="AU635" s="123"/>
      <c r="AV635" s="122"/>
      <c r="AW635" s="122"/>
      <c r="AX635" s="30"/>
      <c r="AY635" s="30"/>
      <c r="AZ635" s="30"/>
      <c r="BA635" s="30"/>
      <c r="BB635" s="26"/>
      <c r="BC635" s="26"/>
      <c r="BD635" s="26"/>
      <c r="BE635" s="26"/>
      <c r="BF635" s="26"/>
    </row>
    <row r="636" spans="1:58" ht="15.75" customHeight="1">
      <c r="A636" s="67"/>
      <c r="B636" s="67"/>
      <c r="C636" s="67"/>
      <c r="D636" s="68"/>
      <c r="E636" s="68"/>
      <c r="F636" s="68"/>
      <c r="G636" s="68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30"/>
      <c r="AO636" s="25"/>
      <c r="AP636" s="120"/>
      <c r="AQ636" s="120"/>
      <c r="AR636" s="121"/>
      <c r="AS636" s="96"/>
      <c r="AT636" s="122"/>
      <c r="AU636" s="123"/>
      <c r="AV636" s="122"/>
      <c r="AW636" s="122"/>
      <c r="AX636" s="30"/>
      <c r="AY636" s="30"/>
      <c r="AZ636" s="30"/>
      <c r="BA636" s="30"/>
      <c r="BB636" s="26"/>
      <c r="BC636" s="26"/>
      <c r="BD636" s="26"/>
      <c r="BE636" s="26"/>
      <c r="BF636" s="26"/>
    </row>
    <row r="637" spans="1:58" ht="15.75" customHeight="1">
      <c r="A637" s="67"/>
      <c r="B637" s="67"/>
      <c r="C637" s="67"/>
      <c r="D637" s="68"/>
      <c r="E637" s="68"/>
      <c r="F637" s="68"/>
      <c r="G637" s="68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30"/>
      <c r="AO637" s="25"/>
      <c r="AP637" s="120"/>
      <c r="AQ637" s="120"/>
      <c r="AR637" s="121"/>
      <c r="AS637" s="96"/>
      <c r="AT637" s="122"/>
      <c r="AU637" s="123"/>
      <c r="AV637" s="122"/>
      <c r="AW637" s="122"/>
      <c r="AX637" s="30"/>
      <c r="AY637" s="30"/>
      <c r="AZ637" s="30"/>
      <c r="BA637" s="30"/>
      <c r="BB637" s="26"/>
      <c r="BC637" s="26"/>
      <c r="BD637" s="26"/>
      <c r="BE637" s="26"/>
      <c r="BF637" s="26"/>
    </row>
    <row r="638" spans="1:58" ht="15.75" customHeight="1">
      <c r="A638" s="67"/>
      <c r="B638" s="67"/>
      <c r="C638" s="67"/>
      <c r="D638" s="68"/>
      <c r="E638" s="68"/>
      <c r="F638" s="68"/>
      <c r="G638" s="68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30"/>
      <c r="AO638" s="25"/>
      <c r="AP638" s="120"/>
      <c r="AQ638" s="120"/>
      <c r="AR638" s="121"/>
      <c r="AS638" s="96"/>
      <c r="AT638" s="122"/>
      <c r="AU638" s="123"/>
      <c r="AV638" s="122"/>
      <c r="AW638" s="122"/>
      <c r="AX638" s="30"/>
      <c r="AY638" s="30"/>
      <c r="AZ638" s="30"/>
      <c r="BA638" s="30"/>
      <c r="BB638" s="26"/>
      <c r="BC638" s="26"/>
      <c r="BD638" s="26"/>
      <c r="BE638" s="26"/>
      <c r="BF638" s="26"/>
    </row>
    <row r="639" spans="1:58" ht="15.75" customHeight="1">
      <c r="A639" s="67"/>
      <c r="B639" s="67"/>
      <c r="C639" s="67"/>
      <c r="D639" s="68"/>
      <c r="E639" s="68"/>
      <c r="F639" s="68"/>
      <c r="G639" s="68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30"/>
      <c r="AO639" s="25"/>
      <c r="AP639" s="120"/>
      <c r="AQ639" s="120"/>
      <c r="AR639" s="121"/>
      <c r="AS639" s="96"/>
      <c r="AT639" s="122"/>
      <c r="AU639" s="123"/>
      <c r="AV639" s="122"/>
      <c r="AW639" s="122"/>
      <c r="AX639" s="30"/>
      <c r="AY639" s="30"/>
      <c r="AZ639" s="30"/>
      <c r="BA639" s="30"/>
      <c r="BB639" s="26"/>
      <c r="BC639" s="26"/>
      <c r="BD639" s="26"/>
      <c r="BE639" s="26"/>
      <c r="BF639" s="26"/>
    </row>
    <row r="640" spans="1:58" ht="15.75" customHeight="1">
      <c r="A640" s="67"/>
      <c r="B640" s="67"/>
      <c r="C640" s="67"/>
      <c r="D640" s="68"/>
      <c r="E640" s="68"/>
      <c r="F640" s="68"/>
      <c r="G640" s="68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30"/>
      <c r="AO640" s="25"/>
      <c r="AP640" s="120"/>
      <c r="AQ640" s="120"/>
      <c r="AR640" s="121"/>
      <c r="AS640" s="96"/>
      <c r="AT640" s="122"/>
      <c r="AU640" s="123"/>
      <c r="AV640" s="122"/>
      <c r="AW640" s="122"/>
      <c r="AX640" s="30"/>
      <c r="AY640" s="30"/>
      <c r="AZ640" s="30"/>
      <c r="BA640" s="30"/>
      <c r="BB640" s="26"/>
      <c r="BC640" s="26"/>
      <c r="BD640" s="26"/>
      <c r="BE640" s="26"/>
      <c r="BF640" s="26"/>
    </row>
    <row r="641" spans="1:58" ht="15.75" customHeight="1">
      <c r="A641" s="67"/>
      <c r="B641" s="67"/>
      <c r="C641" s="67"/>
      <c r="D641" s="68"/>
      <c r="E641" s="68"/>
      <c r="F641" s="68"/>
      <c r="G641" s="68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30"/>
      <c r="AO641" s="25"/>
      <c r="AP641" s="120"/>
      <c r="AQ641" s="120"/>
      <c r="AR641" s="121"/>
      <c r="AS641" s="96"/>
      <c r="AT641" s="122"/>
      <c r="AU641" s="123"/>
      <c r="AV641" s="122"/>
      <c r="AW641" s="122"/>
      <c r="AX641" s="30"/>
      <c r="AY641" s="30"/>
      <c r="AZ641" s="30"/>
      <c r="BA641" s="30"/>
      <c r="BB641" s="26"/>
      <c r="BC641" s="26"/>
      <c r="BD641" s="26"/>
      <c r="BE641" s="26"/>
      <c r="BF641" s="26"/>
    </row>
    <row r="642" spans="1:58" ht="15.75" customHeight="1">
      <c r="A642" s="67"/>
      <c r="B642" s="67"/>
      <c r="C642" s="67"/>
      <c r="D642" s="68"/>
      <c r="E642" s="68"/>
      <c r="F642" s="68"/>
      <c r="G642" s="68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30"/>
      <c r="AO642" s="25"/>
      <c r="AP642" s="120"/>
      <c r="AQ642" s="120"/>
      <c r="AR642" s="121"/>
      <c r="AS642" s="96"/>
      <c r="AT642" s="122"/>
      <c r="AU642" s="123"/>
      <c r="AV642" s="122"/>
      <c r="AW642" s="122"/>
      <c r="AX642" s="30"/>
      <c r="AY642" s="30"/>
      <c r="AZ642" s="30"/>
      <c r="BA642" s="30"/>
      <c r="BB642" s="26"/>
      <c r="BC642" s="26"/>
      <c r="BD642" s="26"/>
      <c r="BE642" s="26"/>
      <c r="BF642" s="26"/>
    </row>
    <row r="643" spans="1:58" ht="15.75" customHeight="1">
      <c r="A643" s="67"/>
      <c r="B643" s="67"/>
      <c r="C643" s="67"/>
      <c r="D643" s="68"/>
      <c r="E643" s="68"/>
      <c r="F643" s="68"/>
      <c r="G643" s="68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30"/>
      <c r="AO643" s="25"/>
      <c r="AP643" s="120"/>
      <c r="AQ643" s="120"/>
      <c r="AR643" s="121"/>
      <c r="AS643" s="96"/>
      <c r="AT643" s="122"/>
      <c r="AU643" s="123"/>
      <c r="AV643" s="122"/>
      <c r="AW643" s="122"/>
      <c r="AX643" s="30"/>
      <c r="AY643" s="30"/>
      <c r="AZ643" s="30"/>
      <c r="BA643" s="30"/>
      <c r="BB643" s="26"/>
      <c r="BC643" s="26"/>
      <c r="BD643" s="26"/>
      <c r="BE643" s="26"/>
      <c r="BF643" s="26"/>
    </row>
    <row r="644" spans="1:58" ht="15.75" customHeight="1">
      <c r="A644" s="67"/>
      <c r="B644" s="67"/>
      <c r="C644" s="67"/>
      <c r="D644" s="68"/>
      <c r="E644" s="68"/>
      <c r="F644" s="68"/>
      <c r="G644" s="68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30"/>
      <c r="AO644" s="25"/>
      <c r="AP644" s="120"/>
      <c r="AQ644" s="120"/>
      <c r="AR644" s="121"/>
      <c r="AS644" s="96"/>
      <c r="AT644" s="122"/>
      <c r="AU644" s="123"/>
      <c r="AV644" s="122"/>
      <c r="AW644" s="122"/>
      <c r="AX644" s="30"/>
      <c r="AY644" s="30"/>
      <c r="AZ644" s="30"/>
      <c r="BA644" s="30"/>
      <c r="BB644" s="26"/>
      <c r="BC644" s="26"/>
      <c r="BD644" s="26"/>
      <c r="BE644" s="26"/>
      <c r="BF644" s="26"/>
    </row>
    <row r="645" spans="1:58" ht="15.75" customHeight="1">
      <c r="A645" s="67"/>
      <c r="B645" s="67"/>
      <c r="C645" s="67"/>
      <c r="D645" s="68"/>
      <c r="E645" s="68"/>
      <c r="F645" s="68"/>
      <c r="G645" s="68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30"/>
      <c r="AO645" s="25"/>
      <c r="AP645" s="120"/>
      <c r="AQ645" s="120"/>
      <c r="AR645" s="121"/>
      <c r="AS645" s="96"/>
      <c r="AT645" s="122"/>
      <c r="AU645" s="123"/>
      <c r="AV645" s="122"/>
      <c r="AW645" s="122"/>
      <c r="AX645" s="30"/>
      <c r="AY645" s="30"/>
      <c r="AZ645" s="30"/>
      <c r="BA645" s="30"/>
      <c r="BB645" s="26"/>
      <c r="BC645" s="26"/>
      <c r="BD645" s="26"/>
      <c r="BE645" s="26"/>
      <c r="BF645" s="26"/>
    </row>
    <row r="646" spans="1:58" ht="15.75" customHeight="1">
      <c r="A646" s="67"/>
      <c r="B646" s="67"/>
      <c r="C646" s="67"/>
      <c r="D646" s="68"/>
      <c r="E646" s="68"/>
      <c r="F646" s="68"/>
      <c r="G646" s="68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30"/>
      <c r="AO646" s="25"/>
      <c r="AP646" s="120"/>
      <c r="AQ646" s="120"/>
      <c r="AR646" s="121"/>
      <c r="AS646" s="96"/>
      <c r="AT646" s="122"/>
      <c r="AU646" s="123"/>
      <c r="AV646" s="122"/>
      <c r="AW646" s="122"/>
      <c r="AX646" s="30"/>
      <c r="AY646" s="30"/>
      <c r="AZ646" s="30"/>
      <c r="BA646" s="30"/>
      <c r="BB646" s="26"/>
      <c r="BC646" s="26"/>
      <c r="BD646" s="26"/>
      <c r="BE646" s="26"/>
      <c r="BF646" s="26"/>
    </row>
    <row r="647" spans="1:58" ht="15.75" customHeight="1">
      <c r="A647" s="67"/>
      <c r="B647" s="67"/>
      <c r="C647" s="67"/>
      <c r="D647" s="68"/>
      <c r="E647" s="68"/>
      <c r="F647" s="68"/>
      <c r="G647" s="68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30"/>
      <c r="AO647" s="25"/>
      <c r="AP647" s="120"/>
      <c r="AQ647" s="120"/>
      <c r="AR647" s="121"/>
      <c r="AS647" s="96"/>
      <c r="AT647" s="122"/>
      <c r="AU647" s="123"/>
      <c r="AV647" s="122"/>
      <c r="AW647" s="122"/>
      <c r="AX647" s="30"/>
      <c r="AY647" s="30"/>
      <c r="AZ647" s="30"/>
      <c r="BA647" s="30"/>
      <c r="BB647" s="26"/>
      <c r="BC647" s="26"/>
      <c r="BD647" s="26"/>
      <c r="BE647" s="26"/>
      <c r="BF647" s="26"/>
    </row>
    <row r="648" spans="1:58" ht="15.75" customHeight="1">
      <c r="A648" s="67"/>
      <c r="B648" s="67"/>
      <c r="C648" s="67"/>
      <c r="D648" s="68"/>
      <c r="E648" s="68"/>
      <c r="F648" s="68"/>
      <c r="G648" s="68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30"/>
      <c r="AO648" s="25"/>
      <c r="AP648" s="120"/>
      <c r="AQ648" s="120"/>
      <c r="AR648" s="121"/>
      <c r="AS648" s="96"/>
      <c r="AT648" s="122"/>
      <c r="AU648" s="123"/>
      <c r="AV648" s="122"/>
      <c r="AW648" s="122"/>
      <c r="AX648" s="30"/>
      <c r="AY648" s="30"/>
      <c r="AZ648" s="30"/>
      <c r="BA648" s="30"/>
      <c r="BB648" s="26"/>
      <c r="BC648" s="26"/>
      <c r="BD648" s="26"/>
      <c r="BE648" s="26"/>
      <c r="BF648" s="26"/>
    </row>
    <row r="649" spans="1:58" ht="15.75" customHeight="1">
      <c r="A649" s="67"/>
      <c r="B649" s="67"/>
      <c r="C649" s="67"/>
      <c r="D649" s="68"/>
      <c r="E649" s="68"/>
      <c r="F649" s="68"/>
      <c r="G649" s="68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30"/>
      <c r="AO649" s="25"/>
      <c r="AP649" s="120"/>
      <c r="AQ649" s="120"/>
      <c r="AR649" s="121"/>
      <c r="AS649" s="96"/>
      <c r="AT649" s="122"/>
      <c r="AU649" s="123"/>
      <c r="AV649" s="122"/>
      <c r="AW649" s="122"/>
      <c r="AX649" s="30"/>
      <c r="AY649" s="30"/>
      <c r="AZ649" s="30"/>
      <c r="BA649" s="30"/>
      <c r="BB649" s="26"/>
      <c r="BC649" s="26"/>
      <c r="BD649" s="26"/>
      <c r="BE649" s="26"/>
      <c r="BF649" s="26"/>
    </row>
    <row r="650" spans="1:58" ht="15.75" customHeight="1">
      <c r="A650" s="67"/>
      <c r="B650" s="67"/>
      <c r="C650" s="67"/>
      <c r="D650" s="68"/>
      <c r="E650" s="68"/>
      <c r="F650" s="68"/>
      <c r="G650" s="68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30"/>
      <c r="AO650" s="25"/>
      <c r="AP650" s="120"/>
      <c r="AQ650" s="120"/>
      <c r="AR650" s="121"/>
      <c r="AS650" s="96"/>
      <c r="AT650" s="122"/>
      <c r="AU650" s="123"/>
      <c r="AV650" s="122"/>
      <c r="AW650" s="122"/>
      <c r="AX650" s="30"/>
      <c r="AY650" s="30"/>
      <c r="AZ650" s="30"/>
      <c r="BA650" s="30"/>
      <c r="BB650" s="26"/>
      <c r="BC650" s="26"/>
      <c r="BD650" s="26"/>
      <c r="BE650" s="26"/>
      <c r="BF650" s="26"/>
    </row>
    <row r="651" spans="1:58" ht="15.75" customHeight="1">
      <c r="A651" s="67"/>
      <c r="B651" s="67"/>
      <c r="C651" s="67"/>
      <c r="D651" s="68"/>
      <c r="E651" s="68"/>
      <c r="F651" s="68"/>
      <c r="G651" s="68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30"/>
      <c r="AO651" s="25"/>
      <c r="AP651" s="120"/>
      <c r="AQ651" s="120"/>
      <c r="AR651" s="121"/>
      <c r="AS651" s="96"/>
      <c r="AT651" s="122"/>
      <c r="AU651" s="123"/>
      <c r="AV651" s="122"/>
      <c r="AW651" s="122"/>
      <c r="AX651" s="30"/>
      <c r="AY651" s="30"/>
      <c r="AZ651" s="30"/>
      <c r="BA651" s="30"/>
      <c r="BB651" s="26"/>
      <c r="BC651" s="26"/>
      <c r="BD651" s="26"/>
      <c r="BE651" s="26"/>
      <c r="BF651" s="26"/>
    </row>
    <row r="652" spans="1:58" ht="15.75" customHeight="1">
      <c r="A652" s="67"/>
      <c r="B652" s="67"/>
      <c r="C652" s="67"/>
      <c r="D652" s="68"/>
      <c r="E652" s="68"/>
      <c r="F652" s="68"/>
      <c r="G652" s="68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30"/>
      <c r="AO652" s="25"/>
      <c r="AP652" s="120"/>
      <c r="AQ652" s="120"/>
      <c r="AR652" s="121"/>
      <c r="AS652" s="96"/>
      <c r="AT652" s="122"/>
      <c r="AU652" s="123"/>
      <c r="AV652" s="122"/>
      <c r="AW652" s="122"/>
      <c r="AX652" s="30"/>
      <c r="AY652" s="30"/>
      <c r="AZ652" s="30"/>
      <c r="BA652" s="30"/>
      <c r="BB652" s="26"/>
      <c r="BC652" s="26"/>
      <c r="BD652" s="26"/>
      <c r="BE652" s="26"/>
      <c r="BF652" s="26"/>
    </row>
    <row r="653" spans="1:58" ht="15.75" customHeight="1">
      <c r="A653" s="67"/>
      <c r="B653" s="67"/>
      <c r="C653" s="67"/>
      <c r="D653" s="68"/>
      <c r="E653" s="68"/>
      <c r="F653" s="68"/>
      <c r="G653" s="68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30"/>
      <c r="AO653" s="25"/>
      <c r="AP653" s="120"/>
      <c r="AQ653" s="120"/>
      <c r="AR653" s="121"/>
      <c r="AS653" s="96"/>
      <c r="AT653" s="122"/>
      <c r="AU653" s="123"/>
      <c r="AV653" s="122"/>
      <c r="AW653" s="122"/>
      <c r="AX653" s="30"/>
      <c r="AY653" s="30"/>
      <c r="AZ653" s="30"/>
      <c r="BA653" s="30"/>
      <c r="BB653" s="26"/>
      <c r="BC653" s="26"/>
      <c r="BD653" s="26"/>
      <c r="BE653" s="26"/>
      <c r="BF653" s="26"/>
    </row>
    <row r="654" spans="1:58" ht="15.75" customHeight="1">
      <c r="A654" s="67"/>
      <c r="B654" s="67"/>
      <c r="C654" s="67"/>
      <c r="D654" s="68"/>
      <c r="E654" s="68"/>
      <c r="F654" s="68"/>
      <c r="G654" s="68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30"/>
      <c r="AO654" s="25"/>
      <c r="AP654" s="120"/>
      <c r="AQ654" s="120"/>
      <c r="AR654" s="121"/>
      <c r="AS654" s="96"/>
      <c r="AT654" s="122"/>
      <c r="AU654" s="123"/>
      <c r="AV654" s="122"/>
      <c r="AW654" s="122"/>
      <c r="AX654" s="30"/>
      <c r="AY654" s="30"/>
      <c r="AZ654" s="30"/>
      <c r="BA654" s="30"/>
      <c r="BB654" s="26"/>
      <c r="BC654" s="26"/>
      <c r="BD654" s="26"/>
      <c r="BE654" s="26"/>
      <c r="BF654" s="26"/>
    </row>
    <row r="655" spans="1:58" ht="15.75" customHeight="1">
      <c r="A655" s="67"/>
      <c r="B655" s="67"/>
      <c r="C655" s="67"/>
      <c r="D655" s="68"/>
      <c r="E655" s="68"/>
      <c r="F655" s="68"/>
      <c r="G655" s="68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30"/>
      <c r="AO655" s="25"/>
      <c r="AP655" s="120"/>
      <c r="AQ655" s="120"/>
      <c r="AR655" s="121"/>
      <c r="AS655" s="96"/>
      <c r="AT655" s="122"/>
      <c r="AU655" s="123"/>
      <c r="AV655" s="122"/>
      <c r="AW655" s="122"/>
      <c r="AX655" s="30"/>
      <c r="AY655" s="30"/>
      <c r="AZ655" s="30"/>
      <c r="BA655" s="30"/>
      <c r="BB655" s="26"/>
      <c r="BC655" s="26"/>
      <c r="BD655" s="26"/>
      <c r="BE655" s="26"/>
      <c r="BF655" s="26"/>
    </row>
    <row r="656" spans="1:58" ht="15.75" customHeight="1">
      <c r="A656" s="67"/>
      <c r="B656" s="67"/>
      <c r="C656" s="67"/>
      <c r="D656" s="68"/>
      <c r="E656" s="68"/>
      <c r="F656" s="68"/>
      <c r="G656" s="68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30"/>
      <c r="AO656" s="25"/>
      <c r="AP656" s="120"/>
      <c r="AQ656" s="120"/>
      <c r="AR656" s="121"/>
      <c r="AS656" s="96"/>
      <c r="AT656" s="122"/>
      <c r="AU656" s="123"/>
      <c r="AV656" s="122"/>
      <c r="AW656" s="122"/>
      <c r="AX656" s="30"/>
      <c r="AY656" s="30"/>
      <c r="AZ656" s="30"/>
      <c r="BA656" s="30"/>
      <c r="BB656" s="26"/>
      <c r="BC656" s="26"/>
      <c r="BD656" s="26"/>
      <c r="BE656" s="26"/>
      <c r="BF656" s="26"/>
    </row>
    <row r="657" spans="1:58" ht="15.75" customHeight="1">
      <c r="A657" s="67"/>
      <c r="B657" s="67"/>
      <c r="C657" s="67"/>
      <c r="D657" s="68"/>
      <c r="E657" s="68"/>
      <c r="F657" s="68"/>
      <c r="G657" s="68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30"/>
      <c r="AO657" s="25"/>
      <c r="AP657" s="120"/>
      <c r="AQ657" s="120"/>
      <c r="AR657" s="121"/>
      <c r="AS657" s="96"/>
      <c r="AT657" s="122"/>
      <c r="AU657" s="123"/>
      <c r="AV657" s="122"/>
      <c r="AW657" s="122"/>
      <c r="AX657" s="30"/>
      <c r="AY657" s="30"/>
      <c r="AZ657" s="30"/>
      <c r="BA657" s="30"/>
      <c r="BB657" s="26"/>
      <c r="BC657" s="26"/>
      <c r="BD657" s="26"/>
      <c r="BE657" s="26"/>
      <c r="BF657" s="26"/>
    </row>
    <row r="658" spans="1:58" ht="15.75" customHeight="1">
      <c r="A658" s="67"/>
      <c r="B658" s="67"/>
      <c r="C658" s="67"/>
      <c r="D658" s="68"/>
      <c r="E658" s="68"/>
      <c r="F658" s="68"/>
      <c r="G658" s="68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30"/>
      <c r="AO658" s="25"/>
      <c r="AP658" s="120"/>
      <c r="AQ658" s="120"/>
      <c r="AR658" s="121"/>
      <c r="AS658" s="96"/>
      <c r="AT658" s="122"/>
      <c r="AU658" s="123"/>
      <c r="AV658" s="122"/>
      <c r="AW658" s="122"/>
      <c r="AX658" s="30"/>
      <c r="AY658" s="30"/>
      <c r="AZ658" s="30"/>
      <c r="BA658" s="30"/>
      <c r="BB658" s="26"/>
      <c r="BC658" s="26"/>
      <c r="BD658" s="26"/>
      <c r="BE658" s="26"/>
      <c r="BF658" s="26"/>
    </row>
    <row r="659" spans="1:58" ht="15.75" customHeight="1">
      <c r="A659" s="67"/>
      <c r="B659" s="67"/>
      <c r="C659" s="67"/>
      <c r="D659" s="68"/>
      <c r="E659" s="68"/>
      <c r="F659" s="68"/>
      <c r="G659" s="68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30"/>
      <c r="AO659" s="25"/>
      <c r="AP659" s="120"/>
      <c r="AQ659" s="120"/>
      <c r="AR659" s="121"/>
      <c r="AS659" s="96"/>
      <c r="AT659" s="122"/>
      <c r="AU659" s="123"/>
      <c r="AV659" s="122"/>
      <c r="AW659" s="122"/>
      <c r="AX659" s="30"/>
      <c r="AY659" s="30"/>
      <c r="AZ659" s="30"/>
      <c r="BA659" s="30"/>
      <c r="BB659" s="26"/>
      <c r="BC659" s="26"/>
      <c r="BD659" s="26"/>
      <c r="BE659" s="26"/>
      <c r="BF659" s="26"/>
    </row>
    <row r="660" spans="1:58" ht="15.75" customHeight="1">
      <c r="A660" s="67"/>
      <c r="B660" s="67"/>
      <c r="C660" s="67"/>
      <c r="D660" s="68"/>
      <c r="E660" s="68"/>
      <c r="F660" s="68"/>
      <c r="G660" s="68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30"/>
      <c r="AO660" s="25"/>
      <c r="AP660" s="120"/>
      <c r="AQ660" s="120"/>
      <c r="AR660" s="121"/>
      <c r="AS660" s="96"/>
      <c r="AT660" s="122"/>
      <c r="AU660" s="123"/>
      <c r="AV660" s="122"/>
      <c r="AW660" s="122"/>
      <c r="AX660" s="30"/>
      <c r="AY660" s="30"/>
      <c r="AZ660" s="30"/>
      <c r="BA660" s="30"/>
      <c r="BB660" s="26"/>
      <c r="BC660" s="26"/>
      <c r="BD660" s="26"/>
      <c r="BE660" s="26"/>
      <c r="BF660" s="26"/>
    </row>
    <row r="661" spans="1:58" ht="15.75" customHeight="1">
      <c r="A661" s="67"/>
      <c r="B661" s="67"/>
      <c r="C661" s="67"/>
      <c r="D661" s="68"/>
      <c r="E661" s="68"/>
      <c r="F661" s="68"/>
      <c r="G661" s="68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30"/>
      <c r="AO661" s="25"/>
      <c r="AP661" s="120"/>
      <c r="AQ661" s="120"/>
      <c r="AR661" s="121"/>
      <c r="AS661" s="96"/>
      <c r="AT661" s="122"/>
      <c r="AU661" s="123"/>
      <c r="AV661" s="122"/>
      <c r="AW661" s="122"/>
      <c r="AX661" s="30"/>
      <c r="AY661" s="30"/>
      <c r="AZ661" s="30"/>
      <c r="BA661" s="30"/>
      <c r="BB661" s="26"/>
      <c r="BC661" s="26"/>
      <c r="BD661" s="26"/>
      <c r="BE661" s="26"/>
      <c r="BF661" s="26"/>
    </row>
    <row r="662" spans="1:58" ht="15.75" customHeight="1">
      <c r="A662" s="67"/>
      <c r="B662" s="67"/>
      <c r="C662" s="67"/>
      <c r="D662" s="68"/>
      <c r="E662" s="68"/>
      <c r="F662" s="68"/>
      <c r="G662" s="68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30"/>
      <c r="AO662" s="25"/>
      <c r="AP662" s="120"/>
      <c r="AQ662" s="120"/>
      <c r="AR662" s="121"/>
      <c r="AS662" s="96"/>
      <c r="AT662" s="122"/>
      <c r="AU662" s="123"/>
      <c r="AV662" s="122"/>
      <c r="AW662" s="122"/>
      <c r="AX662" s="30"/>
      <c r="AY662" s="30"/>
      <c r="AZ662" s="30"/>
      <c r="BA662" s="30"/>
      <c r="BB662" s="26"/>
      <c r="BC662" s="26"/>
      <c r="BD662" s="26"/>
      <c r="BE662" s="26"/>
      <c r="BF662" s="26"/>
    </row>
    <row r="663" spans="1:58" ht="15.75" customHeight="1">
      <c r="A663" s="67"/>
      <c r="B663" s="67"/>
      <c r="C663" s="67"/>
      <c r="D663" s="68"/>
      <c r="E663" s="68"/>
      <c r="F663" s="68"/>
      <c r="G663" s="68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30"/>
      <c r="AO663" s="25"/>
      <c r="AP663" s="120"/>
      <c r="AQ663" s="120"/>
      <c r="AR663" s="121"/>
      <c r="AS663" s="96"/>
      <c r="AT663" s="122"/>
      <c r="AU663" s="123"/>
      <c r="AV663" s="122"/>
      <c r="AW663" s="122"/>
      <c r="AX663" s="30"/>
      <c r="AY663" s="30"/>
      <c r="AZ663" s="30"/>
      <c r="BA663" s="30"/>
      <c r="BB663" s="26"/>
      <c r="BC663" s="26"/>
      <c r="BD663" s="26"/>
      <c r="BE663" s="26"/>
      <c r="BF663" s="26"/>
    </row>
    <row r="664" spans="1:58" ht="15.75" customHeight="1">
      <c r="A664" s="67"/>
      <c r="B664" s="67"/>
      <c r="C664" s="67"/>
      <c r="D664" s="68"/>
      <c r="E664" s="68"/>
      <c r="F664" s="68"/>
      <c r="G664" s="68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30"/>
      <c r="AO664" s="25"/>
      <c r="AP664" s="120"/>
      <c r="AQ664" s="120"/>
      <c r="AR664" s="121"/>
      <c r="AS664" s="96"/>
      <c r="AT664" s="122"/>
      <c r="AU664" s="123"/>
      <c r="AV664" s="122"/>
      <c r="AW664" s="122"/>
      <c r="AX664" s="30"/>
      <c r="AY664" s="30"/>
      <c r="AZ664" s="30"/>
      <c r="BA664" s="30"/>
      <c r="BB664" s="26"/>
      <c r="BC664" s="26"/>
      <c r="BD664" s="26"/>
      <c r="BE664" s="26"/>
      <c r="BF664" s="26"/>
    </row>
    <row r="665" spans="1:58" ht="15.75" customHeight="1">
      <c r="A665" s="67"/>
      <c r="B665" s="67"/>
      <c r="C665" s="67"/>
      <c r="D665" s="68"/>
      <c r="E665" s="68"/>
      <c r="F665" s="68"/>
      <c r="G665" s="68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30"/>
      <c r="AO665" s="25"/>
      <c r="AP665" s="120"/>
      <c r="AQ665" s="120"/>
      <c r="AR665" s="121"/>
      <c r="AS665" s="96"/>
      <c r="AT665" s="122"/>
      <c r="AU665" s="123"/>
      <c r="AV665" s="122"/>
      <c r="AW665" s="122"/>
      <c r="AX665" s="30"/>
      <c r="AY665" s="30"/>
      <c r="AZ665" s="30"/>
      <c r="BA665" s="30"/>
      <c r="BB665" s="26"/>
      <c r="BC665" s="26"/>
      <c r="BD665" s="26"/>
      <c r="BE665" s="26"/>
      <c r="BF665" s="26"/>
    </row>
    <row r="666" spans="1:58" ht="15.75" customHeight="1">
      <c r="A666" s="67"/>
      <c r="B666" s="67"/>
      <c r="C666" s="67"/>
      <c r="D666" s="68"/>
      <c r="E666" s="68"/>
      <c r="F666" s="68"/>
      <c r="G666" s="68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30"/>
      <c r="AO666" s="25"/>
      <c r="AP666" s="120"/>
      <c r="AQ666" s="120"/>
      <c r="AR666" s="121"/>
      <c r="AS666" s="96"/>
      <c r="AT666" s="122"/>
      <c r="AU666" s="123"/>
      <c r="AV666" s="122"/>
      <c r="AW666" s="122"/>
      <c r="AX666" s="30"/>
      <c r="AY666" s="30"/>
      <c r="AZ666" s="30"/>
      <c r="BA666" s="30"/>
      <c r="BB666" s="26"/>
      <c r="BC666" s="26"/>
      <c r="BD666" s="26"/>
      <c r="BE666" s="26"/>
      <c r="BF666" s="26"/>
    </row>
    <row r="667" spans="1:58" ht="15.75" customHeight="1">
      <c r="A667" s="67"/>
      <c r="B667" s="67"/>
      <c r="C667" s="67"/>
      <c r="D667" s="68"/>
      <c r="E667" s="68"/>
      <c r="F667" s="68"/>
      <c r="G667" s="68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30"/>
      <c r="AO667" s="25"/>
      <c r="AP667" s="120"/>
      <c r="AQ667" s="120"/>
      <c r="AR667" s="121"/>
      <c r="AS667" s="96"/>
      <c r="AT667" s="122"/>
      <c r="AU667" s="123"/>
      <c r="AV667" s="122"/>
      <c r="AW667" s="122"/>
      <c r="AX667" s="30"/>
      <c r="AY667" s="30"/>
      <c r="AZ667" s="30"/>
      <c r="BA667" s="30"/>
      <c r="BB667" s="26"/>
      <c r="BC667" s="26"/>
      <c r="BD667" s="26"/>
      <c r="BE667" s="26"/>
      <c r="BF667" s="26"/>
    </row>
    <row r="668" spans="1:58" ht="15.75" customHeight="1">
      <c r="A668" s="67"/>
      <c r="B668" s="67"/>
      <c r="C668" s="67"/>
      <c r="D668" s="68"/>
      <c r="E668" s="68"/>
      <c r="F668" s="68"/>
      <c r="G668" s="68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30"/>
      <c r="AO668" s="25"/>
      <c r="AP668" s="120"/>
      <c r="AQ668" s="120"/>
      <c r="AR668" s="121"/>
      <c r="AS668" s="96"/>
      <c r="AT668" s="122"/>
      <c r="AU668" s="123"/>
      <c r="AV668" s="122"/>
      <c r="AW668" s="122"/>
      <c r="AX668" s="30"/>
      <c r="AY668" s="30"/>
      <c r="AZ668" s="30"/>
      <c r="BA668" s="30"/>
      <c r="BB668" s="26"/>
      <c r="BC668" s="26"/>
      <c r="BD668" s="26"/>
      <c r="BE668" s="26"/>
      <c r="BF668" s="26"/>
    </row>
    <row r="669" spans="1:58" ht="15.75" customHeight="1">
      <c r="A669" s="67"/>
      <c r="B669" s="67"/>
      <c r="C669" s="67"/>
      <c r="D669" s="68"/>
      <c r="E669" s="68"/>
      <c r="F669" s="68"/>
      <c r="G669" s="68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30"/>
      <c r="AO669" s="25"/>
      <c r="AP669" s="120"/>
      <c r="AQ669" s="120"/>
      <c r="AR669" s="121"/>
      <c r="AS669" s="96"/>
      <c r="AT669" s="122"/>
      <c r="AU669" s="123"/>
      <c r="AV669" s="122"/>
      <c r="AW669" s="122"/>
      <c r="AX669" s="30"/>
      <c r="AY669" s="30"/>
      <c r="AZ669" s="30"/>
      <c r="BA669" s="30"/>
      <c r="BB669" s="26"/>
      <c r="BC669" s="26"/>
      <c r="BD669" s="26"/>
      <c r="BE669" s="26"/>
      <c r="BF669" s="26"/>
    </row>
    <row r="670" spans="1:58" ht="15.75" customHeight="1">
      <c r="A670" s="67"/>
      <c r="B670" s="67"/>
      <c r="C670" s="67"/>
      <c r="D670" s="68"/>
      <c r="E670" s="68"/>
      <c r="F670" s="68"/>
      <c r="G670" s="68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30"/>
      <c r="AO670" s="25"/>
      <c r="AP670" s="120"/>
      <c r="AQ670" s="120"/>
      <c r="AR670" s="121"/>
      <c r="AS670" s="96"/>
      <c r="AT670" s="122"/>
      <c r="AU670" s="123"/>
      <c r="AV670" s="122"/>
      <c r="AW670" s="122"/>
      <c r="AX670" s="30"/>
      <c r="AY670" s="30"/>
      <c r="AZ670" s="30"/>
      <c r="BA670" s="30"/>
      <c r="BB670" s="26"/>
      <c r="BC670" s="26"/>
      <c r="BD670" s="26"/>
      <c r="BE670" s="26"/>
      <c r="BF670" s="26"/>
    </row>
    <row r="671" spans="1:58" ht="15.75" customHeight="1">
      <c r="A671" s="67"/>
      <c r="B671" s="67"/>
      <c r="C671" s="67"/>
      <c r="D671" s="68"/>
      <c r="E671" s="68"/>
      <c r="F671" s="68"/>
      <c r="G671" s="68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30"/>
      <c r="AO671" s="25"/>
      <c r="AP671" s="120"/>
      <c r="AQ671" s="120"/>
      <c r="AR671" s="121"/>
      <c r="AS671" s="96"/>
      <c r="AT671" s="122"/>
      <c r="AU671" s="123"/>
      <c r="AV671" s="122"/>
      <c r="AW671" s="122"/>
      <c r="AX671" s="30"/>
      <c r="AY671" s="30"/>
      <c r="AZ671" s="30"/>
      <c r="BA671" s="30"/>
      <c r="BB671" s="26"/>
      <c r="BC671" s="26"/>
      <c r="BD671" s="26"/>
      <c r="BE671" s="26"/>
      <c r="BF671" s="26"/>
    </row>
    <row r="672" spans="1:58" ht="15.75" customHeight="1">
      <c r="A672" s="67"/>
      <c r="B672" s="67"/>
      <c r="C672" s="67"/>
      <c r="D672" s="68"/>
      <c r="E672" s="68"/>
      <c r="F672" s="68"/>
      <c r="G672" s="68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30"/>
      <c r="AO672" s="25"/>
      <c r="AP672" s="120"/>
      <c r="AQ672" s="120"/>
      <c r="AR672" s="121"/>
      <c r="AS672" s="96"/>
      <c r="AT672" s="122"/>
      <c r="AU672" s="123"/>
      <c r="AV672" s="122"/>
      <c r="AW672" s="122"/>
      <c r="AX672" s="30"/>
      <c r="AY672" s="30"/>
      <c r="AZ672" s="30"/>
      <c r="BA672" s="30"/>
      <c r="BB672" s="26"/>
      <c r="BC672" s="26"/>
      <c r="BD672" s="26"/>
      <c r="BE672" s="26"/>
      <c r="BF672" s="26"/>
    </row>
    <row r="673" spans="1:58" ht="15.75" customHeight="1">
      <c r="A673" s="67"/>
      <c r="B673" s="67"/>
      <c r="C673" s="67"/>
      <c r="D673" s="68"/>
      <c r="E673" s="68"/>
      <c r="F673" s="68"/>
      <c r="G673" s="68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30"/>
      <c r="AO673" s="25"/>
      <c r="AP673" s="120"/>
      <c r="AQ673" s="120"/>
      <c r="AR673" s="121"/>
      <c r="AS673" s="96"/>
      <c r="AT673" s="122"/>
      <c r="AU673" s="123"/>
      <c r="AV673" s="122"/>
      <c r="AW673" s="122"/>
      <c r="AX673" s="30"/>
      <c r="AY673" s="30"/>
      <c r="AZ673" s="30"/>
      <c r="BA673" s="30"/>
      <c r="BB673" s="26"/>
      <c r="BC673" s="26"/>
      <c r="BD673" s="26"/>
      <c r="BE673" s="26"/>
      <c r="BF673" s="26"/>
    </row>
    <row r="674" spans="1:58" ht="15.75" customHeight="1">
      <c r="A674" s="67"/>
      <c r="B674" s="67"/>
      <c r="C674" s="67"/>
      <c r="D674" s="68"/>
      <c r="E674" s="68"/>
      <c r="F674" s="68"/>
      <c r="G674" s="68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30"/>
      <c r="AO674" s="25"/>
      <c r="AP674" s="120"/>
      <c r="AQ674" s="120"/>
      <c r="AR674" s="121"/>
      <c r="AS674" s="96"/>
      <c r="AT674" s="122"/>
      <c r="AU674" s="123"/>
      <c r="AV674" s="122"/>
      <c r="AW674" s="122"/>
      <c r="AX674" s="30"/>
      <c r="AY674" s="30"/>
      <c r="AZ674" s="30"/>
      <c r="BA674" s="30"/>
      <c r="BB674" s="26"/>
      <c r="BC674" s="26"/>
      <c r="BD674" s="26"/>
      <c r="BE674" s="26"/>
      <c r="BF674" s="26"/>
    </row>
    <row r="675" spans="1:58" ht="15.75" customHeight="1">
      <c r="A675" s="67"/>
      <c r="B675" s="67"/>
      <c r="C675" s="67"/>
      <c r="D675" s="68"/>
      <c r="E675" s="68"/>
      <c r="F675" s="68"/>
      <c r="G675" s="68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30"/>
      <c r="AO675" s="25"/>
      <c r="AP675" s="120"/>
      <c r="AQ675" s="120"/>
      <c r="AR675" s="121"/>
      <c r="AS675" s="96"/>
      <c r="AT675" s="122"/>
      <c r="AU675" s="123"/>
      <c r="AV675" s="122"/>
      <c r="AW675" s="122"/>
      <c r="AX675" s="30"/>
      <c r="AY675" s="30"/>
      <c r="AZ675" s="30"/>
      <c r="BA675" s="30"/>
      <c r="BB675" s="26"/>
      <c r="BC675" s="26"/>
      <c r="BD675" s="26"/>
      <c r="BE675" s="26"/>
      <c r="BF675" s="26"/>
    </row>
    <row r="676" spans="1:58" ht="15.75" customHeight="1">
      <c r="A676" s="67"/>
      <c r="B676" s="67"/>
      <c r="C676" s="67"/>
      <c r="D676" s="68"/>
      <c r="E676" s="68"/>
      <c r="F676" s="68"/>
      <c r="G676" s="68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30"/>
      <c r="AO676" s="25"/>
      <c r="AP676" s="120"/>
      <c r="AQ676" s="120"/>
      <c r="AR676" s="121"/>
      <c r="AS676" s="96"/>
      <c r="AT676" s="122"/>
      <c r="AU676" s="123"/>
      <c r="AV676" s="122"/>
      <c r="AW676" s="122"/>
      <c r="AX676" s="30"/>
      <c r="AY676" s="30"/>
      <c r="AZ676" s="30"/>
      <c r="BA676" s="30"/>
      <c r="BB676" s="26"/>
      <c r="BC676" s="26"/>
      <c r="BD676" s="26"/>
      <c r="BE676" s="26"/>
      <c r="BF676" s="26"/>
    </row>
    <row r="677" spans="1:58" ht="15.75" customHeight="1">
      <c r="A677" s="67"/>
      <c r="B677" s="67"/>
      <c r="C677" s="67"/>
      <c r="D677" s="68"/>
      <c r="E677" s="68"/>
      <c r="F677" s="68"/>
      <c r="G677" s="68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30"/>
      <c r="AO677" s="25"/>
      <c r="AP677" s="120"/>
      <c r="AQ677" s="120"/>
      <c r="AR677" s="121"/>
      <c r="AS677" s="96"/>
      <c r="AT677" s="122"/>
      <c r="AU677" s="123"/>
      <c r="AV677" s="122"/>
      <c r="AW677" s="122"/>
      <c r="AX677" s="30"/>
      <c r="AY677" s="30"/>
      <c r="AZ677" s="30"/>
      <c r="BA677" s="30"/>
      <c r="BB677" s="26"/>
      <c r="BC677" s="26"/>
      <c r="BD677" s="26"/>
      <c r="BE677" s="26"/>
      <c r="BF677" s="26"/>
    </row>
    <row r="678" spans="1:58" ht="15.75" customHeight="1">
      <c r="A678" s="67"/>
      <c r="B678" s="67"/>
      <c r="C678" s="67"/>
      <c r="D678" s="68"/>
      <c r="E678" s="68"/>
      <c r="F678" s="68"/>
      <c r="G678" s="68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30"/>
      <c r="AO678" s="25"/>
      <c r="AP678" s="120"/>
      <c r="AQ678" s="120"/>
      <c r="AR678" s="121"/>
      <c r="AS678" s="96"/>
      <c r="AT678" s="122"/>
      <c r="AU678" s="123"/>
      <c r="AV678" s="122"/>
      <c r="AW678" s="122"/>
      <c r="AX678" s="30"/>
      <c r="AY678" s="30"/>
      <c r="AZ678" s="30"/>
      <c r="BA678" s="30"/>
      <c r="BB678" s="26"/>
      <c r="BC678" s="26"/>
      <c r="BD678" s="26"/>
      <c r="BE678" s="26"/>
      <c r="BF678" s="26"/>
    </row>
    <row r="679" spans="1:58" ht="15.75" customHeight="1">
      <c r="A679" s="67"/>
      <c r="B679" s="67"/>
      <c r="C679" s="67"/>
      <c r="D679" s="68"/>
      <c r="E679" s="68"/>
      <c r="F679" s="68"/>
      <c r="G679" s="68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30"/>
      <c r="AO679" s="25"/>
      <c r="AP679" s="120"/>
      <c r="AQ679" s="120"/>
      <c r="AR679" s="121"/>
      <c r="AS679" s="96"/>
      <c r="AT679" s="122"/>
      <c r="AU679" s="123"/>
      <c r="AV679" s="122"/>
      <c r="AW679" s="122"/>
      <c r="AX679" s="30"/>
      <c r="AY679" s="30"/>
      <c r="AZ679" s="30"/>
      <c r="BA679" s="30"/>
      <c r="BB679" s="26"/>
      <c r="BC679" s="26"/>
      <c r="BD679" s="26"/>
      <c r="BE679" s="26"/>
      <c r="BF679" s="26"/>
    </row>
    <row r="680" spans="1:58" ht="15.75" customHeight="1">
      <c r="A680" s="67"/>
      <c r="B680" s="67"/>
      <c r="C680" s="67"/>
      <c r="D680" s="68"/>
      <c r="E680" s="68"/>
      <c r="F680" s="68"/>
      <c r="G680" s="68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30"/>
      <c r="AO680" s="25"/>
      <c r="AP680" s="120"/>
      <c r="AQ680" s="120"/>
      <c r="AR680" s="121"/>
      <c r="AS680" s="96"/>
      <c r="AT680" s="122"/>
      <c r="AU680" s="123"/>
      <c r="AV680" s="122"/>
      <c r="AW680" s="122"/>
      <c r="AX680" s="30"/>
      <c r="AY680" s="30"/>
      <c r="AZ680" s="30"/>
      <c r="BA680" s="30"/>
      <c r="BB680" s="26"/>
      <c r="BC680" s="26"/>
      <c r="BD680" s="26"/>
      <c r="BE680" s="26"/>
      <c r="BF680" s="26"/>
    </row>
    <row r="681" spans="1:58" ht="15.75" customHeight="1">
      <c r="A681" s="67"/>
      <c r="B681" s="67"/>
      <c r="C681" s="67"/>
      <c r="D681" s="68"/>
      <c r="E681" s="68"/>
      <c r="F681" s="68"/>
      <c r="G681" s="68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30"/>
      <c r="AO681" s="25"/>
      <c r="AP681" s="120"/>
      <c r="AQ681" s="120"/>
      <c r="AR681" s="121"/>
      <c r="AS681" s="96"/>
      <c r="AT681" s="122"/>
      <c r="AU681" s="123"/>
      <c r="AV681" s="122"/>
      <c r="AW681" s="122"/>
      <c r="AX681" s="30"/>
      <c r="AY681" s="30"/>
      <c r="AZ681" s="30"/>
      <c r="BA681" s="30"/>
      <c r="BB681" s="26"/>
      <c r="BC681" s="26"/>
      <c r="BD681" s="26"/>
      <c r="BE681" s="26"/>
      <c r="BF681" s="26"/>
    </row>
    <row r="682" spans="1:58" ht="15.75" customHeight="1">
      <c r="A682" s="67"/>
      <c r="B682" s="67"/>
      <c r="C682" s="67"/>
      <c r="D682" s="68"/>
      <c r="E682" s="68"/>
      <c r="F682" s="68"/>
      <c r="G682" s="68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30"/>
      <c r="AO682" s="25"/>
      <c r="AP682" s="120"/>
      <c r="AQ682" s="120"/>
      <c r="AR682" s="121"/>
      <c r="AS682" s="96"/>
      <c r="AT682" s="122"/>
      <c r="AU682" s="123"/>
      <c r="AV682" s="122"/>
      <c r="AW682" s="122"/>
      <c r="AX682" s="30"/>
      <c r="AY682" s="30"/>
      <c r="AZ682" s="30"/>
      <c r="BA682" s="30"/>
      <c r="BB682" s="26"/>
      <c r="BC682" s="26"/>
      <c r="BD682" s="26"/>
      <c r="BE682" s="26"/>
      <c r="BF682" s="26"/>
    </row>
    <row r="683" spans="1:58" ht="15.75" customHeight="1">
      <c r="A683" s="67"/>
      <c r="B683" s="67"/>
      <c r="C683" s="67"/>
      <c r="D683" s="68"/>
      <c r="E683" s="68"/>
      <c r="F683" s="68"/>
      <c r="G683" s="68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30"/>
      <c r="AO683" s="25"/>
      <c r="AP683" s="120"/>
      <c r="AQ683" s="120"/>
      <c r="AR683" s="121"/>
      <c r="AS683" s="96"/>
      <c r="AT683" s="122"/>
      <c r="AU683" s="123"/>
      <c r="AV683" s="122"/>
      <c r="AW683" s="122"/>
      <c r="AX683" s="30"/>
      <c r="AY683" s="30"/>
      <c r="AZ683" s="30"/>
      <c r="BA683" s="30"/>
      <c r="BB683" s="26"/>
      <c r="BC683" s="26"/>
      <c r="BD683" s="26"/>
      <c r="BE683" s="26"/>
      <c r="BF683" s="26"/>
    </row>
    <row r="684" spans="1:58" ht="15.75" customHeight="1">
      <c r="A684" s="67"/>
      <c r="B684" s="67"/>
      <c r="C684" s="67"/>
      <c r="D684" s="68"/>
      <c r="E684" s="68"/>
      <c r="F684" s="68"/>
      <c r="G684" s="68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30"/>
      <c r="AO684" s="25"/>
      <c r="AP684" s="120"/>
      <c r="AQ684" s="120"/>
      <c r="AR684" s="121"/>
      <c r="AS684" s="96"/>
      <c r="AT684" s="122"/>
      <c r="AU684" s="123"/>
      <c r="AV684" s="122"/>
      <c r="AW684" s="122"/>
      <c r="AX684" s="30"/>
      <c r="AY684" s="30"/>
      <c r="AZ684" s="30"/>
      <c r="BA684" s="30"/>
      <c r="BB684" s="26"/>
      <c r="BC684" s="26"/>
      <c r="BD684" s="26"/>
      <c r="BE684" s="26"/>
      <c r="BF684" s="26"/>
    </row>
    <row r="685" spans="1:58" ht="15.75" customHeight="1">
      <c r="A685" s="67"/>
      <c r="B685" s="67"/>
      <c r="C685" s="67"/>
      <c r="D685" s="68"/>
      <c r="E685" s="68"/>
      <c r="F685" s="68"/>
      <c r="G685" s="68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30"/>
      <c r="AO685" s="25"/>
      <c r="AP685" s="120"/>
      <c r="AQ685" s="120"/>
      <c r="AR685" s="121"/>
      <c r="AS685" s="96"/>
      <c r="AT685" s="122"/>
      <c r="AU685" s="123"/>
      <c r="AV685" s="122"/>
      <c r="AW685" s="122"/>
      <c r="AX685" s="30"/>
      <c r="AY685" s="30"/>
      <c r="AZ685" s="30"/>
      <c r="BA685" s="30"/>
      <c r="BB685" s="26"/>
      <c r="BC685" s="26"/>
      <c r="BD685" s="26"/>
      <c r="BE685" s="26"/>
      <c r="BF685" s="26"/>
    </row>
    <row r="686" spans="1:58" ht="15.75" customHeight="1">
      <c r="A686" s="67"/>
      <c r="B686" s="67"/>
      <c r="C686" s="67"/>
      <c r="D686" s="68"/>
      <c r="E686" s="68"/>
      <c r="F686" s="68"/>
      <c r="G686" s="68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30"/>
      <c r="AO686" s="25"/>
      <c r="AP686" s="120"/>
      <c r="AQ686" s="120"/>
      <c r="AR686" s="121"/>
      <c r="AS686" s="96"/>
      <c r="AT686" s="122"/>
      <c r="AU686" s="123"/>
      <c r="AV686" s="122"/>
      <c r="AW686" s="122"/>
      <c r="AX686" s="30"/>
      <c r="AY686" s="30"/>
      <c r="AZ686" s="30"/>
      <c r="BA686" s="30"/>
      <c r="BB686" s="26"/>
      <c r="BC686" s="26"/>
      <c r="BD686" s="26"/>
      <c r="BE686" s="26"/>
      <c r="BF686" s="26"/>
    </row>
    <row r="687" spans="1:58" ht="15.75" customHeight="1">
      <c r="A687" s="67"/>
      <c r="B687" s="67"/>
      <c r="C687" s="67"/>
      <c r="D687" s="68"/>
      <c r="E687" s="68"/>
      <c r="F687" s="68"/>
      <c r="G687" s="68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30"/>
      <c r="AO687" s="25"/>
      <c r="AP687" s="120"/>
      <c r="AQ687" s="120"/>
      <c r="AR687" s="121"/>
      <c r="AS687" s="96"/>
      <c r="AT687" s="122"/>
      <c r="AU687" s="123"/>
      <c r="AV687" s="122"/>
      <c r="AW687" s="122"/>
      <c r="AX687" s="30"/>
      <c r="AY687" s="30"/>
      <c r="AZ687" s="30"/>
      <c r="BA687" s="30"/>
      <c r="BB687" s="26"/>
      <c r="BC687" s="26"/>
      <c r="BD687" s="26"/>
      <c r="BE687" s="26"/>
      <c r="BF687" s="26"/>
    </row>
    <row r="688" spans="1:58" ht="15.75" customHeight="1">
      <c r="A688" s="67"/>
      <c r="B688" s="67"/>
      <c r="C688" s="67"/>
      <c r="D688" s="68"/>
      <c r="E688" s="68"/>
      <c r="F688" s="68"/>
      <c r="G688" s="68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30"/>
      <c r="AO688" s="25"/>
      <c r="AP688" s="120"/>
      <c r="AQ688" s="120"/>
      <c r="AR688" s="121"/>
      <c r="AS688" s="96"/>
      <c r="AT688" s="122"/>
      <c r="AU688" s="123"/>
      <c r="AV688" s="122"/>
      <c r="AW688" s="122"/>
      <c r="AX688" s="30"/>
      <c r="AY688" s="30"/>
      <c r="AZ688" s="30"/>
      <c r="BA688" s="30"/>
      <c r="BB688" s="26"/>
      <c r="BC688" s="26"/>
      <c r="BD688" s="26"/>
      <c r="BE688" s="26"/>
      <c r="BF688" s="26"/>
    </row>
    <row r="689" spans="1:58" ht="15.75" customHeight="1">
      <c r="A689" s="67"/>
      <c r="B689" s="67"/>
      <c r="C689" s="67"/>
      <c r="D689" s="68"/>
      <c r="E689" s="68"/>
      <c r="F689" s="68"/>
      <c r="G689" s="68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30"/>
      <c r="AO689" s="25"/>
      <c r="AP689" s="120"/>
      <c r="AQ689" s="120"/>
      <c r="AR689" s="121"/>
      <c r="AS689" s="96"/>
      <c r="AT689" s="122"/>
      <c r="AU689" s="123"/>
      <c r="AV689" s="122"/>
      <c r="AW689" s="122"/>
      <c r="AX689" s="30"/>
      <c r="AY689" s="30"/>
      <c r="AZ689" s="30"/>
      <c r="BA689" s="30"/>
      <c r="BB689" s="26"/>
      <c r="BC689" s="26"/>
      <c r="BD689" s="26"/>
      <c r="BE689" s="26"/>
      <c r="BF689" s="26"/>
    </row>
    <row r="690" spans="1:58" ht="15.75" customHeight="1">
      <c r="A690" s="67"/>
      <c r="B690" s="67"/>
      <c r="C690" s="67"/>
      <c r="D690" s="68"/>
      <c r="E690" s="68"/>
      <c r="F690" s="68"/>
      <c r="G690" s="68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30"/>
      <c r="AO690" s="25"/>
      <c r="AP690" s="120"/>
      <c r="AQ690" s="120"/>
      <c r="AR690" s="121"/>
      <c r="AS690" s="96"/>
      <c r="AT690" s="122"/>
      <c r="AU690" s="123"/>
      <c r="AV690" s="122"/>
      <c r="AW690" s="122"/>
      <c r="AX690" s="30"/>
      <c r="AY690" s="30"/>
      <c r="AZ690" s="30"/>
      <c r="BA690" s="30"/>
      <c r="BB690" s="26"/>
      <c r="BC690" s="26"/>
      <c r="BD690" s="26"/>
      <c r="BE690" s="26"/>
      <c r="BF690" s="26"/>
    </row>
    <row r="691" spans="1:58" ht="15.75" customHeight="1">
      <c r="A691" s="67"/>
      <c r="B691" s="67"/>
      <c r="C691" s="67"/>
      <c r="D691" s="68"/>
      <c r="E691" s="68"/>
      <c r="F691" s="68"/>
      <c r="G691" s="68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30"/>
      <c r="AO691" s="25"/>
      <c r="AP691" s="120"/>
      <c r="AQ691" s="120"/>
      <c r="AR691" s="121"/>
      <c r="AS691" s="96"/>
      <c r="AT691" s="122"/>
      <c r="AU691" s="123"/>
      <c r="AV691" s="122"/>
      <c r="AW691" s="122"/>
      <c r="AX691" s="30"/>
      <c r="AY691" s="30"/>
      <c r="AZ691" s="30"/>
      <c r="BA691" s="30"/>
      <c r="BB691" s="26"/>
      <c r="BC691" s="26"/>
      <c r="BD691" s="26"/>
      <c r="BE691" s="26"/>
      <c r="BF691" s="26"/>
    </row>
    <row r="692" spans="1:58" ht="15.75" customHeight="1">
      <c r="A692" s="67"/>
      <c r="B692" s="67"/>
      <c r="C692" s="67"/>
      <c r="D692" s="68"/>
      <c r="E692" s="68"/>
      <c r="F692" s="68"/>
      <c r="G692" s="68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30"/>
      <c r="AO692" s="25"/>
      <c r="AP692" s="120"/>
      <c r="AQ692" s="120"/>
      <c r="AR692" s="121"/>
      <c r="AS692" s="96"/>
      <c r="AT692" s="122"/>
      <c r="AU692" s="123"/>
      <c r="AV692" s="122"/>
      <c r="AW692" s="122"/>
      <c r="AX692" s="30"/>
      <c r="AY692" s="30"/>
      <c r="AZ692" s="30"/>
      <c r="BA692" s="30"/>
      <c r="BB692" s="26"/>
      <c r="BC692" s="26"/>
      <c r="BD692" s="26"/>
      <c r="BE692" s="26"/>
      <c r="BF692" s="26"/>
    </row>
    <row r="693" spans="1:58" ht="15.75" customHeight="1">
      <c r="A693" s="67"/>
      <c r="B693" s="67"/>
      <c r="C693" s="67"/>
      <c r="D693" s="68"/>
      <c r="E693" s="68"/>
      <c r="F693" s="68"/>
      <c r="G693" s="68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30"/>
      <c r="AO693" s="25"/>
      <c r="AP693" s="120"/>
      <c r="AQ693" s="120"/>
      <c r="AR693" s="121"/>
      <c r="AS693" s="96"/>
      <c r="AT693" s="122"/>
      <c r="AU693" s="123"/>
      <c r="AV693" s="122"/>
      <c r="AW693" s="122"/>
      <c r="AX693" s="30"/>
      <c r="AY693" s="30"/>
      <c r="AZ693" s="30"/>
      <c r="BA693" s="30"/>
      <c r="BB693" s="26"/>
      <c r="BC693" s="26"/>
      <c r="BD693" s="26"/>
      <c r="BE693" s="26"/>
      <c r="BF693" s="26"/>
    </row>
    <row r="694" spans="1:58" ht="15.75" customHeight="1">
      <c r="A694" s="67"/>
      <c r="B694" s="67"/>
      <c r="C694" s="67"/>
      <c r="D694" s="68"/>
      <c r="E694" s="68"/>
      <c r="F694" s="68"/>
      <c r="G694" s="68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30"/>
      <c r="AO694" s="25"/>
      <c r="AP694" s="120"/>
      <c r="AQ694" s="120"/>
      <c r="AR694" s="121"/>
      <c r="AS694" s="96"/>
      <c r="AT694" s="122"/>
      <c r="AU694" s="123"/>
      <c r="AV694" s="122"/>
      <c r="AW694" s="122"/>
      <c r="AX694" s="30"/>
      <c r="AY694" s="30"/>
      <c r="AZ694" s="30"/>
      <c r="BA694" s="30"/>
      <c r="BB694" s="26"/>
      <c r="BC694" s="26"/>
      <c r="BD694" s="26"/>
      <c r="BE694" s="26"/>
      <c r="BF694" s="26"/>
    </row>
    <row r="695" spans="1:58" ht="15.75" customHeight="1">
      <c r="A695" s="67"/>
      <c r="B695" s="67"/>
      <c r="C695" s="67"/>
      <c r="D695" s="68"/>
      <c r="E695" s="68"/>
      <c r="F695" s="68"/>
      <c r="G695" s="68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30"/>
      <c r="AO695" s="25"/>
      <c r="AP695" s="120"/>
      <c r="AQ695" s="120"/>
      <c r="AR695" s="121"/>
      <c r="AS695" s="96"/>
      <c r="AT695" s="122"/>
      <c r="AU695" s="123"/>
      <c r="AV695" s="122"/>
      <c r="AW695" s="122"/>
      <c r="AX695" s="30"/>
      <c r="AY695" s="30"/>
      <c r="AZ695" s="30"/>
      <c r="BA695" s="30"/>
      <c r="BB695" s="26"/>
      <c r="BC695" s="26"/>
      <c r="BD695" s="26"/>
      <c r="BE695" s="26"/>
      <c r="BF695" s="26"/>
    </row>
    <row r="696" spans="1:58" ht="15.75" customHeight="1">
      <c r="A696" s="67"/>
      <c r="B696" s="67"/>
      <c r="C696" s="67"/>
      <c r="D696" s="68"/>
      <c r="E696" s="68"/>
      <c r="F696" s="68"/>
      <c r="G696" s="68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30"/>
      <c r="AO696" s="25"/>
      <c r="AP696" s="120"/>
      <c r="AQ696" s="120"/>
      <c r="AR696" s="121"/>
      <c r="AS696" s="96"/>
      <c r="AT696" s="122"/>
      <c r="AU696" s="123"/>
      <c r="AV696" s="122"/>
      <c r="AW696" s="122"/>
      <c r="AX696" s="30"/>
      <c r="AY696" s="30"/>
      <c r="AZ696" s="30"/>
      <c r="BA696" s="30"/>
      <c r="BB696" s="26"/>
      <c r="BC696" s="26"/>
      <c r="BD696" s="26"/>
      <c r="BE696" s="26"/>
      <c r="BF696" s="26"/>
    </row>
    <row r="697" spans="1:58" ht="15.75" customHeight="1">
      <c r="A697" s="67"/>
      <c r="B697" s="67"/>
      <c r="C697" s="67"/>
      <c r="D697" s="68"/>
      <c r="E697" s="68"/>
      <c r="F697" s="68"/>
      <c r="G697" s="68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30"/>
      <c r="AO697" s="25"/>
      <c r="AP697" s="120"/>
      <c r="AQ697" s="120"/>
      <c r="AR697" s="121"/>
      <c r="AS697" s="96"/>
      <c r="AT697" s="122"/>
      <c r="AU697" s="123"/>
      <c r="AV697" s="122"/>
      <c r="AW697" s="122"/>
      <c r="AX697" s="30"/>
      <c r="AY697" s="30"/>
      <c r="AZ697" s="30"/>
      <c r="BA697" s="30"/>
      <c r="BB697" s="26"/>
      <c r="BC697" s="26"/>
      <c r="BD697" s="26"/>
      <c r="BE697" s="26"/>
      <c r="BF697" s="26"/>
    </row>
    <row r="698" spans="1:58" ht="15.75" customHeight="1">
      <c r="A698" s="67"/>
      <c r="B698" s="67"/>
      <c r="C698" s="67"/>
      <c r="D698" s="68"/>
      <c r="E698" s="68"/>
      <c r="F698" s="68"/>
      <c r="G698" s="68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30"/>
      <c r="AO698" s="25"/>
      <c r="AP698" s="120"/>
      <c r="AQ698" s="120"/>
      <c r="AR698" s="121"/>
      <c r="AS698" s="96"/>
      <c r="AT698" s="122"/>
      <c r="AU698" s="123"/>
      <c r="AV698" s="122"/>
      <c r="AW698" s="122"/>
      <c r="AX698" s="30"/>
      <c r="AY698" s="30"/>
      <c r="AZ698" s="30"/>
      <c r="BA698" s="30"/>
      <c r="BB698" s="26"/>
      <c r="BC698" s="26"/>
      <c r="BD698" s="26"/>
      <c r="BE698" s="26"/>
      <c r="BF698" s="26"/>
    </row>
    <row r="699" spans="1:58" ht="15.75" customHeight="1">
      <c r="A699" s="67"/>
      <c r="B699" s="67"/>
      <c r="C699" s="67"/>
      <c r="D699" s="68"/>
      <c r="E699" s="68"/>
      <c r="F699" s="68"/>
      <c r="G699" s="68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30"/>
      <c r="AO699" s="25"/>
      <c r="AP699" s="120"/>
      <c r="AQ699" s="120"/>
      <c r="AR699" s="121"/>
      <c r="AS699" s="96"/>
      <c r="AT699" s="122"/>
      <c r="AU699" s="123"/>
      <c r="AV699" s="122"/>
      <c r="AW699" s="122"/>
      <c r="AX699" s="30"/>
      <c r="AY699" s="30"/>
      <c r="AZ699" s="30"/>
      <c r="BA699" s="30"/>
      <c r="BB699" s="26"/>
      <c r="BC699" s="26"/>
      <c r="BD699" s="26"/>
      <c r="BE699" s="26"/>
      <c r="BF699" s="26"/>
    </row>
    <row r="700" spans="1:58" ht="15.75" customHeight="1">
      <c r="A700" s="67"/>
      <c r="B700" s="67"/>
      <c r="C700" s="67"/>
      <c r="D700" s="68"/>
      <c r="E700" s="68"/>
      <c r="F700" s="68"/>
      <c r="G700" s="68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30"/>
      <c r="AO700" s="25"/>
      <c r="AP700" s="120"/>
      <c r="AQ700" s="120"/>
      <c r="AR700" s="121"/>
      <c r="AS700" s="96"/>
      <c r="AT700" s="122"/>
      <c r="AU700" s="123"/>
      <c r="AV700" s="122"/>
      <c r="AW700" s="122"/>
      <c r="AX700" s="30"/>
      <c r="AY700" s="30"/>
      <c r="AZ700" s="30"/>
      <c r="BA700" s="30"/>
      <c r="BB700" s="26"/>
      <c r="BC700" s="26"/>
      <c r="BD700" s="26"/>
      <c r="BE700" s="26"/>
      <c r="BF700" s="26"/>
    </row>
    <row r="701" spans="1:58" ht="15.75" customHeight="1">
      <c r="A701" s="67"/>
      <c r="B701" s="67"/>
      <c r="C701" s="67"/>
      <c r="D701" s="68"/>
      <c r="E701" s="68"/>
      <c r="F701" s="68"/>
      <c r="G701" s="68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30"/>
      <c r="AO701" s="25"/>
      <c r="AP701" s="120"/>
      <c r="AQ701" s="120"/>
      <c r="AR701" s="121"/>
      <c r="AS701" s="96"/>
      <c r="AT701" s="122"/>
      <c r="AU701" s="123"/>
      <c r="AV701" s="122"/>
      <c r="AW701" s="122"/>
      <c r="AX701" s="30"/>
      <c r="AY701" s="30"/>
      <c r="AZ701" s="30"/>
      <c r="BA701" s="30"/>
      <c r="BB701" s="26"/>
      <c r="BC701" s="26"/>
      <c r="BD701" s="26"/>
      <c r="BE701" s="26"/>
      <c r="BF701" s="26"/>
    </row>
    <row r="702" spans="1:58" ht="15.75" customHeight="1">
      <c r="A702" s="67"/>
      <c r="B702" s="67"/>
      <c r="C702" s="67"/>
      <c r="D702" s="68"/>
      <c r="E702" s="68"/>
      <c r="F702" s="68"/>
      <c r="G702" s="68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30"/>
      <c r="AO702" s="25"/>
      <c r="AP702" s="120"/>
      <c r="AQ702" s="120"/>
      <c r="AR702" s="121"/>
      <c r="AS702" s="96"/>
      <c r="AT702" s="122"/>
      <c r="AU702" s="123"/>
      <c r="AV702" s="122"/>
      <c r="AW702" s="122"/>
      <c r="AX702" s="30"/>
      <c r="AY702" s="30"/>
      <c r="AZ702" s="30"/>
      <c r="BA702" s="30"/>
      <c r="BB702" s="26"/>
      <c r="BC702" s="26"/>
      <c r="BD702" s="26"/>
      <c r="BE702" s="26"/>
      <c r="BF702" s="26"/>
    </row>
    <row r="703" spans="1:58" ht="15.75" customHeight="1">
      <c r="A703" s="67"/>
      <c r="B703" s="67"/>
      <c r="C703" s="67"/>
      <c r="D703" s="68"/>
      <c r="E703" s="68"/>
      <c r="F703" s="68"/>
      <c r="G703" s="68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30"/>
      <c r="AO703" s="25"/>
      <c r="AP703" s="120"/>
      <c r="AQ703" s="120"/>
      <c r="AR703" s="121"/>
      <c r="AS703" s="96"/>
      <c r="AT703" s="122"/>
      <c r="AU703" s="123"/>
      <c r="AV703" s="122"/>
      <c r="AW703" s="122"/>
      <c r="AX703" s="30"/>
      <c r="AY703" s="30"/>
      <c r="AZ703" s="30"/>
      <c r="BA703" s="30"/>
      <c r="BB703" s="26"/>
      <c r="BC703" s="26"/>
      <c r="BD703" s="26"/>
      <c r="BE703" s="26"/>
      <c r="BF703" s="26"/>
    </row>
    <row r="704" spans="1:58" ht="15.75" customHeight="1">
      <c r="A704" s="67"/>
      <c r="B704" s="67"/>
      <c r="C704" s="67"/>
      <c r="D704" s="68"/>
      <c r="E704" s="68"/>
      <c r="F704" s="68"/>
      <c r="G704" s="68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30"/>
      <c r="AO704" s="25"/>
      <c r="AP704" s="120"/>
      <c r="AQ704" s="120"/>
      <c r="AR704" s="121"/>
      <c r="AS704" s="96"/>
      <c r="AT704" s="122"/>
      <c r="AU704" s="123"/>
      <c r="AV704" s="122"/>
      <c r="AW704" s="122"/>
      <c r="AX704" s="30"/>
      <c r="AY704" s="30"/>
      <c r="AZ704" s="30"/>
      <c r="BA704" s="30"/>
      <c r="BB704" s="26"/>
      <c r="BC704" s="26"/>
      <c r="BD704" s="26"/>
      <c r="BE704" s="26"/>
      <c r="BF704" s="26"/>
    </row>
    <row r="705" spans="1:58" ht="15.75" customHeight="1">
      <c r="A705" s="67"/>
      <c r="B705" s="67"/>
      <c r="C705" s="67"/>
      <c r="D705" s="68"/>
      <c r="E705" s="68"/>
      <c r="F705" s="68"/>
      <c r="G705" s="68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30"/>
      <c r="AO705" s="25"/>
      <c r="AP705" s="120"/>
      <c r="AQ705" s="120"/>
      <c r="AR705" s="121"/>
      <c r="AS705" s="96"/>
      <c r="AT705" s="122"/>
      <c r="AU705" s="123"/>
      <c r="AV705" s="122"/>
      <c r="AW705" s="122"/>
      <c r="AX705" s="30"/>
      <c r="AY705" s="30"/>
      <c r="AZ705" s="30"/>
      <c r="BA705" s="30"/>
      <c r="BB705" s="26"/>
      <c r="BC705" s="26"/>
      <c r="BD705" s="26"/>
      <c r="BE705" s="26"/>
      <c r="BF705" s="26"/>
    </row>
    <row r="706" spans="1:58" ht="15.75" customHeight="1">
      <c r="A706" s="67"/>
      <c r="B706" s="67"/>
      <c r="C706" s="67"/>
      <c r="D706" s="68"/>
      <c r="E706" s="68"/>
      <c r="F706" s="68"/>
      <c r="G706" s="68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30"/>
      <c r="AO706" s="25"/>
      <c r="AP706" s="120"/>
      <c r="AQ706" s="120"/>
      <c r="AR706" s="121"/>
      <c r="AS706" s="96"/>
      <c r="AT706" s="122"/>
      <c r="AU706" s="123"/>
      <c r="AV706" s="122"/>
      <c r="AW706" s="122"/>
      <c r="AX706" s="30"/>
      <c r="AY706" s="30"/>
      <c r="AZ706" s="30"/>
      <c r="BA706" s="30"/>
      <c r="BB706" s="26"/>
      <c r="BC706" s="26"/>
      <c r="BD706" s="26"/>
      <c r="BE706" s="26"/>
      <c r="BF706" s="26"/>
    </row>
    <row r="707" spans="1:58" ht="15.75" customHeight="1">
      <c r="A707" s="67"/>
      <c r="B707" s="67"/>
      <c r="C707" s="67"/>
      <c r="D707" s="68"/>
      <c r="E707" s="68"/>
      <c r="F707" s="68"/>
      <c r="G707" s="68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30"/>
      <c r="AO707" s="25"/>
      <c r="AP707" s="120"/>
      <c r="AQ707" s="120"/>
      <c r="AR707" s="121"/>
      <c r="AS707" s="96"/>
      <c r="AT707" s="122"/>
      <c r="AU707" s="123"/>
      <c r="AV707" s="122"/>
      <c r="AW707" s="122"/>
      <c r="AX707" s="30"/>
      <c r="AY707" s="30"/>
      <c r="AZ707" s="30"/>
      <c r="BA707" s="30"/>
      <c r="BB707" s="26"/>
      <c r="BC707" s="26"/>
      <c r="BD707" s="26"/>
      <c r="BE707" s="26"/>
      <c r="BF707" s="26"/>
    </row>
    <row r="708" spans="1:58" ht="15.75" customHeight="1">
      <c r="A708" s="67"/>
      <c r="B708" s="67"/>
      <c r="C708" s="67"/>
      <c r="D708" s="68"/>
      <c r="E708" s="68"/>
      <c r="F708" s="68"/>
      <c r="G708" s="68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30"/>
      <c r="AO708" s="25"/>
      <c r="AP708" s="120"/>
      <c r="AQ708" s="120"/>
      <c r="AR708" s="121"/>
      <c r="AS708" s="96"/>
      <c r="AT708" s="122"/>
      <c r="AU708" s="123"/>
      <c r="AV708" s="122"/>
      <c r="AW708" s="122"/>
      <c r="AX708" s="30"/>
      <c r="AY708" s="30"/>
      <c r="AZ708" s="30"/>
      <c r="BA708" s="30"/>
      <c r="BB708" s="26"/>
      <c r="BC708" s="26"/>
      <c r="BD708" s="26"/>
      <c r="BE708" s="26"/>
      <c r="BF708" s="26"/>
    </row>
    <row r="709" spans="1:58" ht="15.75" customHeight="1">
      <c r="A709" s="67"/>
      <c r="B709" s="67"/>
      <c r="C709" s="67"/>
      <c r="D709" s="68"/>
      <c r="E709" s="68"/>
      <c r="F709" s="68"/>
      <c r="G709" s="68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30"/>
      <c r="AO709" s="25"/>
      <c r="AP709" s="120"/>
      <c r="AQ709" s="120"/>
      <c r="AR709" s="121"/>
      <c r="AS709" s="96"/>
      <c r="AT709" s="122"/>
      <c r="AU709" s="123"/>
      <c r="AV709" s="122"/>
      <c r="AW709" s="122"/>
      <c r="AX709" s="30"/>
      <c r="AY709" s="30"/>
      <c r="AZ709" s="30"/>
      <c r="BA709" s="30"/>
      <c r="BB709" s="26"/>
      <c r="BC709" s="26"/>
      <c r="BD709" s="26"/>
      <c r="BE709" s="26"/>
      <c r="BF709" s="26"/>
    </row>
    <row r="710" spans="1:58" ht="15.75" customHeight="1">
      <c r="A710" s="67"/>
      <c r="B710" s="67"/>
      <c r="C710" s="67"/>
      <c r="D710" s="68"/>
      <c r="E710" s="68"/>
      <c r="F710" s="68"/>
      <c r="G710" s="68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30"/>
      <c r="AO710" s="25"/>
      <c r="AP710" s="120"/>
      <c r="AQ710" s="120"/>
      <c r="AR710" s="121"/>
      <c r="AS710" s="96"/>
      <c r="AT710" s="122"/>
      <c r="AU710" s="123"/>
      <c r="AV710" s="122"/>
      <c r="AW710" s="122"/>
      <c r="AX710" s="30"/>
      <c r="AY710" s="30"/>
      <c r="AZ710" s="30"/>
      <c r="BA710" s="30"/>
      <c r="BB710" s="26"/>
      <c r="BC710" s="26"/>
      <c r="BD710" s="26"/>
      <c r="BE710" s="26"/>
      <c r="BF710" s="26"/>
    </row>
    <row r="711" spans="1:58" ht="15.75" customHeight="1">
      <c r="A711" s="67"/>
      <c r="B711" s="67"/>
      <c r="C711" s="67"/>
      <c r="D711" s="68"/>
      <c r="E711" s="68"/>
      <c r="F711" s="68"/>
      <c r="G711" s="68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30"/>
      <c r="AO711" s="25"/>
      <c r="AP711" s="120"/>
      <c r="AQ711" s="120"/>
      <c r="AR711" s="121"/>
      <c r="AS711" s="96"/>
      <c r="AT711" s="122"/>
      <c r="AU711" s="123"/>
      <c r="AV711" s="122"/>
      <c r="AW711" s="122"/>
      <c r="AX711" s="30"/>
      <c r="AY711" s="30"/>
      <c r="AZ711" s="30"/>
      <c r="BA711" s="30"/>
      <c r="BB711" s="26"/>
      <c r="BC711" s="26"/>
      <c r="BD711" s="26"/>
      <c r="BE711" s="26"/>
      <c r="BF711" s="26"/>
    </row>
    <row r="712" spans="1:58" ht="15.75" customHeight="1">
      <c r="A712" s="67"/>
      <c r="B712" s="67"/>
      <c r="C712" s="67"/>
      <c r="D712" s="68"/>
      <c r="E712" s="68"/>
      <c r="F712" s="68"/>
      <c r="G712" s="68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30"/>
      <c r="AO712" s="25"/>
      <c r="AP712" s="120"/>
      <c r="AQ712" s="120"/>
      <c r="AR712" s="121"/>
      <c r="AS712" s="96"/>
      <c r="AT712" s="122"/>
      <c r="AU712" s="123"/>
      <c r="AV712" s="122"/>
      <c r="AW712" s="122"/>
      <c r="AX712" s="30"/>
      <c r="AY712" s="30"/>
      <c r="AZ712" s="30"/>
      <c r="BA712" s="30"/>
      <c r="BB712" s="26"/>
      <c r="BC712" s="26"/>
      <c r="BD712" s="26"/>
      <c r="BE712" s="26"/>
      <c r="BF712" s="26"/>
    </row>
    <row r="713" spans="1:58" ht="15.75" customHeight="1">
      <c r="A713" s="67"/>
      <c r="B713" s="67"/>
      <c r="C713" s="67"/>
      <c r="D713" s="68"/>
      <c r="E713" s="68"/>
      <c r="F713" s="68"/>
      <c r="G713" s="68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30"/>
      <c r="AO713" s="25"/>
      <c r="AP713" s="120"/>
      <c r="AQ713" s="120"/>
      <c r="AR713" s="121"/>
      <c r="AS713" s="96"/>
      <c r="AT713" s="122"/>
      <c r="AU713" s="123"/>
      <c r="AV713" s="122"/>
      <c r="AW713" s="122"/>
      <c r="AX713" s="30"/>
      <c r="AY713" s="30"/>
      <c r="AZ713" s="30"/>
      <c r="BA713" s="30"/>
      <c r="BB713" s="26"/>
      <c r="BC713" s="26"/>
      <c r="BD713" s="26"/>
      <c r="BE713" s="26"/>
      <c r="BF713" s="26"/>
    </row>
    <row r="714" spans="1:58" ht="15.75" customHeight="1">
      <c r="A714" s="67"/>
      <c r="B714" s="67"/>
      <c r="C714" s="67"/>
      <c r="D714" s="68"/>
      <c r="E714" s="68"/>
      <c r="F714" s="68"/>
      <c r="G714" s="68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30"/>
      <c r="AO714" s="25"/>
      <c r="AP714" s="120"/>
      <c r="AQ714" s="120"/>
      <c r="AR714" s="121"/>
      <c r="AS714" s="96"/>
      <c r="AT714" s="122"/>
      <c r="AU714" s="123"/>
      <c r="AV714" s="122"/>
      <c r="AW714" s="122"/>
      <c r="AX714" s="30"/>
      <c r="AY714" s="30"/>
      <c r="AZ714" s="30"/>
      <c r="BA714" s="30"/>
      <c r="BB714" s="26"/>
      <c r="BC714" s="26"/>
      <c r="BD714" s="26"/>
      <c r="BE714" s="26"/>
      <c r="BF714" s="26"/>
    </row>
    <row r="715" spans="1:58" ht="15.75" customHeight="1">
      <c r="A715" s="67"/>
      <c r="B715" s="67"/>
      <c r="C715" s="67"/>
      <c r="D715" s="68"/>
      <c r="E715" s="68"/>
      <c r="F715" s="68"/>
      <c r="G715" s="68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30"/>
      <c r="AO715" s="25"/>
      <c r="AP715" s="120"/>
      <c r="AQ715" s="120"/>
      <c r="AR715" s="121"/>
      <c r="AS715" s="96"/>
      <c r="AT715" s="122"/>
      <c r="AU715" s="123"/>
      <c r="AV715" s="122"/>
      <c r="AW715" s="122"/>
      <c r="AX715" s="30"/>
      <c r="AY715" s="30"/>
      <c r="AZ715" s="30"/>
      <c r="BA715" s="30"/>
      <c r="BB715" s="26"/>
      <c r="BC715" s="26"/>
      <c r="BD715" s="26"/>
      <c r="BE715" s="26"/>
      <c r="BF715" s="26"/>
    </row>
    <row r="716" spans="1:58" ht="15.75" customHeight="1">
      <c r="A716" s="67"/>
      <c r="B716" s="67"/>
      <c r="C716" s="67"/>
      <c r="D716" s="68"/>
      <c r="E716" s="68"/>
      <c r="F716" s="68"/>
      <c r="G716" s="68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30"/>
      <c r="AO716" s="25"/>
      <c r="AP716" s="120"/>
      <c r="AQ716" s="120"/>
      <c r="AR716" s="121"/>
      <c r="AS716" s="96"/>
      <c r="AT716" s="122"/>
      <c r="AU716" s="123"/>
      <c r="AV716" s="122"/>
      <c r="AW716" s="122"/>
      <c r="AX716" s="30"/>
      <c r="AY716" s="30"/>
      <c r="AZ716" s="30"/>
      <c r="BA716" s="30"/>
      <c r="BB716" s="26"/>
      <c r="BC716" s="26"/>
      <c r="BD716" s="26"/>
      <c r="BE716" s="26"/>
      <c r="BF716" s="26"/>
    </row>
    <row r="717" spans="1:58" ht="15.75" customHeight="1">
      <c r="A717" s="67"/>
      <c r="B717" s="67"/>
      <c r="C717" s="67"/>
      <c r="D717" s="68"/>
      <c r="E717" s="68"/>
      <c r="F717" s="68"/>
      <c r="G717" s="68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30"/>
      <c r="AO717" s="25"/>
      <c r="AP717" s="120"/>
      <c r="AQ717" s="120"/>
      <c r="AR717" s="121"/>
      <c r="AS717" s="96"/>
      <c r="AT717" s="122"/>
      <c r="AU717" s="123"/>
      <c r="AV717" s="122"/>
      <c r="AW717" s="122"/>
      <c r="AX717" s="30"/>
      <c r="AY717" s="30"/>
      <c r="AZ717" s="30"/>
      <c r="BA717" s="30"/>
      <c r="BB717" s="26"/>
      <c r="BC717" s="26"/>
      <c r="BD717" s="26"/>
      <c r="BE717" s="26"/>
      <c r="BF717" s="26"/>
    </row>
    <row r="718" spans="1:58" ht="15.75" customHeight="1">
      <c r="A718" s="67"/>
      <c r="B718" s="67"/>
      <c r="C718" s="67"/>
      <c r="D718" s="68"/>
      <c r="E718" s="68"/>
      <c r="F718" s="68"/>
      <c r="G718" s="68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30"/>
      <c r="AO718" s="25"/>
      <c r="AP718" s="120"/>
      <c r="AQ718" s="120"/>
      <c r="AR718" s="121"/>
      <c r="AS718" s="96"/>
      <c r="AT718" s="122"/>
      <c r="AU718" s="123"/>
      <c r="AV718" s="122"/>
      <c r="AW718" s="122"/>
      <c r="AX718" s="30"/>
      <c r="AY718" s="30"/>
      <c r="AZ718" s="30"/>
      <c r="BA718" s="30"/>
      <c r="BB718" s="26"/>
      <c r="BC718" s="26"/>
      <c r="BD718" s="26"/>
      <c r="BE718" s="26"/>
      <c r="BF718" s="26"/>
    </row>
    <row r="719" spans="1:58" ht="15.75" customHeight="1">
      <c r="A719" s="67"/>
      <c r="B719" s="67"/>
      <c r="C719" s="67"/>
      <c r="D719" s="68"/>
      <c r="E719" s="68"/>
      <c r="F719" s="68"/>
      <c r="G719" s="68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30"/>
      <c r="AO719" s="25"/>
      <c r="AP719" s="120"/>
      <c r="AQ719" s="120"/>
      <c r="AR719" s="121"/>
      <c r="AS719" s="96"/>
      <c r="AT719" s="122"/>
      <c r="AU719" s="123"/>
      <c r="AV719" s="122"/>
      <c r="AW719" s="122"/>
      <c r="AX719" s="30"/>
      <c r="AY719" s="30"/>
      <c r="AZ719" s="30"/>
      <c r="BA719" s="30"/>
      <c r="BB719" s="26"/>
      <c r="BC719" s="26"/>
      <c r="BD719" s="26"/>
      <c r="BE719" s="26"/>
      <c r="BF719" s="26"/>
    </row>
    <row r="720" spans="1:58" ht="15.75" customHeight="1">
      <c r="A720" s="67"/>
      <c r="B720" s="67"/>
      <c r="C720" s="67"/>
      <c r="D720" s="68"/>
      <c r="E720" s="68"/>
      <c r="F720" s="68"/>
      <c r="G720" s="68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30"/>
      <c r="AO720" s="25"/>
      <c r="AP720" s="120"/>
      <c r="AQ720" s="120"/>
      <c r="AR720" s="121"/>
      <c r="AS720" s="96"/>
      <c r="AT720" s="122"/>
      <c r="AU720" s="123"/>
      <c r="AV720" s="122"/>
      <c r="AW720" s="122"/>
      <c r="AX720" s="30"/>
      <c r="AY720" s="30"/>
      <c r="AZ720" s="30"/>
      <c r="BA720" s="30"/>
      <c r="BB720" s="26"/>
      <c r="BC720" s="26"/>
      <c r="BD720" s="26"/>
      <c r="BE720" s="26"/>
      <c r="BF720" s="26"/>
    </row>
    <row r="721" spans="1:58" ht="15.75" customHeight="1">
      <c r="A721" s="67"/>
      <c r="B721" s="67"/>
      <c r="C721" s="67"/>
      <c r="D721" s="68"/>
      <c r="E721" s="68"/>
      <c r="F721" s="68"/>
      <c r="G721" s="68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30"/>
      <c r="AO721" s="25"/>
      <c r="AP721" s="120"/>
      <c r="AQ721" s="120"/>
      <c r="AR721" s="121"/>
      <c r="AS721" s="96"/>
      <c r="AT721" s="122"/>
      <c r="AU721" s="123"/>
      <c r="AV721" s="122"/>
      <c r="AW721" s="122"/>
      <c r="AX721" s="30"/>
      <c r="AY721" s="30"/>
      <c r="AZ721" s="30"/>
      <c r="BA721" s="30"/>
      <c r="BB721" s="26"/>
      <c r="BC721" s="26"/>
      <c r="BD721" s="26"/>
      <c r="BE721" s="26"/>
      <c r="BF721" s="26"/>
    </row>
    <row r="722" spans="1:58" ht="15.75" customHeight="1">
      <c r="A722" s="67"/>
      <c r="B722" s="67"/>
      <c r="C722" s="67"/>
      <c r="D722" s="68"/>
      <c r="E722" s="68"/>
      <c r="F722" s="68"/>
      <c r="G722" s="68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30"/>
      <c r="AO722" s="25"/>
      <c r="AP722" s="120"/>
      <c r="AQ722" s="120"/>
      <c r="AR722" s="121"/>
      <c r="AS722" s="96"/>
      <c r="AT722" s="122"/>
      <c r="AU722" s="123"/>
      <c r="AV722" s="122"/>
      <c r="AW722" s="122"/>
      <c r="AX722" s="30"/>
      <c r="AY722" s="30"/>
      <c r="AZ722" s="30"/>
      <c r="BA722" s="30"/>
      <c r="BB722" s="26"/>
      <c r="BC722" s="26"/>
      <c r="BD722" s="26"/>
      <c r="BE722" s="26"/>
      <c r="BF722" s="26"/>
    </row>
    <row r="723" spans="1:58" ht="15.75" customHeight="1">
      <c r="A723" s="67"/>
      <c r="B723" s="67"/>
      <c r="C723" s="67"/>
      <c r="D723" s="68"/>
      <c r="E723" s="68"/>
      <c r="F723" s="68"/>
      <c r="G723" s="68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30"/>
      <c r="AO723" s="25"/>
      <c r="AP723" s="120"/>
      <c r="AQ723" s="120"/>
      <c r="AR723" s="121"/>
      <c r="AS723" s="96"/>
      <c r="AT723" s="122"/>
      <c r="AU723" s="123"/>
      <c r="AV723" s="122"/>
      <c r="AW723" s="122"/>
      <c r="AX723" s="30"/>
      <c r="AY723" s="30"/>
      <c r="AZ723" s="30"/>
      <c r="BA723" s="30"/>
      <c r="BB723" s="26"/>
      <c r="BC723" s="26"/>
      <c r="BD723" s="26"/>
      <c r="BE723" s="26"/>
      <c r="BF723" s="26"/>
    </row>
    <row r="724" spans="1:58" ht="15.75" customHeight="1">
      <c r="A724" s="67"/>
      <c r="B724" s="67"/>
      <c r="C724" s="67"/>
      <c r="D724" s="68"/>
      <c r="E724" s="68"/>
      <c r="F724" s="68"/>
      <c r="G724" s="68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30"/>
      <c r="AO724" s="25"/>
      <c r="AP724" s="120"/>
      <c r="AQ724" s="120"/>
      <c r="AR724" s="121"/>
      <c r="AS724" s="96"/>
      <c r="AT724" s="122"/>
      <c r="AU724" s="123"/>
      <c r="AV724" s="122"/>
      <c r="AW724" s="122"/>
      <c r="AX724" s="30"/>
      <c r="AY724" s="30"/>
      <c r="AZ724" s="30"/>
      <c r="BA724" s="30"/>
      <c r="BB724" s="26"/>
      <c r="BC724" s="26"/>
      <c r="BD724" s="26"/>
      <c r="BE724" s="26"/>
      <c r="BF724" s="26"/>
    </row>
    <row r="725" spans="1:58" ht="15.75" customHeight="1">
      <c r="A725" s="67"/>
      <c r="B725" s="67"/>
      <c r="C725" s="67"/>
      <c r="D725" s="68"/>
      <c r="E725" s="68"/>
      <c r="F725" s="68"/>
      <c r="G725" s="68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30"/>
      <c r="AO725" s="25"/>
      <c r="AP725" s="120"/>
      <c r="AQ725" s="120"/>
      <c r="AR725" s="121"/>
      <c r="AS725" s="96"/>
      <c r="AT725" s="122"/>
      <c r="AU725" s="123"/>
      <c r="AV725" s="122"/>
      <c r="AW725" s="122"/>
      <c r="AX725" s="30"/>
      <c r="AY725" s="30"/>
      <c r="AZ725" s="30"/>
      <c r="BA725" s="30"/>
      <c r="BB725" s="26"/>
      <c r="BC725" s="26"/>
      <c r="BD725" s="26"/>
      <c r="BE725" s="26"/>
      <c r="BF725" s="26"/>
    </row>
    <row r="726" spans="1:58" ht="15.75" customHeight="1">
      <c r="A726" s="67"/>
      <c r="B726" s="67"/>
      <c r="C726" s="67"/>
      <c r="D726" s="68"/>
      <c r="E726" s="68"/>
      <c r="F726" s="68"/>
      <c r="G726" s="68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30"/>
      <c r="AO726" s="25"/>
      <c r="AP726" s="120"/>
      <c r="AQ726" s="120"/>
      <c r="AR726" s="121"/>
      <c r="AS726" s="96"/>
      <c r="AT726" s="122"/>
      <c r="AU726" s="123"/>
      <c r="AV726" s="122"/>
      <c r="AW726" s="122"/>
      <c r="AX726" s="30"/>
      <c r="AY726" s="30"/>
      <c r="AZ726" s="30"/>
      <c r="BA726" s="30"/>
      <c r="BB726" s="26"/>
      <c r="BC726" s="26"/>
      <c r="BD726" s="26"/>
      <c r="BE726" s="26"/>
      <c r="BF726" s="26"/>
    </row>
    <row r="727" spans="1:58" ht="15.75" customHeight="1">
      <c r="A727" s="67"/>
      <c r="B727" s="67"/>
      <c r="C727" s="67"/>
      <c r="D727" s="68"/>
      <c r="E727" s="68"/>
      <c r="F727" s="68"/>
      <c r="G727" s="68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30"/>
      <c r="AO727" s="25"/>
      <c r="AP727" s="120"/>
      <c r="AQ727" s="120"/>
      <c r="AR727" s="121"/>
      <c r="AS727" s="96"/>
      <c r="AT727" s="122"/>
      <c r="AU727" s="123"/>
      <c r="AV727" s="122"/>
      <c r="AW727" s="122"/>
      <c r="AX727" s="30"/>
      <c r="AY727" s="30"/>
      <c r="AZ727" s="30"/>
      <c r="BA727" s="30"/>
      <c r="BB727" s="26"/>
      <c r="BC727" s="26"/>
      <c r="BD727" s="26"/>
      <c r="BE727" s="26"/>
      <c r="BF727" s="26"/>
    </row>
    <row r="728" spans="1:58" ht="15.75" customHeight="1">
      <c r="A728" s="67"/>
      <c r="B728" s="67"/>
      <c r="C728" s="67"/>
      <c r="D728" s="68"/>
      <c r="E728" s="68"/>
      <c r="F728" s="68"/>
      <c r="G728" s="68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30"/>
      <c r="AO728" s="25"/>
      <c r="AP728" s="120"/>
      <c r="AQ728" s="120"/>
      <c r="AR728" s="121"/>
      <c r="AS728" s="96"/>
      <c r="AT728" s="122"/>
      <c r="AU728" s="123"/>
      <c r="AV728" s="122"/>
      <c r="AW728" s="122"/>
      <c r="AX728" s="30"/>
      <c r="AY728" s="30"/>
      <c r="AZ728" s="30"/>
      <c r="BA728" s="30"/>
      <c r="BB728" s="26"/>
      <c r="BC728" s="26"/>
      <c r="BD728" s="26"/>
      <c r="BE728" s="26"/>
      <c r="BF728" s="26"/>
    </row>
    <row r="729" spans="1:58" ht="15.75" customHeight="1">
      <c r="A729" s="67"/>
      <c r="B729" s="67"/>
      <c r="C729" s="67"/>
      <c r="D729" s="68"/>
      <c r="E729" s="68"/>
      <c r="F729" s="68"/>
      <c r="G729" s="68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30"/>
      <c r="AO729" s="25"/>
      <c r="AP729" s="120"/>
      <c r="AQ729" s="120"/>
      <c r="AR729" s="121"/>
      <c r="AS729" s="96"/>
      <c r="AT729" s="122"/>
      <c r="AU729" s="123"/>
      <c r="AV729" s="122"/>
      <c r="AW729" s="122"/>
      <c r="AX729" s="30"/>
      <c r="AY729" s="30"/>
      <c r="AZ729" s="30"/>
      <c r="BA729" s="30"/>
      <c r="BB729" s="26"/>
      <c r="BC729" s="26"/>
      <c r="BD729" s="26"/>
      <c r="BE729" s="26"/>
      <c r="BF729" s="26"/>
    </row>
    <row r="730" spans="1:58" ht="15.75" customHeight="1">
      <c r="A730" s="67"/>
      <c r="B730" s="67"/>
      <c r="C730" s="67"/>
      <c r="D730" s="68"/>
      <c r="E730" s="68"/>
      <c r="F730" s="68"/>
      <c r="G730" s="68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30"/>
      <c r="AO730" s="25"/>
      <c r="AP730" s="120"/>
      <c r="AQ730" s="120"/>
      <c r="AR730" s="121"/>
      <c r="AS730" s="96"/>
      <c r="AT730" s="122"/>
      <c r="AU730" s="123"/>
      <c r="AV730" s="122"/>
      <c r="AW730" s="122"/>
      <c r="AX730" s="30"/>
      <c r="AY730" s="30"/>
      <c r="AZ730" s="30"/>
      <c r="BA730" s="30"/>
      <c r="BB730" s="26"/>
      <c r="BC730" s="26"/>
      <c r="BD730" s="26"/>
      <c r="BE730" s="26"/>
      <c r="BF730" s="26"/>
    </row>
    <row r="731" spans="1:58" ht="15.75" customHeight="1">
      <c r="A731" s="67"/>
      <c r="B731" s="67"/>
      <c r="C731" s="67"/>
      <c r="D731" s="68"/>
      <c r="E731" s="68"/>
      <c r="F731" s="68"/>
      <c r="G731" s="68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30"/>
      <c r="AO731" s="25"/>
      <c r="AP731" s="120"/>
      <c r="AQ731" s="120"/>
      <c r="AR731" s="121"/>
      <c r="AS731" s="96"/>
      <c r="AT731" s="122"/>
      <c r="AU731" s="123"/>
      <c r="AV731" s="122"/>
      <c r="AW731" s="122"/>
      <c r="AX731" s="30"/>
      <c r="AY731" s="30"/>
      <c r="AZ731" s="30"/>
      <c r="BA731" s="30"/>
      <c r="BB731" s="26"/>
      <c r="BC731" s="26"/>
      <c r="BD731" s="26"/>
      <c r="BE731" s="26"/>
      <c r="BF731" s="26"/>
    </row>
    <row r="732" spans="1:58" ht="15.75" customHeight="1">
      <c r="A732" s="67"/>
      <c r="B732" s="67"/>
      <c r="C732" s="67"/>
      <c r="D732" s="68"/>
      <c r="E732" s="68"/>
      <c r="F732" s="68"/>
      <c r="G732" s="68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30"/>
      <c r="AO732" s="25"/>
      <c r="AP732" s="120"/>
      <c r="AQ732" s="120"/>
      <c r="AR732" s="121"/>
      <c r="AS732" s="96"/>
      <c r="AT732" s="122"/>
      <c r="AU732" s="123"/>
      <c r="AV732" s="122"/>
      <c r="AW732" s="122"/>
      <c r="AX732" s="30"/>
      <c r="AY732" s="30"/>
      <c r="AZ732" s="30"/>
      <c r="BA732" s="30"/>
      <c r="BB732" s="26"/>
      <c r="BC732" s="26"/>
      <c r="BD732" s="26"/>
      <c r="BE732" s="26"/>
      <c r="BF732" s="26"/>
    </row>
    <row r="733" spans="1:58" ht="15.75" customHeight="1">
      <c r="A733" s="67"/>
      <c r="B733" s="67"/>
      <c r="C733" s="67"/>
      <c r="D733" s="68"/>
      <c r="E733" s="68"/>
      <c r="F733" s="68"/>
      <c r="G733" s="68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30"/>
      <c r="AO733" s="25"/>
      <c r="AP733" s="120"/>
      <c r="AQ733" s="120"/>
      <c r="AR733" s="121"/>
      <c r="AS733" s="96"/>
      <c r="AT733" s="122"/>
      <c r="AU733" s="123"/>
      <c r="AV733" s="122"/>
      <c r="AW733" s="122"/>
      <c r="AX733" s="30"/>
      <c r="AY733" s="30"/>
      <c r="AZ733" s="30"/>
      <c r="BA733" s="30"/>
      <c r="BB733" s="26"/>
      <c r="BC733" s="26"/>
      <c r="BD733" s="26"/>
      <c r="BE733" s="26"/>
      <c r="BF733" s="26"/>
    </row>
    <row r="734" spans="1:58" ht="15.75" customHeight="1">
      <c r="A734" s="67"/>
      <c r="B734" s="67"/>
      <c r="C734" s="67"/>
      <c r="D734" s="68"/>
      <c r="E734" s="68"/>
      <c r="F734" s="68"/>
      <c r="G734" s="68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30"/>
      <c r="AO734" s="25"/>
      <c r="AP734" s="120"/>
      <c r="AQ734" s="120"/>
      <c r="AR734" s="121"/>
      <c r="AS734" s="96"/>
      <c r="AT734" s="122"/>
      <c r="AU734" s="123"/>
      <c r="AV734" s="122"/>
      <c r="AW734" s="122"/>
      <c r="AX734" s="30"/>
      <c r="AY734" s="30"/>
      <c r="AZ734" s="30"/>
      <c r="BA734" s="30"/>
      <c r="BB734" s="26"/>
      <c r="BC734" s="26"/>
      <c r="BD734" s="26"/>
      <c r="BE734" s="26"/>
      <c r="BF734" s="26"/>
    </row>
    <row r="735" spans="1:58" ht="15.75" customHeight="1">
      <c r="A735" s="67"/>
      <c r="B735" s="67"/>
      <c r="C735" s="67"/>
      <c r="D735" s="68"/>
      <c r="E735" s="68"/>
      <c r="F735" s="68"/>
      <c r="G735" s="68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30"/>
      <c r="AO735" s="25"/>
      <c r="AP735" s="120"/>
      <c r="AQ735" s="120"/>
      <c r="AR735" s="121"/>
      <c r="AS735" s="96"/>
      <c r="AT735" s="122"/>
      <c r="AU735" s="123"/>
      <c r="AV735" s="122"/>
      <c r="AW735" s="122"/>
      <c r="AX735" s="30"/>
      <c r="AY735" s="30"/>
      <c r="AZ735" s="30"/>
      <c r="BA735" s="30"/>
      <c r="BB735" s="26"/>
      <c r="BC735" s="26"/>
      <c r="BD735" s="26"/>
      <c r="BE735" s="26"/>
      <c r="BF735" s="26"/>
    </row>
    <row r="736" spans="1:58" ht="15.75" customHeight="1">
      <c r="A736" s="67"/>
      <c r="B736" s="67"/>
      <c r="C736" s="67"/>
      <c r="D736" s="68"/>
      <c r="E736" s="68"/>
      <c r="F736" s="68"/>
      <c r="G736" s="68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30"/>
      <c r="AO736" s="25"/>
      <c r="AP736" s="120"/>
      <c r="AQ736" s="120"/>
      <c r="AR736" s="121"/>
      <c r="AS736" s="96"/>
      <c r="AT736" s="122"/>
      <c r="AU736" s="123"/>
      <c r="AV736" s="122"/>
      <c r="AW736" s="122"/>
      <c r="AX736" s="30"/>
      <c r="AY736" s="30"/>
      <c r="AZ736" s="30"/>
      <c r="BA736" s="30"/>
      <c r="BB736" s="26"/>
      <c r="BC736" s="26"/>
      <c r="BD736" s="26"/>
      <c r="BE736" s="26"/>
      <c r="BF736" s="26"/>
    </row>
    <row r="737" spans="1:58" ht="15.75" customHeight="1">
      <c r="A737" s="67"/>
      <c r="B737" s="67"/>
      <c r="C737" s="67"/>
      <c r="D737" s="68"/>
      <c r="E737" s="68"/>
      <c r="F737" s="68"/>
      <c r="G737" s="68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30"/>
      <c r="AO737" s="25"/>
      <c r="AP737" s="120"/>
      <c r="AQ737" s="120"/>
      <c r="AR737" s="121"/>
      <c r="AS737" s="96"/>
      <c r="AT737" s="122"/>
      <c r="AU737" s="123"/>
      <c r="AV737" s="122"/>
      <c r="AW737" s="122"/>
      <c r="AX737" s="30"/>
      <c r="AY737" s="30"/>
      <c r="AZ737" s="30"/>
      <c r="BA737" s="30"/>
      <c r="BB737" s="26"/>
      <c r="BC737" s="26"/>
      <c r="BD737" s="26"/>
      <c r="BE737" s="26"/>
      <c r="BF737" s="26"/>
    </row>
    <row r="738" spans="1:58" ht="15.75" customHeight="1">
      <c r="A738" s="67"/>
      <c r="B738" s="67"/>
      <c r="C738" s="67"/>
      <c r="D738" s="68"/>
      <c r="E738" s="68"/>
      <c r="F738" s="68"/>
      <c r="G738" s="68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30"/>
      <c r="AO738" s="25"/>
      <c r="AP738" s="120"/>
      <c r="AQ738" s="120"/>
      <c r="AR738" s="121"/>
      <c r="AS738" s="96"/>
      <c r="AT738" s="122"/>
      <c r="AU738" s="123"/>
      <c r="AV738" s="122"/>
      <c r="AW738" s="122"/>
      <c r="AX738" s="30"/>
      <c r="AY738" s="30"/>
      <c r="AZ738" s="30"/>
      <c r="BA738" s="30"/>
      <c r="BB738" s="26"/>
      <c r="BC738" s="26"/>
      <c r="BD738" s="26"/>
      <c r="BE738" s="26"/>
      <c r="BF738" s="26"/>
    </row>
    <row r="739" spans="1:58" ht="15.75" customHeight="1">
      <c r="A739" s="67"/>
      <c r="B739" s="67"/>
      <c r="C739" s="67"/>
      <c r="D739" s="68"/>
      <c r="E739" s="68"/>
      <c r="F739" s="68"/>
      <c r="G739" s="68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30"/>
      <c r="AO739" s="25"/>
      <c r="AP739" s="120"/>
      <c r="AQ739" s="120"/>
      <c r="AR739" s="121"/>
      <c r="AS739" s="96"/>
      <c r="AT739" s="122"/>
      <c r="AU739" s="123"/>
      <c r="AV739" s="122"/>
      <c r="AW739" s="122"/>
      <c r="AX739" s="30"/>
      <c r="AY739" s="30"/>
      <c r="AZ739" s="30"/>
      <c r="BA739" s="30"/>
      <c r="BB739" s="26"/>
      <c r="BC739" s="26"/>
      <c r="BD739" s="26"/>
      <c r="BE739" s="26"/>
      <c r="BF739" s="26"/>
    </row>
    <row r="740" spans="1:58" ht="15.75" customHeight="1">
      <c r="A740" s="67"/>
      <c r="B740" s="67"/>
      <c r="C740" s="67"/>
      <c r="D740" s="68"/>
      <c r="E740" s="68"/>
      <c r="F740" s="68"/>
      <c r="G740" s="68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30"/>
      <c r="AO740" s="25"/>
      <c r="AP740" s="120"/>
      <c r="AQ740" s="120"/>
      <c r="AR740" s="121"/>
      <c r="AS740" s="96"/>
      <c r="AT740" s="122"/>
      <c r="AU740" s="123"/>
      <c r="AV740" s="122"/>
      <c r="AW740" s="122"/>
      <c r="AX740" s="30"/>
      <c r="AY740" s="30"/>
      <c r="AZ740" s="30"/>
      <c r="BA740" s="30"/>
      <c r="BB740" s="26"/>
      <c r="BC740" s="26"/>
      <c r="BD740" s="26"/>
      <c r="BE740" s="26"/>
      <c r="BF740" s="26"/>
    </row>
    <row r="741" spans="1:58" ht="15.75" customHeight="1">
      <c r="A741" s="67"/>
      <c r="B741" s="67"/>
      <c r="C741" s="67"/>
      <c r="D741" s="68"/>
      <c r="E741" s="68"/>
      <c r="F741" s="68"/>
      <c r="G741" s="68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30"/>
      <c r="AO741" s="25"/>
      <c r="AP741" s="120"/>
      <c r="AQ741" s="120"/>
      <c r="AR741" s="121"/>
      <c r="AS741" s="96"/>
      <c r="AT741" s="122"/>
      <c r="AU741" s="123"/>
      <c r="AV741" s="122"/>
      <c r="AW741" s="122"/>
      <c r="AX741" s="30"/>
      <c r="AY741" s="30"/>
      <c r="AZ741" s="30"/>
      <c r="BA741" s="30"/>
      <c r="BB741" s="26"/>
      <c r="BC741" s="26"/>
      <c r="BD741" s="26"/>
      <c r="BE741" s="26"/>
      <c r="BF741" s="26"/>
    </row>
    <row r="742" spans="1:58" ht="15.75" customHeight="1">
      <c r="A742" s="67"/>
      <c r="B742" s="67"/>
      <c r="C742" s="67"/>
      <c r="D742" s="68"/>
      <c r="E742" s="68"/>
      <c r="F742" s="68"/>
      <c r="G742" s="68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30"/>
      <c r="AO742" s="25"/>
      <c r="AP742" s="120"/>
      <c r="AQ742" s="120"/>
      <c r="AR742" s="121"/>
      <c r="AS742" s="96"/>
      <c r="AT742" s="122"/>
      <c r="AU742" s="123"/>
      <c r="AV742" s="122"/>
      <c r="AW742" s="122"/>
      <c r="AX742" s="30"/>
      <c r="AY742" s="30"/>
      <c r="AZ742" s="30"/>
      <c r="BA742" s="30"/>
      <c r="BB742" s="26"/>
      <c r="BC742" s="26"/>
      <c r="BD742" s="26"/>
      <c r="BE742" s="26"/>
      <c r="BF742" s="26"/>
    </row>
    <row r="743" spans="1:58" ht="15.75" customHeight="1">
      <c r="A743" s="67"/>
      <c r="B743" s="67"/>
      <c r="C743" s="67"/>
      <c r="D743" s="68"/>
      <c r="E743" s="68"/>
      <c r="F743" s="68"/>
      <c r="G743" s="68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30"/>
      <c r="AO743" s="25"/>
      <c r="AP743" s="120"/>
      <c r="AQ743" s="120"/>
      <c r="AR743" s="121"/>
      <c r="AS743" s="96"/>
      <c r="AT743" s="122"/>
      <c r="AU743" s="123"/>
      <c r="AV743" s="122"/>
      <c r="AW743" s="122"/>
      <c r="AX743" s="30"/>
      <c r="AY743" s="30"/>
      <c r="AZ743" s="30"/>
      <c r="BA743" s="30"/>
      <c r="BB743" s="26"/>
      <c r="BC743" s="26"/>
      <c r="BD743" s="26"/>
      <c r="BE743" s="26"/>
      <c r="BF743" s="26"/>
    </row>
    <row r="744" spans="1:58" ht="15.75" customHeight="1">
      <c r="A744" s="67"/>
      <c r="B744" s="67"/>
      <c r="C744" s="67"/>
      <c r="D744" s="68"/>
      <c r="E744" s="68"/>
      <c r="F744" s="68"/>
      <c r="G744" s="68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30"/>
      <c r="AO744" s="25"/>
      <c r="AP744" s="120"/>
      <c r="AQ744" s="120"/>
      <c r="AR744" s="121"/>
      <c r="AS744" s="96"/>
      <c r="AT744" s="122"/>
      <c r="AU744" s="123"/>
      <c r="AV744" s="122"/>
      <c r="AW744" s="122"/>
      <c r="AX744" s="30"/>
      <c r="AY744" s="30"/>
      <c r="AZ744" s="30"/>
      <c r="BA744" s="30"/>
      <c r="BB744" s="26"/>
      <c r="BC744" s="26"/>
      <c r="BD744" s="26"/>
      <c r="BE744" s="26"/>
      <c r="BF744" s="26"/>
    </row>
    <row r="745" spans="1:58" ht="15.75" customHeight="1">
      <c r="A745" s="67"/>
      <c r="B745" s="67"/>
      <c r="C745" s="67"/>
      <c r="D745" s="68"/>
      <c r="E745" s="68"/>
      <c r="F745" s="68"/>
      <c r="G745" s="68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30"/>
      <c r="AO745" s="25"/>
      <c r="AP745" s="120"/>
      <c r="AQ745" s="120"/>
      <c r="AR745" s="121"/>
      <c r="AS745" s="96"/>
      <c r="AT745" s="122"/>
      <c r="AU745" s="123"/>
      <c r="AV745" s="122"/>
      <c r="AW745" s="122"/>
      <c r="AX745" s="30"/>
      <c r="AY745" s="30"/>
      <c r="AZ745" s="30"/>
      <c r="BA745" s="30"/>
      <c r="BB745" s="26"/>
      <c r="BC745" s="26"/>
      <c r="BD745" s="26"/>
      <c r="BE745" s="26"/>
      <c r="BF745" s="26"/>
    </row>
    <row r="746" spans="1:58" ht="15.75" customHeight="1">
      <c r="A746" s="67"/>
      <c r="B746" s="67"/>
      <c r="C746" s="67"/>
      <c r="D746" s="68"/>
      <c r="E746" s="68"/>
      <c r="F746" s="68"/>
      <c r="G746" s="68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30"/>
      <c r="AO746" s="25"/>
      <c r="AP746" s="120"/>
      <c r="AQ746" s="120"/>
      <c r="AR746" s="121"/>
      <c r="AS746" s="96"/>
      <c r="AT746" s="122"/>
      <c r="AU746" s="123"/>
      <c r="AV746" s="122"/>
      <c r="AW746" s="122"/>
      <c r="AX746" s="30"/>
      <c r="AY746" s="30"/>
      <c r="AZ746" s="30"/>
      <c r="BA746" s="30"/>
      <c r="BB746" s="26"/>
      <c r="BC746" s="26"/>
      <c r="BD746" s="26"/>
      <c r="BE746" s="26"/>
      <c r="BF746" s="26"/>
    </row>
    <row r="747" spans="1:58" ht="15.75" customHeight="1">
      <c r="A747" s="67"/>
      <c r="B747" s="67"/>
      <c r="C747" s="67"/>
      <c r="D747" s="68"/>
      <c r="E747" s="68"/>
      <c r="F747" s="68"/>
      <c r="G747" s="68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30"/>
      <c r="AO747" s="25"/>
      <c r="AP747" s="120"/>
      <c r="AQ747" s="120"/>
      <c r="AR747" s="121"/>
      <c r="AS747" s="96"/>
      <c r="AT747" s="122"/>
      <c r="AU747" s="123"/>
      <c r="AV747" s="122"/>
      <c r="AW747" s="122"/>
      <c r="AX747" s="30"/>
      <c r="AY747" s="30"/>
      <c r="AZ747" s="30"/>
      <c r="BA747" s="30"/>
      <c r="BB747" s="26"/>
      <c r="BC747" s="26"/>
      <c r="BD747" s="26"/>
      <c r="BE747" s="26"/>
      <c r="BF747" s="26"/>
    </row>
    <row r="748" spans="1:58" ht="15.75" customHeight="1">
      <c r="A748" s="67"/>
      <c r="B748" s="67"/>
      <c r="C748" s="67"/>
      <c r="D748" s="68"/>
      <c r="E748" s="68"/>
      <c r="F748" s="68"/>
      <c r="G748" s="68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30"/>
      <c r="AO748" s="25"/>
      <c r="AP748" s="120"/>
      <c r="AQ748" s="120"/>
      <c r="AR748" s="121"/>
      <c r="AS748" s="96"/>
      <c r="AT748" s="122"/>
      <c r="AU748" s="123"/>
      <c r="AV748" s="122"/>
      <c r="AW748" s="122"/>
      <c r="AX748" s="30"/>
      <c r="AY748" s="30"/>
      <c r="AZ748" s="30"/>
      <c r="BA748" s="30"/>
      <c r="BB748" s="26"/>
      <c r="BC748" s="26"/>
      <c r="BD748" s="26"/>
      <c r="BE748" s="26"/>
      <c r="BF748" s="26"/>
    </row>
    <row r="749" spans="1:58" ht="15.75" customHeight="1">
      <c r="A749" s="67"/>
      <c r="B749" s="67"/>
      <c r="C749" s="67"/>
      <c r="D749" s="68"/>
      <c r="E749" s="68"/>
      <c r="F749" s="68"/>
      <c r="G749" s="68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30"/>
      <c r="AO749" s="25"/>
      <c r="AP749" s="120"/>
      <c r="AQ749" s="120"/>
      <c r="AR749" s="121"/>
      <c r="AS749" s="96"/>
      <c r="AT749" s="122"/>
      <c r="AU749" s="123"/>
      <c r="AV749" s="122"/>
      <c r="AW749" s="122"/>
      <c r="AX749" s="30"/>
      <c r="AY749" s="30"/>
      <c r="AZ749" s="30"/>
      <c r="BA749" s="30"/>
      <c r="BB749" s="26"/>
      <c r="BC749" s="26"/>
      <c r="BD749" s="26"/>
      <c r="BE749" s="26"/>
      <c r="BF749" s="26"/>
    </row>
    <row r="750" spans="1:58" ht="15.75" customHeight="1">
      <c r="A750" s="67"/>
      <c r="B750" s="67"/>
      <c r="C750" s="67"/>
      <c r="D750" s="68"/>
      <c r="E750" s="68"/>
      <c r="F750" s="68"/>
      <c r="G750" s="68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30"/>
      <c r="AO750" s="25"/>
      <c r="AP750" s="120"/>
      <c r="AQ750" s="120"/>
      <c r="AR750" s="121"/>
      <c r="AS750" s="96"/>
      <c r="AT750" s="122"/>
      <c r="AU750" s="123"/>
      <c r="AV750" s="122"/>
      <c r="AW750" s="122"/>
      <c r="AX750" s="30"/>
      <c r="AY750" s="30"/>
      <c r="AZ750" s="30"/>
      <c r="BA750" s="30"/>
      <c r="BB750" s="26"/>
      <c r="BC750" s="26"/>
      <c r="BD750" s="26"/>
      <c r="BE750" s="26"/>
      <c r="BF750" s="26"/>
    </row>
    <row r="751" spans="1:58" ht="15.75" customHeight="1">
      <c r="A751" s="67"/>
      <c r="B751" s="67"/>
      <c r="C751" s="67"/>
      <c r="D751" s="68"/>
      <c r="E751" s="68"/>
      <c r="F751" s="68"/>
      <c r="G751" s="68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30"/>
      <c r="AO751" s="25"/>
      <c r="AP751" s="120"/>
      <c r="AQ751" s="120"/>
      <c r="AR751" s="121"/>
      <c r="AS751" s="96"/>
      <c r="AT751" s="122"/>
      <c r="AU751" s="123"/>
      <c r="AV751" s="122"/>
      <c r="AW751" s="122"/>
      <c r="AX751" s="30"/>
      <c r="AY751" s="30"/>
      <c r="AZ751" s="30"/>
      <c r="BA751" s="30"/>
      <c r="BB751" s="26"/>
      <c r="BC751" s="26"/>
      <c r="BD751" s="26"/>
      <c r="BE751" s="26"/>
      <c r="BF751" s="26"/>
    </row>
    <row r="752" spans="1:58" ht="15.75" customHeight="1">
      <c r="A752" s="67"/>
      <c r="B752" s="67"/>
      <c r="C752" s="67"/>
      <c r="D752" s="68"/>
      <c r="E752" s="68"/>
      <c r="F752" s="68"/>
      <c r="G752" s="68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30"/>
      <c r="AO752" s="25"/>
      <c r="AP752" s="120"/>
      <c r="AQ752" s="120"/>
      <c r="AR752" s="121"/>
      <c r="AS752" s="96"/>
      <c r="AT752" s="122"/>
      <c r="AU752" s="123"/>
      <c r="AV752" s="122"/>
      <c r="AW752" s="122"/>
      <c r="AX752" s="30"/>
      <c r="AY752" s="30"/>
      <c r="AZ752" s="30"/>
      <c r="BA752" s="30"/>
      <c r="BB752" s="26"/>
      <c r="BC752" s="26"/>
      <c r="BD752" s="26"/>
      <c r="BE752" s="26"/>
      <c r="BF752" s="26"/>
    </row>
    <row r="753" spans="1:58" ht="15.75" customHeight="1">
      <c r="A753" s="67"/>
      <c r="B753" s="67"/>
      <c r="C753" s="67"/>
      <c r="D753" s="68"/>
      <c r="E753" s="68"/>
      <c r="F753" s="68"/>
      <c r="G753" s="68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30"/>
      <c r="AO753" s="25"/>
      <c r="AP753" s="120"/>
      <c r="AQ753" s="120"/>
      <c r="AR753" s="121"/>
      <c r="AS753" s="96"/>
      <c r="AT753" s="122"/>
      <c r="AU753" s="123"/>
      <c r="AV753" s="122"/>
      <c r="AW753" s="122"/>
      <c r="AX753" s="30"/>
      <c r="AY753" s="30"/>
      <c r="AZ753" s="30"/>
      <c r="BA753" s="30"/>
      <c r="BB753" s="26"/>
      <c r="BC753" s="26"/>
      <c r="BD753" s="26"/>
      <c r="BE753" s="26"/>
      <c r="BF753" s="26"/>
    </row>
    <row r="754" spans="1:58" ht="15.75" customHeight="1">
      <c r="A754" s="67"/>
      <c r="B754" s="67"/>
      <c r="C754" s="67"/>
      <c r="D754" s="68"/>
      <c r="E754" s="68"/>
      <c r="F754" s="68"/>
      <c r="G754" s="68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30"/>
      <c r="AO754" s="25"/>
      <c r="AP754" s="120"/>
      <c r="AQ754" s="120"/>
      <c r="AR754" s="121"/>
      <c r="AS754" s="96"/>
      <c r="AT754" s="122"/>
      <c r="AU754" s="123"/>
      <c r="AV754" s="122"/>
      <c r="AW754" s="122"/>
      <c r="AX754" s="30"/>
      <c r="AY754" s="30"/>
      <c r="AZ754" s="30"/>
      <c r="BA754" s="30"/>
      <c r="BB754" s="26"/>
      <c r="BC754" s="26"/>
      <c r="BD754" s="26"/>
      <c r="BE754" s="26"/>
      <c r="BF754" s="26"/>
    </row>
    <row r="755" spans="1:58" ht="15.75" customHeight="1">
      <c r="A755" s="67"/>
      <c r="B755" s="67"/>
      <c r="C755" s="67"/>
      <c r="D755" s="68"/>
      <c r="E755" s="68"/>
      <c r="F755" s="68"/>
      <c r="G755" s="68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30"/>
      <c r="AO755" s="25"/>
      <c r="AP755" s="120"/>
      <c r="AQ755" s="120"/>
      <c r="AR755" s="121"/>
      <c r="AS755" s="96"/>
      <c r="AT755" s="122"/>
      <c r="AU755" s="123"/>
      <c r="AV755" s="122"/>
      <c r="AW755" s="122"/>
      <c r="AX755" s="30"/>
      <c r="AY755" s="30"/>
      <c r="AZ755" s="30"/>
      <c r="BA755" s="30"/>
      <c r="BB755" s="26"/>
      <c r="BC755" s="26"/>
      <c r="BD755" s="26"/>
      <c r="BE755" s="26"/>
      <c r="BF755" s="26"/>
    </row>
    <row r="756" spans="1:58" ht="15.75" customHeight="1">
      <c r="A756" s="67"/>
      <c r="B756" s="67"/>
      <c r="C756" s="67"/>
      <c r="D756" s="68"/>
      <c r="E756" s="68"/>
      <c r="F756" s="68"/>
      <c r="G756" s="68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30"/>
      <c r="AO756" s="25"/>
      <c r="AP756" s="120"/>
      <c r="AQ756" s="120"/>
      <c r="AR756" s="121"/>
      <c r="AS756" s="96"/>
      <c r="AT756" s="122"/>
      <c r="AU756" s="123"/>
      <c r="AV756" s="122"/>
      <c r="AW756" s="122"/>
      <c r="AX756" s="30"/>
      <c r="AY756" s="30"/>
      <c r="AZ756" s="30"/>
      <c r="BA756" s="30"/>
      <c r="BB756" s="26"/>
      <c r="BC756" s="26"/>
      <c r="BD756" s="26"/>
      <c r="BE756" s="26"/>
      <c r="BF756" s="26"/>
    </row>
    <row r="757" spans="1:58" ht="15.75" customHeight="1">
      <c r="A757" s="67"/>
      <c r="B757" s="67"/>
      <c r="C757" s="67"/>
      <c r="D757" s="68"/>
      <c r="E757" s="68"/>
      <c r="F757" s="68"/>
      <c r="G757" s="68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30"/>
      <c r="AO757" s="25"/>
      <c r="AP757" s="120"/>
      <c r="AQ757" s="120"/>
      <c r="AR757" s="121"/>
      <c r="AS757" s="96"/>
      <c r="AT757" s="122"/>
      <c r="AU757" s="123"/>
      <c r="AV757" s="122"/>
      <c r="AW757" s="122"/>
      <c r="AX757" s="30"/>
      <c r="AY757" s="30"/>
      <c r="AZ757" s="30"/>
      <c r="BA757" s="30"/>
      <c r="BB757" s="26"/>
      <c r="BC757" s="26"/>
      <c r="BD757" s="26"/>
      <c r="BE757" s="26"/>
      <c r="BF757" s="26"/>
    </row>
    <row r="758" spans="1:58" ht="15.75" customHeight="1">
      <c r="A758" s="67"/>
      <c r="B758" s="67"/>
      <c r="C758" s="67"/>
      <c r="D758" s="68"/>
      <c r="E758" s="68"/>
      <c r="F758" s="68"/>
      <c r="G758" s="68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30"/>
      <c r="AO758" s="25"/>
      <c r="AP758" s="120"/>
      <c r="AQ758" s="120"/>
      <c r="AR758" s="121"/>
      <c r="AS758" s="96"/>
      <c r="AT758" s="122"/>
      <c r="AU758" s="123"/>
      <c r="AV758" s="122"/>
      <c r="AW758" s="122"/>
      <c r="AX758" s="30"/>
      <c r="AY758" s="30"/>
      <c r="AZ758" s="30"/>
      <c r="BA758" s="30"/>
      <c r="BB758" s="26"/>
      <c r="BC758" s="26"/>
      <c r="BD758" s="26"/>
      <c r="BE758" s="26"/>
      <c r="BF758" s="26"/>
    </row>
    <row r="759" spans="1:58" ht="15.75" customHeight="1">
      <c r="A759" s="67"/>
      <c r="B759" s="67"/>
      <c r="C759" s="67"/>
      <c r="D759" s="68"/>
      <c r="E759" s="68"/>
      <c r="F759" s="68"/>
      <c r="G759" s="68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30"/>
      <c r="AO759" s="25"/>
      <c r="AP759" s="120"/>
      <c r="AQ759" s="120"/>
      <c r="AR759" s="121"/>
      <c r="AS759" s="96"/>
      <c r="AT759" s="122"/>
      <c r="AU759" s="123"/>
      <c r="AV759" s="122"/>
      <c r="AW759" s="122"/>
      <c r="AX759" s="30"/>
      <c r="AY759" s="30"/>
      <c r="AZ759" s="30"/>
      <c r="BA759" s="30"/>
      <c r="BB759" s="26"/>
      <c r="BC759" s="26"/>
      <c r="BD759" s="26"/>
      <c r="BE759" s="26"/>
      <c r="BF759" s="26"/>
    </row>
    <row r="760" spans="1:58" ht="15.75" customHeight="1">
      <c r="A760" s="67"/>
      <c r="B760" s="67"/>
      <c r="C760" s="67"/>
      <c r="D760" s="68"/>
      <c r="E760" s="68"/>
      <c r="F760" s="68"/>
      <c r="G760" s="68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30"/>
      <c r="AO760" s="25"/>
      <c r="AP760" s="120"/>
      <c r="AQ760" s="120"/>
      <c r="AR760" s="121"/>
      <c r="AS760" s="96"/>
      <c r="AT760" s="122"/>
      <c r="AU760" s="123"/>
      <c r="AV760" s="122"/>
      <c r="AW760" s="122"/>
      <c r="AX760" s="30"/>
      <c r="AY760" s="30"/>
      <c r="AZ760" s="30"/>
      <c r="BA760" s="30"/>
      <c r="BB760" s="26"/>
      <c r="BC760" s="26"/>
      <c r="BD760" s="26"/>
      <c r="BE760" s="26"/>
      <c r="BF760" s="26"/>
    </row>
    <row r="761" spans="1:58" ht="15.75" customHeight="1">
      <c r="A761" s="67"/>
      <c r="B761" s="67"/>
      <c r="C761" s="67"/>
      <c r="D761" s="68"/>
      <c r="E761" s="68"/>
      <c r="F761" s="68"/>
      <c r="G761" s="68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30"/>
      <c r="AO761" s="25"/>
      <c r="AP761" s="120"/>
      <c r="AQ761" s="120"/>
      <c r="AR761" s="121"/>
      <c r="AS761" s="96"/>
      <c r="AT761" s="122"/>
      <c r="AU761" s="123"/>
      <c r="AV761" s="122"/>
      <c r="AW761" s="122"/>
      <c r="AX761" s="30"/>
      <c r="AY761" s="30"/>
      <c r="AZ761" s="30"/>
      <c r="BA761" s="30"/>
      <c r="BB761" s="26"/>
      <c r="BC761" s="26"/>
      <c r="BD761" s="26"/>
      <c r="BE761" s="26"/>
      <c r="BF761" s="26"/>
    </row>
    <row r="762" spans="1:58" ht="15.75" customHeight="1">
      <c r="A762" s="67"/>
      <c r="B762" s="67"/>
      <c r="C762" s="67"/>
      <c r="D762" s="68"/>
      <c r="E762" s="68"/>
      <c r="F762" s="68"/>
      <c r="G762" s="68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30"/>
      <c r="AO762" s="25"/>
      <c r="AP762" s="120"/>
      <c r="AQ762" s="120"/>
      <c r="AR762" s="121"/>
      <c r="AS762" s="96"/>
      <c r="AT762" s="122"/>
      <c r="AU762" s="123"/>
      <c r="AV762" s="122"/>
      <c r="AW762" s="122"/>
      <c r="AX762" s="30"/>
      <c r="AY762" s="30"/>
      <c r="AZ762" s="30"/>
      <c r="BA762" s="30"/>
      <c r="BB762" s="26"/>
      <c r="BC762" s="26"/>
      <c r="BD762" s="26"/>
      <c r="BE762" s="26"/>
      <c r="BF762" s="26"/>
    </row>
    <row r="763" spans="1:58" ht="15.75" customHeight="1">
      <c r="A763" s="67"/>
      <c r="B763" s="67"/>
      <c r="C763" s="67"/>
      <c r="D763" s="68"/>
      <c r="E763" s="68"/>
      <c r="F763" s="68"/>
      <c r="G763" s="68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30"/>
      <c r="AO763" s="25"/>
      <c r="AP763" s="120"/>
      <c r="AQ763" s="120"/>
      <c r="AR763" s="121"/>
      <c r="AS763" s="96"/>
      <c r="AT763" s="122"/>
      <c r="AU763" s="123"/>
      <c r="AV763" s="122"/>
      <c r="AW763" s="122"/>
      <c r="AX763" s="30"/>
      <c r="AY763" s="30"/>
      <c r="AZ763" s="30"/>
      <c r="BA763" s="30"/>
      <c r="BB763" s="26"/>
      <c r="BC763" s="26"/>
      <c r="BD763" s="26"/>
      <c r="BE763" s="26"/>
      <c r="BF763" s="26"/>
    </row>
    <row r="764" spans="1:58" ht="15.75" customHeight="1">
      <c r="A764" s="67"/>
      <c r="B764" s="67"/>
      <c r="C764" s="67"/>
      <c r="D764" s="68"/>
      <c r="E764" s="68"/>
      <c r="F764" s="68"/>
      <c r="G764" s="68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30"/>
      <c r="AO764" s="25"/>
      <c r="AP764" s="120"/>
      <c r="AQ764" s="120"/>
      <c r="AR764" s="121"/>
      <c r="AS764" s="96"/>
      <c r="AT764" s="122"/>
      <c r="AU764" s="123"/>
      <c r="AV764" s="122"/>
      <c r="AW764" s="122"/>
      <c r="AX764" s="30"/>
      <c r="AY764" s="30"/>
      <c r="AZ764" s="30"/>
      <c r="BA764" s="30"/>
      <c r="BB764" s="26"/>
      <c r="BC764" s="26"/>
      <c r="BD764" s="26"/>
      <c r="BE764" s="26"/>
      <c r="BF764" s="26"/>
    </row>
    <row r="765" spans="1:58" ht="15.75" customHeight="1">
      <c r="A765" s="67"/>
      <c r="B765" s="67"/>
      <c r="C765" s="67"/>
      <c r="D765" s="68"/>
      <c r="E765" s="68"/>
      <c r="F765" s="68"/>
      <c r="G765" s="68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30"/>
      <c r="AO765" s="25"/>
      <c r="AP765" s="120"/>
      <c r="AQ765" s="120"/>
      <c r="AR765" s="121"/>
      <c r="AS765" s="96"/>
      <c r="AT765" s="122"/>
      <c r="AU765" s="123"/>
      <c r="AV765" s="122"/>
      <c r="AW765" s="122"/>
      <c r="AX765" s="30"/>
      <c r="AY765" s="30"/>
      <c r="AZ765" s="30"/>
      <c r="BA765" s="30"/>
      <c r="BB765" s="26"/>
      <c r="BC765" s="26"/>
      <c r="BD765" s="26"/>
      <c r="BE765" s="26"/>
      <c r="BF765" s="26"/>
    </row>
    <row r="766" spans="1:58" ht="15.75" customHeight="1">
      <c r="A766" s="67"/>
      <c r="B766" s="67"/>
      <c r="C766" s="67"/>
      <c r="D766" s="68"/>
      <c r="E766" s="68"/>
      <c r="F766" s="68"/>
      <c r="G766" s="68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30"/>
      <c r="AO766" s="25"/>
      <c r="AP766" s="120"/>
      <c r="AQ766" s="120"/>
      <c r="AR766" s="121"/>
      <c r="AS766" s="96"/>
      <c r="AT766" s="122"/>
      <c r="AU766" s="123"/>
      <c r="AV766" s="122"/>
      <c r="AW766" s="122"/>
      <c r="AX766" s="30"/>
      <c r="AY766" s="30"/>
      <c r="AZ766" s="30"/>
      <c r="BA766" s="30"/>
      <c r="BB766" s="26"/>
      <c r="BC766" s="26"/>
      <c r="BD766" s="26"/>
      <c r="BE766" s="26"/>
      <c r="BF766" s="26"/>
    </row>
    <row r="767" spans="1:58" ht="15.75" customHeight="1">
      <c r="A767" s="67"/>
      <c r="B767" s="67"/>
      <c r="C767" s="67"/>
      <c r="D767" s="68"/>
      <c r="E767" s="68"/>
      <c r="F767" s="68"/>
      <c r="G767" s="68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30"/>
      <c r="AO767" s="25"/>
      <c r="AP767" s="120"/>
      <c r="AQ767" s="120"/>
      <c r="AR767" s="121"/>
      <c r="AS767" s="96"/>
      <c r="AT767" s="122"/>
      <c r="AU767" s="123"/>
      <c r="AV767" s="122"/>
      <c r="AW767" s="122"/>
      <c r="AX767" s="30"/>
      <c r="AY767" s="30"/>
      <c r="AZ767" s="30"/>
      <c r="BA767" s="30"/>
      <c r="BB767" s="26"/>
      <c r="BC767" s="26"/>
      <c r="BD767" s="26"/>
      <c r="BE767" s="26"/>
      <c r="BF767" s="26"/>
    </row>
    <row r="768" spans="1:58" ht="15.75" customHeight="1">
      <c r="A768" s="67"/>
      <c r="B768" s="67"/>
      <c r="C768" s="67"/>
      <c r="D768" s="68"/>
      <c r="E768" s="68"/>
      <c r="F768" s="68"/>
      <c r="G768" s="68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30"/>
      <c r="AO768" s="25"/>
      <c r="AP768" s="120"/>
      <c r="AQ768" s="120"/>
      <c r="AR768" s="121"/>
      <c r="AS768" s="96"/>
      <c r="AT768" s="122"/>
      <c r="AU768" s="123"/>
      <c r="AV768" s="122"/>
      <c r="AW768" s="122"/>
      <c r="AX768" s="30"/>
      <c r="AY768" s="30"/>
      <c r="AZ768" s="30"/>
      <c r="BA768" s="30"/>
      <c r="BB768" s="26"/>
      <c r="BC768" s="26"/>
      <c r="BD768" s="26"/>
      <c r="BE768" s="26"/>
      <c r="BF768" s="26"/>
    </row>
    <row r="769" spans="1:58" ht="15.75" customHeight="1">
      <c r="A769" s="67"/>
      <c r="B769" s="67"/>
      <c r="C769" s="67"/>
      <c r="D769" s="68"/>
      <c r="E769" s="68"/>
      <c r="F769" s="68"/>
      <c r="G769" s="68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30"/>
      <c r="AO769" s="25"/>
      <c r="AP769" s="120"/>
      <c r="AQ769" s="120"/>
      <c r="AR769" s="121"/>
      <c r="AS769" s="96"/>
      <c r="AT769" s="122"/>
      <c r="AU769" s="123"/>
      <c r="AV769" s="122"/>
      <c r="AW769" s="122"/>
      <c r="AX769" s="30"/>
      <c r="AY769" s="30"/>
      <c r="AZ769" s="30"/>
      <c r="BA769" s="30"/>
      <c r="BB769" s="26"/>
      <c r="BC769" s="26"/>
      <c r="BD769" s="26"/>
      <c r="BE769" s="26"/>
      <c r="BF769" s="26"/>
    </row>
    <row r="770" spans="1:58" ht="15.75" customHeight="1">
      <c r="A770" s="67"/>
      <c r="B770" s="67"/>
      <c r="C770" s="67"/>
      <c r="D770" s="68"/>
      <c r="E770" s="68"/>
      <c r="F770" s="68"/>
      <c r="G770" s="68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30"/>
      <c r="AO770" s="25"/>
      <c r="AP770" s="120"/>
      <c r="AQ770" s="120"/>
      <c r="AR770" s="121"/>
      <c r="AS770" s="96"/>
      <c r="AT770" s="122"/>
      <c r="AU770" s="123"/>
      <c r="AV770" s="122"/>
      <c r="AW770" s="122"/>
      <c r="AX770" s="30"/>
      <c r="AY770" s="30"/>
      <c r="AZ770" s="30"/>
      <c r="BA770" s="30"/>
      <c r="BB770" s="26"/>
      <c r="BC770" s="26"/>
      <c r="BD770" s="26"/>
      <c r="BE770" s="26"/>
      <c r="BF770" s="26"/>
    </row>
    <row r="771" spans="1:58" ht="15.75" customHeight="1">
      <c r="A771" s="67"/>
      <c r="B771" s="67"/>
      <c r="C771" s="67"/>
      <c r="D771" s="68"/>
      <c r="E771" s="68"/>
      <c r="F771" s="68"/>
      <c r="G771" s="68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30"/>
      <c r="AO771" s="25"/>
      <c r="AP771" s="120"/>
      <c r="AQ771" s="120"/>
      <c r="AR771" s="121"/>
      <c r="AS771" s="96"/>
      <c r="AT771" s="122"/>
      <c r="AU771" s="123"/>
      <c r="AV771" s="122"/>
      <c r="AW771" s="122"/>
      <c r="AX771" s="30"/>
      <c r="AY771" s="30"/>
      <c r="AZ771" s="30"/>
      <c r="BA771" s="30"/>
      <c r="BB771" s="26"/>
      <c r="BC771" s="26"/>
      <c r="BD771" s="26"/>
      <c r="BE771" s="26"/>
      <c r="BF771" s="26"/>
    </row>
    <row r="772" spans="1:58" ht="15.75" customHeight="1">
      <c r="A772" s="67"/>
      <c r="B772" s="67"/>
      <c r="C772" s="67"/>
      <c r="D772" s="68"/>
      <c r="E772" s="68"/>
      <c r="F772" s="68"/>
      <c r="G772" s="68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30"/>
      <c r="AO772" s="25"/>
      <c r="AP772" s="120"/>
      <c r="AQ772" s="120"/>
      <c r="AR772" s="121"/>
      <c r="AS772" s="96"/>
      <c r="AT772" s="122"/>
      <c r="AU772" s="123"/>
      <c r="AV772" s="122"/>
      <c r="AW772" s="122"/>
      <c r="AX772" s="30"/>
      <c r="AY772" s="30"/>
      <c r="AZ772" s="30"/>
      <c r="BA772" s="30"/>
      <c r="BB772" s="26"/>
      <c r="BC772" s="26"/>
      <c r="BD772" s="26"/>
      <c r="BE772" s="26"/>
      <c r="BF772" s="26"/>
    </row>
    <row r="773" spans="1:58" ht="15.75" customHeight="1">
      <c r="A773" s="67"/>
      <c r="B773" s="67"/>
      <c r="C773" s="67"/>
      <c r="D773" s="68"/>
      <c r="E773" s="68"/>
      <c r="F773" s="68"/>
      <c r="G773" s="68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30"/>
      <c r="AO773" s="25"/>
      <c r="AP773" s="120"/>
      <c r="AQ773" s="120"/>
      <c r="AR773" s="121"/>
      <c r="AS773" s="96"/>
      <c r="AT773" s="122"/>
      <c r="AU773" s="123"/>
      <c r="AV773" s="122"/>
      <c r="AW773" s="122"/>
      <c r="AX773" s="30"/>
      <c r="AY773" s="30"/>
      <c r="AZ773" s="30"/>
      <c r="BA773" s="30"/>
      <c r="BB773" s="26"/>
      <c r="BC773" s="26"/>
      <c r="BD773" s="26"/>
      <c r="BE773" s="26"/>
      <c r="BF773" s="26"/>
    </row>
    <row r="774" spans="1:58" ht="15.75" customHeight="1">
      <c r="A774" s="67"/>
      <c r="B774" s="67"/>
      <c r="C774" s="67"/>
      <c r="D774" s="68"/>
      <c r="E774" s="68"/>
      <c r="F774" s="68"/>
      <c r="G774" s="68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30"/>
      <c r="AO774" s="25"/>
      <c r="AP774" s="120"/>
      <c r="AQ774" s="120"/>
      <c r="AR774" s="121"/>
      <c r="AS774" s="96"/>
      <c r="AT774" s="122"/>
      <c r="AU774" s="123"/>
      <c r="AV774" s="122"/>
      <c r="AW774" s="122"/>
      <c r="AX774" s="30"/>
      <c r="AY774" s="30"/>
      <c r="AZ774" s="30"/>
      <c r="BA774" s="30"/>
      <c r="BB774" s="26"/>
      <c r="BC774" s="26"/>
      <c r="BD774" s="26"/>
      <c r="BE774" s="26"/>
      <c r="BF774" s="26"/>
    </row>
    <row r="775" spans="1:58" ht="15.75" customHeight="1">
      <c r="A775" s="67"/>
      <c r="B775" s="67"/>
      <c r="C775" s="67"/>
      <c r="D775" s="68"/>
      <c r="E775" s="68"/>
      <c r="F775" s="68"/>
      <c r="G775" s="68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30"/>
      <c r="AO775" s="25"/>
      <c r="AP775" s="120"/>
      <c r="AQ775" s="120"/>
      <c r="AR775" s="121"/>
      <c r="AS775" s="96"/>
      <c r="AT775" s="122"/>
      <c r="AU775" s="123"/>
      <c r="AV775" s="122"/>
      <c r="AW775" s="122"/>
      <c r="AX775" s="30"/>
      <c r="AY775" s="30"/>
      <c r="AZ775" s="30"/>
      <c r="BA775" s="30"/>
      <c r="BB775" s="26"/>
      <c r="BC775" s="26"/>
      <c r="BD775" s="26"/>
      <c r="BE775" s="26"/>
      <c r="BF775" s="26"/>
    </row>
    <row r="776" spans="1:58" ht="15.75" customHeight="1">
      <c r="A776" s="67"/>
      <c r="B776" s="67"/>
      <c r="C776" s="67"/>
      <c r="D776" s="68"/>
      <c r="E776" s="68"/>
      <c r="F776" s="68"/>
      <c r="G776" s="68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30"/>
      <c r="AO776" s="25"/>
      <c r="AP776" s="120"/>
      <c r="AQ776" s="120"/>
      <c r="AR776" s="121"/>
      <c r="AS776" s="96"/>
      <c r="AT776" s="122"/>
      <c r="AU776" s="123"/>
      <c r="AV776" s="122"/>
      <c r="AW776" s="122"/>
      <c r="AX776" s="30"/>
      <c r="AY776" s="30"/>
      <c r="AZ776" s="30"/>
      <c r="BA776" s="30"/>
      <c r="BB776" s="26"/>
      <c r="BC776" s="26"/>
      <c r="BD776" s="26"/>
      <c r="BE776" s="26"/>
      <c r="BF776" s="26"/>
    </row>
    <row r="777" spans="1:58" ht="15.75" customHeight="1">
      <c r="A777" s="67"/>
      <c r="B777" s="67"/>
      <c r="C777" s="67"/>
      <c r="D777" s="68"/>
      <c r="E777" s="68"/>
      <c r="F777" s="68"/>
      <c r="G777" s="68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30"/>
      <c r="AO777" s="25"/>
      <c r="AP777" s="120"/>
      <c r="AQ777" s="120"/>
      <c r="AR777" s="121"/>
      <c r="AS777" s="96"/>
      <c r="AT777" s="122"/>
      <c r="AU777" s="123"/>
      <c r="AV777" s="122"/>
      <c r="AW777" s="122"/>
      <c r="AX777" s="30"/>
      <c r="AY777" s="30"/>
      <c r="AZ777" s="30"/>
      <c r="BA777" s="30"/>
      <c r="BB777" s="26"/>
      <c r="BC777" s="26"/>
      <c r="BD777" s="26"/>
      <c r="BE777" s="26"/>
      <c r="BF777" s="26"/>
    </row>
    <row r="778" spans="1:58" ht="15.75" customHeight="1">
      <c r="A778" s="67"/>
      <c r="B778" s="67"/>
      <c r="C778" s="67"/>
      <c r="D778" s="68"/>
      <c r="E778" s="68"/>
      <c r="F778" s="68"/>
      <c r="G778" s="68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30"/>
      <c r="AO778" s="25"/>
      <c r="AP778" s="120"/>
      <c r="AQ778" s="120"/>
      <c r="AR778" s="121"/>
      <c r="AS778" s="96"/>
      <c r="AT778" s="122"/>
      <c r="AU778" s="123"/>
      <c r="AV778" s="122"/>
      <c r="AW778" s="122"/>
      <c r="AX778" s="30"/>
      <c r="AY778" s="30"/>
      <c r="AZ778" s="30"/>
      <c r="BA778" s="30"/>
      <c r="BB778" s="26"/>
      <c r="BC778" s="26"/>
      <c r="BD778" s="26"/>
      <c r="BE778" s="26"/>
      <c r="BF778" s="26"/>
    </row>
    <row r="779" spans="1:58" ht="15.75" customHeight="1">
      <c r="A779" s="67"/>
      <c r="B779" s="67"/>
      <c r="C779" s="67"/>
      <c r="D779" s="68"/>
      <c r="E779" s="68"/>
      <c r="F779" s="68"/>
      <c r="G779" s="68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30"/>
      <c r="AO779" s="25"/>
      <c r="AP779" s="120"/>
      <c r="AQ779" s="120"/>
      <c r="AR779" s="121"/>
      <c r="AS779" s="96"/>
      <c r="AT779" s="122"/>
      <c r="AU779" s="123"/>
      <c r="AV779" s="122"/>
      <c r="AW779" s="122"/>
      <c r="AX779" s="30"/>
      <c r="AY779" s="30"/>
      <c r="AZ779" s="30"/>
      <c r="BA779" s="30"/>
      <c r="BB779" s="26"/>
      <c r="BC779" s="26"/>
      <c r="BD779" s="26"/>
      <c r="BE779" s="26"/>
      <c r="BF779" s="26"/>
    </row>
    <row r="780" spans="1:58" ht="15.75" customHeight="1">
      <c r="A780" s="67"/>
      <c r="B780" s="67"/>
      <c r="C780" s="67"/>
      <c r="D780" s="68"/>
      <c r="E780" s="68"/>
      <c r="F780" s="68"/>
      <c r="G780" s="68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30"/>
      <c r="AO780" s="25"/>
      <c r="AP780" s="120"/>
      <c r="AQ780" s="120"/>
      <c r="AR780" s="121"/>
      <c r="AS780" s="96"/>
      <c r="AT780" s="122"/>
      <c r="AU780" s="123"/>
      <c r="AV780" s="122"/>
      <c r="AW780" s="122"/>
      <c r="AX780" s="30"/>
      <c r="AY780" s="30"/>
      <c r="AZ780" s="30"/>
      <c r="BA780" s="30"/>
      <c r="BB780" s="26"/>
      <c r="BC780" s="26"/>
      <c r="BD780" s="26"/>
      <c r="BE780" s="26"/>
      <c r="BF780" s="26"/>
    </row>
    <row r="781" spans="1:58" ht="15.75" customHeight="1">
      <c r="A781" s="67"/>
      <c r="B781" s="67"/>
      <c r="C781" s="67"/>
      <c r="D781" s="68"/>
      <c r="E781" s="68"/>
      <c r="F781" s="68"/>
      <c r="G781" s="68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30"/>
      <c r="AO781" s="25"/>
      <c r="AP781" s="120"/>
      <c r="AQ781" s="120"/>
      <c r="AR781" s="121"/>
      <c r="AS781" s="96"/>
      <c r="AT781" s="122"/>
      <c r="AU781" s="123"/>
      <c r="AV781" s="122"/>
      <c r="AW781" s="122"/>
      <c r="AX781" s="30"/>
      <c r="AY781" s="30"/>
      <c r="AZ781" s="30"/>
      <c r="BA781" s="30"/>
      <c r="BB781" s="26"/>
      <c r="BC781" s="26"/>
      <c r="BD781" s="26"/>
      <c r="BE781" s="26"/>
      <c r="BF781" s="26"/>
    </row>
    <row r="782" spans="1:58" ht="15.75" customHeight="1">
      <c r="A782" s="67"/>
      <c r="B782" s="67"/>
      <c r="C782" s="67"/>
      <c r="D782" s="68"/>
      <c r="E782" s="68"/>
      <c r="F782" s="68"/>
      <c r="G782" s="68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30"/>
      <c r="AO782" s="25"/>
      <c r="AP782" s="120"/>
      <c r="AQ782" s="120"/>
      <c r="AR782" s="121"/>
      <c r="AS782" s="96"/>
      <c r="AT782" s="122"/>
      <c r="AU782" s="123"/>
      <c r="AV782" s="122"/>
      <c r="AW782" s="122"/>
      <c r="AX782" s="30"/>
      <c r="AY782" s="30"/>
      <c r="AZ782" s="30"/>
      <c r="BA782" s="30"/>
      <c r="BB782" s="26"/>
      <c r="BC782" s="26"/>
      <c r="BD782" s="26"/>
      <c r="BE782" s="26"/>
      <c r="BF782" s="26"/>
    </row>
    <row r="783" spans="1:58" ht="15.75" customHeight="1">
      <c r="A783" s="67"/>
      <c r="B783" s="67"/>
      <c r="C783" s="67"/>
      <c r="D783" s="68"/>
      <c r="E783" s="68"/>
      <c r="F783" s="68"/>
      <c r="G783" s="68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30"/>
      <c r="AO783" s="25"/>
      <c r="AP783" s="120"/>
      <c r="AQ783" s="120"/>
      <c r="AR783" s="121"/>
      <c r="AS783" s="96"/>
      <c r="AT783" s="122"/>
      <c r="AU783" s="123"/>
      <c r="AV783" s="122"/>
      <c r="AW783" s="122"/>
      <c r="AX783" s="30"/>
      <c r="AY783" s="30"/>
      <c r="AZ783" s="30"/>
      <c r="BA783" s="30"/>
      <c r="BB783" s="26"/>
      <c r="BC783" s="26"/>
      <c r="BD783" s="26"/>
      <c r="BE783" s="26"/>
      <c r="BF783" s="26"/>
    </row>
    <row r="784" spans="1:58" ht="15.75" customHeight="1">
      <c r="A784" s="67"/>
      <c r="B784" s="67"/>
      <c r="C784" s="67"/>
      <c r="D784" s="68"/>
      <c r="E784" s="68"/>
      <c r="F784" s="68"/>
      <c r="G784" s="68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30"/>
      <c r="AO784" s="25"/>
      <c r="AP784" s="120"/>
      <c r="AQ784" s="120"/>
      <c r="AR784" s="121"/>
      <c r="AS784" s="96"/>
      <c r="AT784" s="122"/>
      <c r="AU784" s="123"/>
      <c r="AV784" s="122"/>
      <c r="AW784" s="122"/>
      <c r="AX784" s="30"/>
      <c r="AY784" s="30"/>
      <c r="AZ784" s="30"/>
      <c r="BA784" s="30"/>
      <c r="BB784" s="26"/>
      <c r="BC784" s="26"/>
      <c r="BD784" s="26"/>
      <c r="BE784" s="26"/>
      <c r="BF784" s="26"/>
    </row>
    <row r="785" spans="1:58" ht="15.75" customHeight="1">
      <c r="A785" s="67"/>
      <c r="B785" s="67"/>
      <c r="C785" s="67"/>
      <c r="D785" s="68"/>
      <c r="E785" s="68"/>
      <c r="F785" s="68"/>
      <c r="G785" s="68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30"/>
      <c r="AO785" s="25"/>
      <c r="AP785" s="120"/>
      <c r="AQ785" s="120"/>
      <c r="AR785" s="121"/>
      <c r="AS785" s="96"/>
      <c r="AT785" s="122"/>
      <c r="AU785" s="123"/>
      <c r="AV785" s="122"/>
      <c r="AW785" s="122"/>
      <c r="AX785" s="30"/>
      <c r="AY785" s="30"/>
      <c r="AZ785" s="30"/>
      <c r="BA785" s="30"/>
      <c r="BB785" s="26"/>
      <c r="BC785" s="26"/>
      <c r="BD785" s="26"/>
      <c r="BE785" s="26"/>
      <c r="BF785" s="26"/>
    </row>
    <row r="786" spans="1:58" ht="15.75" customHeight="1">
      <c r="A786" s="67"/>
      <c r="B786" s="67"/>
      <c r="C786" s="67"/>
      <c r="D786" s="68"/>
      <c r="E786" s="68"/>
      <c r="F786" s="68"/>
      <c r="G786" s="68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30"/>
      <c r="AO786" s="25"/>
      <c r="AP786" s="120"/>
      <c r="AQ786" s="120"/>
      <c r="AR786" s="121"/>
      <c r="AS786" s="96"/>
      <c r="AT786" s="122"/>
      <c r="AU786" s="123"/>
      <c r="AV786" s="122"/>
      <c r="AW786" s="122"/>
      <c r="AX786" s="30"/>
      <c r="AY786" s="30"/>
      <c r="AZ786" s="30"/>
      <c r="BA786" s="30"/>
      <c r="BB786" s="26"/>
      <c r="BC786" s="26"/>
      <c r="BD786" s="26"/>
      <c r="BE786" s="26"/>
      <c r="BF786" s="26"/>
    </row>
    <row r="787" spans="1:58" ht="15.75" customHeight="1">
      <c r="A787" s="67"/>
      <c r="B787" s="67"/>
      <c r="C787" s="67"/>
      <c r="D787" s="68"/>
      <c r="E787" s="68"/>
      <c r="F787" s="68"/>
      <c r="G787" s="68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30"/>
      <c r="AO787" s="25"/>
      <c r="AP787" s="120"/>
      <c r="AQ787" s="120"/>
      <c r="AR787" s="121"/>
      <c r="AS787" s="96"/>
      <c r="AT787" s="122"/>
      <c r="AU787" s="123"/>
      <c r="AV787" s="122"/>
      <c r="AW787" s="122"/>
      <c r="AX787" s="30"/>
      <c r="AY787" s="30"/>
      <c r="AZ787" s="30"/>
      <c r="BA787" s="30"/>
      <c r="BB787" s="26"/>
      <c r="BC787" s="26"/>
      <c r="BD787" s="26"/>
      <c r="BE787" s="26"/>
      <c r="BF787" s="26"/>
    </row>
    <row r="788" spans="1:58" ht="15.75" customHeight="1">
      <c r="A788" s="67"/>
      <c r="B788" s="67"/>
      <c r="C788" s="67"/>
      <c r="D788" s="68"/>
      <c r="E788" s="68"/>
      <c r="F788" s="68"/>
      <c r="G788" s="68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30"/>
      <c r="AO788" s="25"/>
      <c r="AP788" s="120"/>
      <c r="AQ788" s="120"/>
      <c r="AR788" s="121"/>
      <c r="AS788" s="96"/>
      <c r="AT788" s="122"/>
      <c r="AU788" s="123"/>
      <c r="AV788" s="122"/>
      <c r="AW788" s="122"/>
      <c r="AX788" s="30"/>
      <c r="AY788" s="30"/>
      <c r="AZ788" s="30"/>
      <c r="BA788" s="30"/>
      <c r="BB788" s="26"/>
      <c r="BC788" s="26"/>
      <c r="BD788" s="26"/>
      <c r="BE788" s="26"/>
      <c r="BF788" s="26"/>
    </row>
    <row r="789" spans="1:58" ht="15.75" customHeight="1">
      <c r="A789" s="67"/>
      <c r="B789" s="67"/>
      <c r="C789" s="67"/>
      <c r="D789" s="68"/>
      <c r="E789" s="68"/>
      <c r="F789" s="68"/>
      <c r="G789" s="68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30"/>
      <c r="AO789" s="25"/>
      <c r="AP789" s="120"/>
      <c r="AQ789" s="120"/>
      <c r="AR789" s="121"/>
      <c r="AS789" s="96"/>
      <c r="AT789" s="122"/>
      <c r="AU789" s="123"/>
      <c r="AV789" s="122"/>
      <c r="AW789" s="122"/>
      <c r="AX789" s="30"/>
      <c r="AY789" s="30"/>
      <c r="AZ789" s="30"/>
      <c r="BA789" s="30"/>
      <c r="BB789" s="26"/>
      <c r="BC789" s="26"/>
      <c r="BD789" s="26"/>
      <c r="BE789" s="26"/>
      <c r="BF789" s="26"/>
    </row>
    <row r="790" spans="1:58" ht="15.75" customHeight="1">
      <c r="A790" s="67"/>
      <c r="B790" s="67"/>
      <c r="C790" s="67"/>
      <c r="D790" s="68"/>
      <c r="E790" s="68"/>
      <c r="F790" s="68"/>
      <c r="G790" s="68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30"/>
      <c r="AO790" s="25"/>
      <c r="AP790" s="120"/>
      <c r="AQ790" s="120"/>
      <c r="AR790" s="121"/>
      <c r="AS790" s="96"/>
      <c r="AT790" s="122"/>
      <c r="AU790" s="123"/>
      <c r="AV790" s="122"/>
      <c r="AW790" s="122"/>
      <c r="AX790" s="30"/>
      <c r="AY790" s="30"/>
      <c r="AZ790" s="30"/>
      <c r="BA790" s="30"/>
      <c r="BB790" s="26"/>
      <c r="BC790" s="26"/>
      <c r="BD790" s="26"/>
      <c r="BE790" s="26"/>
      <c r="BF790" s="26"/>
    </row>
    <row r="791" spans="1:58" ht="15.75" customHeight="1">
      <c r="A791" s="67"/>
      <c r="B791" s="67"/>
      <c r="C791" s="67"/>
      <c r="D791" s="68"/>
      <c r="E791" s="68"/>
      <c r="F791" s="68"/>
      <c r="G791" s="68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30"/>
      <c r="AO791" s="25"/>
      <c r="AP791" s="120"/>
      <c r="AQ791" s="120"/>
      <c r="AR791" s="121"/>
      <c r="AS791" s="96"/>
      <c r="AT791" s="122"/>
      <c r="AU791" s="123"/>
      <c r="AV791" s="122"/>
      <c r="AW791" s="122"/>
      <c r="AX791" s="30"/>
      <c r="AY791" s="30"/>
      <c r="AZ791" s="30"/>
      <c r="BA791" s="30"/>
      <c r="BB791" s="26"/>
      <c r="BC791" s="26"/>
      <c r="BD791" s="26"/>
      <c r="BE791" s="26"/>
      <c r="BF791" s="26"/>
    </row>
    <row r="792" spans="1:58" ht="15.75" customHeight="1">
      <c r="A792" s="67"/>
      <c r="B792" s="67"/>
      <c r="C792" s="67"/>
      <c r="D792" s="68"/>
      <c r="E792" s="68"/>
      <c r="F792" s="68"/>
      <c r="G792" s="68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30"/>
      <c r="AO792" s="25"/>
      <c r="AP792" s="120"/>
      <c r="AQ792" s="120"/>
      <c r="AR792" s="121"/>
      <c r="AS792" s="96"/>
      <c r="AT792" s="122"/>
      <c r="AU792" s="123"/>
      <c r="AV792" s="122"/>
      <c r="AW792" s="122"/>
      <c r="AX792" s="30"/>
      <c r="AY792" s="30"/>
      <c r="AZ792" s="30"/>
      <c r="BA792" s="30"/>
      <c r="BB792" s="26"/>
      <c r="BC792" s="26"/>
      <c r="BD792" s="26"/>
      <c r="BE792" s="26"/>
      <c r="BF792" s="26"/>
    </row>
    <row r="793" spans="1:58" ht="15.75" customHeight="1">
      <c r="A793" s="67"/>
      <c r="B793" s="67"/>
      <c r="C793" s="67"/>
      <c r="D793" s="68"/>
      <c r="E793" s="68"/>
      <c r="F793" s="68"/>
      <c r="G793" s="68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30"/>
      <c r="AO793" s="25"/>
      <c r="AP793" s="120"/>
      <c r="AQ793" s="120"/>
      <c r="AR793" s="121"/>
      <c r="AS793" s="96"/>
      <c r="AT793" s="122"/>
      <c r="AU793" s="123"/>
      <c r="AV793" s="122"/>
      <c r="AW793" s="122"/>
      <c r="AX793" s="30"/>
      <c r="AY793" s="30"/>
      <c r="AZ793" s="30"/>
      <c r="BA793" s="30"/>
      <c r="BB793" s="26"/>
      <c r="BC793" s="26"/>
      <c r="BD793" s="26"/>
      <c r="BE793" s="26"/>
      <c r="BF793" s="26"/>
    </row>
    <row r="794" spans="1:58" ht="15.75" customHeight="1">
      <c r="A794" s="67"/>
      <c r="B794" s="67"/>
      <c r="C794" s="67"/>
      <c r="D794" s="68"/>
      <c r="E794" s="68"/>
      <c r="F794" s="68"/>
      <c r="G794" s="68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30"/>
      <c r="AO794" s="25"/>
      <c r="AP794" s="120"/>
      <c r="AQ794" s="120"/>
      <c r="AR794" s="121"/>
      <c r="AS794" s="96"/>
      <c r="AT794" s="122"/>
      <c r="AU794" s="123"/>
      <c r="AV794" s="122"/>
      <c r="AW794" s="122"/>
      <c r="AX794" s="30"/>
      <c r="AY794" s="30"/>
      <c r="AZ794" s="30"/>
      <c r="BA794" s="30"/>
      <c r="BB794" s="26"/>
      <c r="BC794" s="26"/>
      <c r="BD794" s="26"/>
      <c r="BE794" s="26"/>
      <c r="BF794" s="26"/>
    </row>
    <row r="795" spans="1:58" ht="15.75" customHeight="1">
      <c r="A795" s="67"/>
      <c r="B795" s="67"/>
      <c r="C795" s="67"/>
      <c r="D795" s="68"/>
      <c r="E795" s="68"/>
      <c r="F795" s="68"/>
      <c r="G795" s="68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30"/>
      <c r="AO795" s="25"/>
      <c r="AP795" s="120"/>
      <c r="AQ795" s="120"/>
      <c r="AR795" s="121"/>
      <c r="AS795" s="96"/>
      <c r="AT795" s="122"/>
      <c r="AU795" s="123"/>
      <c r="AV795" s="122"/>
      <c r="AW795" s="122"/>
      <c r="AX795" s="30"/>
      <c r="AY795" s="30"/>
      <c r="AZ795" s="30"/>
      <c r="BA795" s="30"/>
      <c r="BB795" s="26"/>
      <c r="BC795" s="26"/>
      <c r="BD795" s="26"/>
      <c r="BE795" s="26"/>
      <c r="BF795" s="26"/>
    </row>
    <row r="796" spans="1:58" ht="15.75" customHeight="1">
      <c r="A796" s="67"/>
      <c r="B796" s="67"/>
      <c r="C796" s="67"/>
      <c r="D796" s="68"/>
      <c r="E796" s="68"/>
      <c r="F796" s="68"/>
      <c r="G796" s="68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30"/>
      <c r="AO796" s="25"/>
      <c r="AP796" s="120"/>
      <c r="AQ796" s="120"/>
      <c r="AR796" s="121"/>
      <c r="AS796" s="96"/>
      <c r="AT796" s="122"/>
      <c r="AU796" s="123"/>
      <c r="AV796" s="122"/>
      <c r="AW796" s="122"/>
      <c r="AX796" s="30"/>
      <c r="AY796" s="30"/>
      <c r="AZ796" s="30"/>
      <c r="BA796" s="30"/>
      <c r="BB796" s="26"/>
      <c r="BC796" s="26"/>
      <c r="BD796" s="26"/>
      <c r="BE796" s="26"/>
      <c r="BF796" s="26"/>
    </row>
    <row r="797" spans="1:58" ht="15.75" customHeight="1">
      <c r="A797" s="67"/>
      <c r="B797" s="67"/>
      <c r="C797" s="67"/>
      <c r="D797" s="68"/>
      <c r="E797" s="68"/>
      <c r="F797" s="68"/>
      <c r="G797" s="68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30"/>
      <c r="AO797" s="25"/>
      <c r="AP797" s="120"/>
      <c r="AQ797" s="120"/>
      <c r="AR797" s="121"/>
      <c r="AS797" s="96"/>
      <c r="AT797" s="122"/>
      <c r="AU797" s="123"/>
      <c r="AV797" s="122"/>
      <c r="AW797" s="122"/>
      <c r="AX797" s="30"/>
      <c r="AY797" s="30"/>
      <c r="AZ797" s="30"/>
      <c r="BA797" s="30"/>
      <c r="BB797" s="26"/>
      <c r="BC797" s="26"/>
      <c r="BD797" s="26"/>
      <c r="BE797" s="26"/>
      <c r="BF797" s="26"/>
    </row>
    <row r="798" spans="1:58" ht="15.75" customHeight="1">
      <c r="A798" s="67"/>
      <c r="B798" s="67"/>
      <c r="C798" s="67"/>
      <c r="D798" s="68"/>
      <c r="E798" s="68"/>
      <c r="F798" s="68"/>
      <c r="G798" s="68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30"/>
      <c r="AO798" s="25"/>
      <c r="AP798" s="120"/>
      <c r="AQ798" s="120"/>
      <c r="AR798" s="121"/>
      <c r="AS798" s="96"/>
      <c r="AT798" s="122"/>
      <c r="AU798" s="123"/>
      <c r="AV798" s="122"/>
      <c r="AW798" s="122"/>
      <c r="AX798" s="30"/>
      <c r="AY798" s="30"/>
      <c r="AZ798" s="30"/>
      <c r="BA798" s="30"/>
      <c r="BB798" s="26"/>
      <c r="BC798" s="26"/>
      <c r="BD798" s="26"/>
      <c r="BE798" s="26"/>
      <c r="BF798" s="26"/>
    </row>
    <row r="799" spans="1:58" ht="15.75" customHeight="1">
      <c r="A799" s="67"/>
      <c r="B799" s="67"/>
      <c r="C799" s="67"/>
      <c r="D799" s="68"/>
      <c r="E799" s="68"/>
      <c r="F799" s="68"/>
      <c r="G799" s="68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30"/>
      <c r="AO799" s="25"/>
      <c r="AP799" s="120"/>
      <c r="AQ799" s="120"/>
      <c r="AR799" s="121"/>
      <c r="AS799" s="96"/>
      <c r="AT799" s="122"/>
      <c r="AU799" s="123"/>
      <c r="AV799" s="122"/>
      <c r="AW799" s="122"/>
      <c r="AX799" s="30"/>
      <c r="AY799" s="30"/>
      <c r="AZ799" s="30"/>
      <c r="BA799" s="30"/>
      <c r="BB799" s="26"/>
      <c r="BC799" s="26"/>
      <c r="BD799" s="26"/>
      <c r="BE799" s="26"/>
      <c r="BF799" s="26"/>
    </row>
    <row r="800" spans="1:58" ht="15.75" customHeight="1">
      <c r="A800" s="67"/>
      <c r="B800" s="67"/>
      <c r="C800" s="67"/>
      <c r="D800" s="68"/>
      <c r="E800" s="68"/>
      <c r="F800" s="68"/>
      <c r="G800" s="68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30"/>
      <c r="AO800" s="25"/>
      <c r="AP800" s="120"/>
      <c r="AQ800" s="120"/>
      <c r="AR800" s="121"/>
      <c r="AS800" s="96"/>
      <c r="AT800" s="122"/>
      <c r="AU800" s="123"/>
      <c r="AV800" s="122"/>
      <c r="AW800" s="122"/>
      <c r="AX800" s="30"/>
      <c r="AY800" s="30"/>
      <c r="AZ800" s="30"/>
      <c r="BA800" s="30"/>
      <c r="BB800" s="26"/>
      <c r="BC800" s="26"/>
      <c r="BD800" s="26"/>
      <c r="BE800" s="26"/>
      <c r="BF800" s="26"/>
    </row>
    <row r="801" spans="1:58" ht="15.75" customHeight="1">
      <c r="A801" s="67"/>
      <c r="B801" s="67"/>
      <c r="C801" s="67"/>
      <c r="D801" s="68"/>
      <c r="E801" s="68"/>
      <c r="F801" s="68"/>
      <c r="G801" s="68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30"/>
      <c r="AO801" s="25"/>
      <c r="AP801" s="120"/>
      <c r="AQ801" s="120"/>
      <c r="AR801" s="121"/>
      <c r="AS801" s="96"/>
      <c r="AT801" s="122"/>
      <c r="AU801" s="123"/>
      <c r="AV801" s="122"/>
      <c r="AW801" s="122"/>
      <c r="AX801" s="30"/>
      <c r="AY801" s="30"/>
      <c r="AZ801" s="30"/>
      <c r="BA801" s="30"/>
      <c r="BB801" s="26"/>
      <c r="BC801" s="26"/>
      <c r="BD801" s="26"/>
      <c r="BE801" s="26"/>
      <c r="BF801" s="26"/>
    </row>
    <row r="802" spans="1:58" ht="15.75" customHeight="1">
      <c r="A802" s="67"/>
      <c r="B802" s="67"/>
      <c r="C802" s="67"/>
      <c r="D802" s="68"/>
      <c r="E802" s="68"/>
      <c r="F802" s="68"/>
      <c r="G802" s="68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30"/>
      <c r="AO802" s="25"/>
      <c r="AP802" s="120"/>
      <c r="AQ802" s="120"/>
      <c r="AR802" s="121"/>
      <c r="AS802" s="96"/>
      <c r="AT802" s="122"/>
      <c r="AU802" s="123"/>
      <c r="AV802" s="122"/>
      <c r="AW802" s="122"/>
      <c r="AX802" s="30"/>
      <c r="AY802" s="30"/>
      <c r="AZ802" s="30"/>
      <c r="BA802" s="30"/>
      <c r="BB802" s="26"/>
      <c r="BC802" s="26"/>
      <c r="BD802" s="26"/>
      <c r="BE802" s="26"/>
      <c r="BF802" s="26"/>
    </row>
    <row r="803" spans="1:58" ht="15.75" customHeight="1">
      <c r="A803" s="67"/>
      <c r="B803" s="67"/>
      <c r="C803" s="67"/>
      <c r="D803" s="68"/>
      <c r="E803" s="68"/>
      <c r="F803" s="68"/>
      <c r="G803" s="68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30"/>
      <c r="AO803" s="25"/>
      <c r="AP803" s="120"/>
      <c r="AQ803" s="120"/>
      <c r="AR803" s="121"/>
      <c r="AS803" s="96"/>
      <c r="AT803" s="122"/>
      <c r="AU803" s="123"/>
      <c r="AV803" s="122"/>
      <c r="AW803" s="122"/>
      <c r="AX803" s="30"/>
      <c r="AY803" s="30"/>
      <c r="AZ803" s="30"/>
      <c r="BA803" s="30"/>
      <c r="BB803" s="26"/>
      <c r="BC803" s="26"/>
      <c r="BD803" s="26"/>
      <c r="BE803" s="26"/>
      <c r="BF803" s="26"/>
    </row>
    <row r="804" spans="1:58" ht="15.75" customHeight="1">
      <c r="A804" s="67"/>
      <c r="B804" s="67"/>
      <c r="C804" s="67"/>
      <c r="D804" s="68"/>
      <c r="E804" s="68"/>
      <c r="F804" s="68"/>
      <c r="G804" s="68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30"/>
      <c r="AO804" s="25"/>
      <c r="AP804" s="120"/>
      <c r="AQ804" s="120"/>
      <c r="AR804" s="121"/>
      <c r="AS804" s="96"/>
      <c r="AT804" s="122"/>
      <c r="AU804" s="123"/>
      <c r="AV804" s="122"/>
      <c r="AW804" s="122"/>
      <c r="AX804" s="30"/>
      <c r="AY804" s="30"/>
      <c r="AZ804" s="30"/>
      <c r="BA804" s="30"/>
      <c r="BB804" s="26"/>
      <c r="BC804" s="26"/>
      <c r="BD804" s="26"/>
      <c r="BE804" s="26"/>
      <c r="BF804" s="26"/>
    </row>
    <row r="805" spans="1:58" ht="15.75" customHeight="1">
      <c r="A805" s="67"/>
      <c r="B805" s="67"/>
      <c r="C805" s="67"/>
      <c r="D805" s="68"/>
      <c r="E805" s="68"/>
      <c r="F805" s="68"/>
      <c r="G805" s="68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30"/>
      <c r="AO805" s="25"/>
      <c r="AP805" s="120"/>
      <c r="AQ805" s="120"/>
      <c r="AR805" s="121"/>
      <c r="AS805" s="96"/>
      <c r="AT805" s="122"/>
      <c r="AU805" s="123"/>
      <c r="AV805" s="122"/>
      <c r="AW805" s="122"/>
      <c r="AX805" s="30"/>
      <c r="AY805" s="30"/>
      <c r="AZ805" s="30"/>
      <c r="BA805" s="30"/>
      <c r="BB805" s="26"/>
      <c r="BC805" s="26"/>
      <c r="BD805" s="26"/>
      <c r="BE805" s="26"/>
      <c r="BF805" s="26"/>
    </row>
    <row r="806" spans="1:58" ht="15.75" customHeight="1">
      <c r="A806" s="67"/>
      <c r="B806" s="67"/>
      <c r="C806" s="67"/>
      <c r="D806" s="68"/>
      <c r="E806" s="68"/>
      <c r="F806" s="68"/>
      <c r="G806" s="68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30"/>
      <c r="AO806" s="25"/>
      <c r="AP806" s="120"/>
      <c r="AQ806" s="120"/>
      <c r="AR806" s="121"/>
      <c r="AS806" s="96"/>
      <c r="AT806" s="122"/>
      <c r="AU806" s="123"/>
      <c r="AV806" s="122"/>
      <c r="AW806" s="122"/>
      <c r="AX806" s="30"/>
      <c r="AY806" s="30"/>
      <c r="AZ806" s="30"/>
      <c r="BA806" s="30"/>
      <c r="BB806" s="26"/>
      <c r="BC806" s="26"/>
      <c r="BD806" s="26"/>
      <c r="BE806" s="26"/>
      <c r="BF806" s="26"/>
    </row>
    <row r="807" spans="1:58" ht="15.75" customHeight="1">
      <c r="A807" s="67"/>
      <c r="B807" s="67"/>
      <c r="C807" s="67"/>
      <c r="D807" s="68"/>
      <c r="E807" s="68"/>
      <c r="F807" s="68"/>
      <c r="G807" s="68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30"/>
      <c r="AO807" s="25"/>
      <c r="AP807" s="120"/>
      <c r="AQ807" s="120"/>
      <c r="AR807" s="121"/>
      <c r="AS807" s="96"/>
      <c r="AT807" s="122"/>
      <c r="AU807" s="123"/>
      <c r="AV807" s="122"/>
      <c r="AW807" s="122"/>
      <c r="AX807" s="30"/>
      <c r="AY807" s="30"/>
      <c r="AZ807" s="30"/>
      <c r="BA807" s="30"/>
      <c r="BB807" s="26"/>
      <c r="BC807" s="26"/>
      <c r="BD807" s="26"/>
      <c r="BE807" s="26"/>
      <c r="BF807" s="26"/>
    </row>
    <row r="808" spans="1:58" ht="15.75" customHeight="1">
      <c r="A808" s="67"/>
      <c r="B808" s="67"/>
      <c r="C808" s="67"/>
      <c r="D808" s="68"/>
      <c r="E808" s="68"/>
      <c r="F808" s="68"/>
      <c r="G808" s="68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30"/>
      <c r="AO808" s="25"/>
      <c r="AP808" s="120"/>
      <c r="AQ808" s="120"/>
      <c r="AR808" s="121"/>
      <c r="AS808" s="96"/>
      <c r="AT808" s="122"/>
      <c r="AU808" s="123"/>
      <c r="AV808" s="122"/>
      <c r="AW808" s="122"/>
      <c r="AX808" s="30"/>
      <c r="AY808" s="30"/>
      <c r="AZ808" s="30"/>
      <c r="BA808" s="30"/>
      <c r="BB808" s="26"/>
      <c r="BC808" s="26"/>
      <c r="BD808" s="26"/>
      <c r="BE808" s="26"/>
      <c r="BF808" s="26"/>
    </row>
    <row r="809" spans="1:58" ht="15.75" customHeight="1">
      <c r="A809" s="67"/>
      <c r="B809" s="67"/>
      <c r="C809" s="67"/>
      <c r="D809" s="68"/>
      <c r="E809" s="68"/>
      <c r="F809" s="68"/>
      <c r="G809" s="68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30"/>
      <c r="AO809" s="25"/>
      <c r="AP809" s="120"/>
      <c r="AQ809" s="120"/>
      <c r="AR809" s="121"/>
      <c r="AS809" s="96"/>
      <c r="AT809" s="122"/>
      <c r="AU809" s="123"/>
      <c r="AV809" s="122"/>
      <c r="AW809" s="122"/>
      <c r="AX809" s="30"/>
      <c r="AY809" s="30"/>
      <c r="AZ809" s="30"/>
      <c r="BA809" s="30"/>
      <c r="BB809" s="26"/>
      <c r="BC809" s="26"/>
      <c r="BD809" s="26"/>
      <c r="BE809" s="26"/>
      <c r="BF809" s="26"/>
    </row>
    <row r="810" spans="1:58" ht="15.75" customHeight="1">
      <c r="A810" s="67"/>
      <c r="B810" s="67"/>
      <c r="C810" s="67"/>
      <c r="D810" s="68"/>
      <c r="E810" s="68"/>
      <c r="F810" s="68"/>
      <c r="G810" s="68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30"/>
      <c r="AO810" s="25"/>
      <c r="AP810" s="120"/>
      <c r="AQ810" s="120"/>
      <c r="AR810" s="121"/>
      <c r="AS810" s="96"/>
      <c r="AT810" s="122"/>
      <c r="AU810" s="123"/>
      <c r="AV810" s="122"/>
      <c r="AW810" s="122"/>
      <c r="AX810" s="30"/>
      <c r="AY810" s="30"/>
      <c r="AZ810" s="30"/>
      <c r="BA810" s="30"/>
      <c r="BB810" s="26"/>
      <c r="BC810" s="26"/>
      <c r="BD810" s="26"/>
      <c r="BE810" s="26"/>
      <c r="BF810" s="26"/>
    </row>
    <row r="811" spans="1:58" ht="15.75" customHeight="1">
      <c r="A811" s="67"/>
      <c r="B811" s="67"/>
      <c r="C811" s="67"/>
      <c r="D811" s="68"/>
      <c r="E811" s="68"/>
      <c r="F811" s="68"/>
      <c r="G811" s="68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30"/>
      <c r="AO811" s="25"/>
      <c r="AP811" s="120"/>
      <c r="AQ811" s="120"/>
      <c r="AR811" s="121"/>
      <c r="AS811" s="96"/>
      <c r="AT811" s="122"/>
      <c r="AU811" s="123"/>
      <c r="AV811" s="122"/>
      <c r="AW811" s="122"/>
      <c r="AX811" s="30"/>
      <c r="AY811" s="30"/>
      <c r="AZ811" s="30"/>
      <c r="BA811" s="30"/>
      <c r="BB811" s="26"/>
      <c r="BC811" s="26"/>
      <c r="BD811" s="26"/>
      <c r="BE811" s="26"/>
      <c r="BF811" s="26"/>
    </row>
    <row r="812" spans="1:58" ht="15.75" customHeight="1">
      <c r="A812" s="67"/>
      <c r="B812" s="67"/>
      <c r="C812" s="67"/>
      <c r="D812" s="68"/>
      <c r="E812" s="68"/>
      <c r="F812" s="68"/>
      <c r="G812" s="68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30"/>
      <c r="AO812" s="25"/>
      <c r="AP812" s="120"/>
      <c r="AQ812" s="120"/>
      <c r="AR812" s="121"/>
      <c r="AS812" s="96"/>
      <c r="AT812" s="122"/>
      <c r="AU812" s="123"/>
      <c r="AV812" s="122"/>
      <c r="AW812" s="122"/>
      <c r="AX812" s="30"/>
      <c r="AY812" s="30"/>
      <c r="AZ812" s="30"/>
      <c r="BA812" s="30"/>
      <c r="BB812" s="26"/>
      <c r="BC812" s="26"/>
      <c r="BD812" s="26"/>
      <c r="BE812" s="26"/>
      <c r="BF812" s="26"/>
    </row>
    <row r="813" spans="1:58" ht="15.75" customHeight="1">
      <c r="A813" s="67"/>
      <c r="B813" s="67"/>
      <c r="C813" s="67"/>
      <c r="D813" s="68"/>
      <c r="E813" s="68"/>
      <c r="F813" s="68"/>
      <c r="G813" s="68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30"/>
      <c r="AO813" s="25"/>
      <c r="AP813" s="120"/>
      <c r="AQ813" s="120"/>
      <c r="AR813" s="121"/>
      <c r="AS813" s="96"/>
      <c r="AT813" s="122"/>
      <c r="AU813" s="123"/>
      <c r="AV813" s="122"/>
      <c r="AW813" s="122"/>
      <c r="AX813" s="30"/>
      <c r="AY813" s="30"/>
      <c r="AZ813" s="30"/>
      <c r="BA813" s="30"/>
      <c r="BB813" s="26"/>
      <c r="BC813" s="26"/>
      <c r="BD813" s="26"/>
      <c r="BE813" s="26"/>
      <c r="BF813" s="26"/>
    </row>
    <row r="814" spans="1:58" ht="15.75" customHeight="1">
      <c r="A814" s="67"/>
      <c r="B814" s="67"/>
      <c r="C814" s="67"/>
      <c r="D814" s="68"/>
      <c r="E814" s="68"/>
      <c r="F814" s="68"/>
      <c r="G814" s="68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30"/>
      <c r="AO814" s="25"/>
      <c r="AP814" s="120"/>
      <c r="AQ814" s="120"/>
      <c r="AR814" s="121"/>
      <c r="AS814" s="96"/>
      <c r="AT814" s="122"/>
      <c r="AU814" s="123"/>
      <c r="AV814" s="122"/>
      <c r="AW814" s="122"/>
      <c r="AX814" s="30"/>
      <c r="AY814" s="30"/>
      <c r="AZ814" s="30"/>
      <c r="BA814" s="30"/>
      <c r="BB814" s="26"/>
      <c r="BC814" s="26"/>
      <c r="BD814" s="26"/>
      <c r="BE814" s="26"/>
      <c r="BF814" s="26"/>
    </row>
    <row r="815" spans="1:58" ht="15.75" customHeight="1">
      <c r="A815" s="67"/>
      <c r="B815" s="67"/>
      <c r="C815" s="67"/>
      <c r="D815" s="68"/>
      <c r="E815" s="68"/>
      <c r="F815" s="68"/>
      <c r="G815" s="68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30"/>
      <c r="AO815" s="25"/>
      <c r="AP815" s="120"/>
      <c r="AQ815" s="120"/>
      <c r="AR815" s="121"/>
      <c r="AS815" s="96"/>
      <c r="AT815" s="122"/>
      <c r="AU815" s="123"/>
      <c r="AV815" s="122"/>
      <c r="AW815" s="122"/>
      <c r="AX815" s="30"/>
      <c r="AY815" s="30"/>
      <c r="AZ815" s="30"/>
      <c r="BA815" s="30"/>
      <c r="BB815" s="26"/>
      <c r="BC815" s="26"/>
      <c r="BD815" s="26"/>
      <c r="BE815" s="26"/>
      <c r="BF815" s="26"/>
    </row>
    <row r="816" spans="1:58" ht="15.75" customHeight="1">
      <c r="A816" s="67"/>
      <c r="B816" s="67"/>
      <c r="C816" s="67"/>
      <c r="D816" s="68"/>
      <c r="E816" s="68"/>
      <c r="F816" s="68"/>
      <c r="G816" s="68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30"/>
      <c r="AO816" s="25"/>
      <c r="AP816" s="120"/>
      <c r="AQ816" s="120"/>
      <c r="AR816" s="121"/>
      <c r="AS816" s="96"/>
      <c r="AT816" s="122"/>
      <c r="AU816" s="123"/>
      <c r="AV816" s="122"/>
      <c r="AW816" s="122"/>
      <c r="AX816" s="30"/>
      <c r="AY816" s="30"/>
      <c r="AZ816" s="30"/>
      <c r="BA816" s="30"/>
      <c r="BB816" s="26"/>
      <c r="BC816" s="26"/>
      <c r="BD816" s="26"/>
      <c r="BE816" s="26"/>
      <c r="BF816" s="26"/>
    </row>
    <row r="817" spans="1:58" ht="15.75" customHeight="1">
      <c r="A817" s="67"/>
      <c r="B817" s="67"/>
      <c r="C817" s="67"/>
      <c r="D817" s="68"/>
      <c r="E817" s="68"/>
      <c r="F817" s="68"/>
      <c r="G817" s="68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30"/>
      <c r="AO817" s="25"/>
      <c r="AP817" s="120"/>
      <c r="AQ817" s="120"/>
      <c r="AR817" s="121"/>
      <c r="AS817" s="96"/>
      <c r="AT817" s="122"/>
      <c r="AU817" s="123"/>
      <c r="AV817" s="122"/>
      <c r="AW817" s="122"/>
      <c r="AX817" s="30"/>
      <c r="AY817" s="30"/>
      <c r="AZ817" s="30"/>
      <c r="BA817" s="30"/>
      <c r="BB817" s="26"/>
      <c r="BC817" s="26"/>
      <c r="BD817" s="26"/>
      <c r="BE817" s="26"/>
      <c r="BF817" s="26"/>
    </row>
    <row r="818" spans="1:58" ht="15.75" customHeight="1">
      <c r="A818" s="67"/>
      <c r="B818" s="67"/>
      <c r="C818" s="67"/>
      <c r="D818" s="68"/>
      <c r="E818" s="68"/>
      <c r="F818" s="68"/>
      <c r="G818" s="68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30"/>
      <c r="AO818" s="25"/>
      <c r="AP818" s="120"/>
      <c r="AQ818" s="120"/>
      <c r="AR818" s="121"/>
      <c r="AS818" s="96"/>
      <c r="AT818" s="122"/>
      <c r="AU818" s="123"/>
      <c r="AV818" s="122"/>
      <c r="AW818" s="122"/>
      <c r="AX818" s="30"/>
      <c r="AY818" s="30"/>
      <c r="AZ818" s="30"/>
      <c r="BA818" s="30"/>
      <c r="BB818" s="26"/>
      <c r="BC818" s="26"/>
      <c r="BD818" s="26"/>
      <c r="BE818" s="26"/>
      <c r="BF818" s="26"/>
    </row>
    <row r="819" spans="1:58" ht="15.75" customHeight="1">
      <c r="A819" s="67"/>
      <c r="B819" s="67"/>
      <c r="C819" s="67"/>
      <c r="D819" s="68"/>
      <c r="E819" s="68"/>
      <c r="F819" s="68"/>
      <c r="G819" s="68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30"/>
      <c r="AO819" s="25"/>
      <c r="AP819" s="120"/>
      <c r="AQ819" s="120"/>
      <c r="AR819" s="121"/>
      <c r="AS819" s="96"/>
      <c r="AT819" s="122"/>
      <c r="AU819" s="123"/>
      <c r="AV819" s="122"/>
      <c r="AW819" s="122"/>
      <c r="AX819" s="30"/>
      <c r="AY819" s="30"/>
      <c r="AZ819" s="30"/>
      <c r="BA819" s="30"/>
      <c r="BB819" s="26"/>
      <c r="BC819" s="26"/>
      <c r="BD819" s="26"/>
      <c r="BE819" s="26"/>
      <c r="BF819" s="26"/>
    </row>
    <row r="820" spans="1:58" ht="15.75" customHeight="1">
      <c r="A820" s="67"/>
      <c r="B820" s="67"/>
      <c r="C820" s="67"/>
      <c r="D820" s="68"/>
      <c r="E820" s="68"/>
      <c r="F820" s="68"/>
      <c r="G820" s="68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30"/>
      <c r="AO820" s="25"/>
      <c r="AP820" s="120"/>
      <c r="AQ820" s="120"/>
      <c r="AR820" s="121"/>
      <c r="AS820" s="96"/>
      <c r="AT820" s="122"/>
      <c r="AU820" s="123"/>
      <c r="AV820" s="122"/>
      <c r="AW820" s="122"/>
      <c r="AX820" s="30"/>
      <c r="AY820" s="30"/>
      <c r="AZ820" s="30"/>
      <c r="BA820" s="30"/>
      <c r="BB820" s="26"/>
      <c r="BC820" s="26"/>
      <c r="BD820" s="26"/>
      <c r="BE820" s="26"/>
      <c r="BF820" s="26"/>
    </row>
    <row r="821" spans="1:58" ht="15.75" customHeight="1">
      <c r="A821" s="67"/>
      <c r="B821" s="67"/>
      <c r="C821" s="67"/>
      <c r="D821" s="68"/>
      <c r="E821" s="68"/>
      <c r="F821" s="68"/>
      <c r="G821" s="68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30"/>
      <c r="AO821" s="25"/>
      <c r="AP821" s="120"/>
      <c r="AQ821" s="120"/>
      <c r="AR821" s="121"/>
      <c r="AS821" s="96"/>
      <c r="AT821" s="122"/>
      <c r="AU821" s="123"/>
      <c r="AV821" s="122"/>
      <c r="AW821" s="122"/>
      <c r="AX821" s="30"/>
      <c r="AY821" s="30"/>
      <c r="AZ821" s="30"/>
      <c r="BA821" s="30"/>
      <c r="BB821" s="26"/>
      <c r="BC821" s="26"/>
      <c r="BD821" s="26"/>
      <c r="BE821" s="26"/>
      <c r="BF821" s="26"/>
    </row>
    <row r="822" spans="1:58" ht="15.75" customHeight="1">
      <c r="A822" s="67"/>
      <c r="B822" s="67"/>
      <c r="C822" s="67"/>
      <c r="D822" s="68"/>
      <c r="E822" s="68"/>
      <c r="F822" s="68"/>
      <c r="G822" s="68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30"/>
      <c r="AO822" s="25"/>
      <c r="AP822" s="120"/>
      <c r="AQ822" s="120"/>
      <c r="AR822" s="121"/>
      <c r="AS822" s="96"/>
      <c r="AT822" s="122"/>
      <c r="AU822" s="123"/>
      <c r="AV822" s="122"/>
      <c r="AW822" s="122"/>
      <c r="AX822" s="30"/>
      <c r="AY822" s="30"/>
      <c r="AZ822" s="30"/>
      <c r="BA822" s="30"/>
      <c r="BB822" s="26"/>
      <c r="BC822" s="26"/>
      <c r="BD822" s="26"/>
      <c r="BE822" s="26"/>
      <c r="BF822" s="26"/>
    </row>
    <row r="823" spans="1:58" ht="15.75" customHeight="1">
      <c r="A823" s="67"/>
      <c r="B823" s="67"/>
      <c r="C823" s="67"/>
      <c r="D823" s="68"/>
      <c r="E823" s="68"/>
      <c r="F823" s="68"/>
      <c r="G823" s="68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30"/>
      <c r="AO823" s="25"/>
      <c r="AP823" s="120"/>
      <c r="AQ823" s="120"/>
      <c r="AR823" s="121"/>
      <c r="AS823" s="96"/>
      <c r="AT823" s="122"/>
      <c r="AU823" s="123"/>
      <c r="AV823" s="122"/>
      <c r="AW823" s="122"/>
      <c r="AX823" s="30"/>
      <c r="AY823" s="30"/>
      <c r="AZ823" s="30"/>
      <c r="BA823" s="30"/>
      <c r="BB823" s="26"/>
      <c r="BC823" s="26"/>
      <c r="BD823" s="26"/>
      <c r="BE823" s="26"/>
      <c r="BF823" s="26"/>
    </row>
    <row r="824" spans="1:58" ht="15.75" customHeight="1">
      <c r="A824" s="67"/>
      <c r="B824" s="67"/>
      <c r="C824" s="67"/>
      <c r="D824" s="68"/>
      <c r="E824" s="68"/>
      <c r="F824" s="68"/>
      <c r="G824" s="68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30"/>
      <c r="AO824" s="25"/>
      <c r="AP824" s="120"/>
      <c r="AQ824" s="120"/>
      <c r="AR824" s="121"/>
      <c r="AS824" s="96"/>
      <c r="AT824" s="122"/>
      <c r="AU824" s="123"/>
      <c r="AV824" s="122"/>
      <c r="AW824" s="122"/>
      <c r="AX824" s="30"/>
      <c r="AY824" s="30"/>
      <c r="AZ824" s="30"/>
      <c r="BA824" s="30"/>
      <c r="BB824" s="26"/>
      <c r="BC824" s="26"/>
      <c r="BD824" s="26"/>
      <c r="BE824" s="26"/>
      <c r="BF824" s="26"/>
    </row>
    <row r="825" spans="1:58" ht="15.75" customHeight="1">
      <c r="A825" s="67"/>
      <c r="B825" s="67"/>
      <c r="C825" s="67"/>
      <c r="D825" s="68"/>
      <c r="E825" s="68"/>
      <c r="F825" s="68"/>
      <c r="G825" s="68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30"/>
      <c r="AO825" s="25"/>
      <c r="AP825" s="120"/>
      <c r="AQ825" s="120"/>
      <c r="AR825" s="121"/>
      <c r="AS825" s="96"/>
      <c r="AT825" s="122"/>
      <c r="AU825" s="123"/>
      <c r="AV825" s="122"/>
      <c r="AW825" s="122"/>
      <c r="AX825" s="30"/>
      <c r="AY825" s="30"/>
      <c r="AZ825" s="30"/>
      <c r="BA825" s="30"/>
      <c r="BB825" s="26"/>
      <c r="BC825" s="26"/>
      <c r="BD825" s="26"/>
      <c r="BE825" s="26"/>
      <c r="BF825" s="26"/>
    </row>
    <row r="826" spans="1:58" ht="15.75" customHeight="1">
      <c r="A826" s="67"/>
      <c r="B826" s="67"/>
      <c r="C826" s="67"/>
      <c r="D826" s="68"/>
      <c r="E826" s="68"/>
      <c r="F826" s="68"/>
      <c r="G826" s="68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30"/>
      <c r="AO826" s="25"/>
      <c r="AP826" s="120"/>
      <c r="AQ826" s="120"/>
      <c r="AR826" s="121"/>
      <c r="AS826" s="96"/>
      <c r="AT826" s="122"/>
      <c r="AU826" s="123"/>
      <c r="AV826" s="122"/>
      <c r="AW826" s="122"/>
      <c r="AX826" s="30"/>
      <c r="AY826" s="30"/>
      <c r="AZ826" s="30"/>
      <c r="BA826" s="30"/>
      <c r="BB826" s="26"/>
      <c r="BC826" s="26"/>
      <c r="BD826" s="26"/>
      <c r="BE826" s="26"/>
      <c r="BF826" s="26"/>
    </row>
    <row r="827" spans="1:58" ht="15.75" customHeight="1">
      <c r="A827" s="67"/>
      <c r="B827" s="67"/>
      <c r="C827" s="67"/>
      <c r="D827" s="68"/>
      <c r="E827" s="68"/>
      <c r="F827" s="68"/>
      <c r="G827" s="68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30"/>
      <c r="AO827" s="25"/>
      <c r="AP827" s="120"/>
      <c r="AQ827" s="120"/>
      <c r="AR827" s="121"/>
      <c r="AS827" s="96"/>
      <c r="AT827" s="122"/>
      <c r="AU827" s="123"/>
      <c r="AV827" s="122"/>
      <c r="AW827" s="122"/>
      <c r="AX827" s="30"/>
      <c r="AY827" s="30"/>
      <c r="AZ827" s="30"/>
      <c r="BA827" s="30"/>
      <c r="BB827" s="26"/>
      <c r="BC827" s="26"/>
      <c r="BD827" s="26"/>
      <c r="BE827" s="26"/>
      <c r="BF827" s="26"/>
    </row>
    <row r="828" spans="1:58" ht="15.75" customHeight="1">
      <c r="A828" s="67"/>
      <c r="B828" s="67"/>
      <c r="C828" s="67"/>
      <c r="D828" s="68"/>
      <c r="E828" s="68"/>
      <c r="F828" s="68"/>
      <c r="G828" s="68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30"/>
      <c r="AO828" s="25"/>
      <c r="AP828" s="120"/>
      <c r="AQ828" s="120"/>
      <c r="AR828" s="121"/>
      <c r="AS828" s="96"/>
      <c r="AT828" s="122"/>
      <c r="AU828" s="123"/>
      <c r="AV828" s="122"/>
      <c r="AW828" s="122"/>
      <c r="AX828" s="30"/>
      <c r="AY828" s="30"/>
      <c r="AZ828" s="30"/>
      <c r="BA828" s="30"/>
      <c r="BB828" s="26"/>
      <c r="BC828" s="26"/>
      <c r="BD828" s="26"/>
      <c r="BE828" s="26"/>
      <c r="BF828" s="26"/>
    </row>
    <row r="829" spans="1:58" ht="15.75" customHeight="1">
      <c r="A829" s="67"/>
      <c r="B829" s="67"/>
      <c r="C829" s="67"/>
      <c r="D829" s="68"/>
      <c r="E829" s="68"/>
      <c r="F829" s="68"/>
      <c r="G829" s="68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30"/>
      <c r="AO829" s="25"/>
      <c r="AP829" s="120"/>
      <c r="AQ829" s="120"/>
      <c r="AR829" s="121"/>
      <c r="AS829" s="96"/>
      <c r="AT829" s="122"/>
      <c r="AU829" s="123"/>
      <c r="AV829" s="122"/>
      <c r="AW829" s="122"/>
      <c r="AX829" s="30"/>
      <c r="AY829" s="30"/>
      <c r="AZ829" s="30"/>
      <c r="BA829" s="30"/>
      <c r="BB829" s="26"/>
      <c r="BC829" s="26"/>
      <c r="BD829" s="26"/>
      <c r="BE829" s="26"/>
      <c r="BF829" s="26"/>
    </row>
    <row r="830" spans="1:58" ht="15.75" customHeight="1">
      <c r="A830" s="67"/>
      <c r="B830" s="67"/>
      <c r="C830" s="67"/>
      <c r="D830" s="68"/>
      <c r="E830" s="68"/>
      <c r="F830" s="68"/>
      <c r="G830" s="68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30"/>
      <c r="AO830" s="25"/>
      <c r="AP830" s="120"/>
      <c r="AQ830" s="120"/>
      <c r="AR830" s="121"/>
      <c r="AS830" s="96"/>
      <c r="AT830" s="122"/>
      <c r="AU830" s="123"/>
      <c r="AV830" s="122"/>
      <c r="AW830" s="122"/>
      <c r="AX830" s="30"/>
      <c r="AY830" s="30"/>
      <c r="AZ830" s="30"/>
      <c r="BA830" s="30"/>
      <c r="BB830" s="26"/>
      <c r="BC830" s="26"/>
      <c r="BD830" s="26"/>
      <c r="BE830" s="26"/>
      <c r="BF830" s="26"/>
    </row>
    <row r="831" spans="1:58" ht="15.75" customHeight="1">
      <c r="A831" s="67"/>
      <c r="B831" s="67"/>
      <c r="C831" s="67"/>
      <c r="D831" s="68"/>
      <c r="E831" s="68"/>
      <c r="F831" s="68"/>
      <c r="G831" s="68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30"/>
      <c r="AO831" s="25"/>
      <c r="AP831" s="120"/>
      <c r="AQ831" s="120"/>
      <c r="AR831" s="121"/>
      <c r="AS831" s="96"/>
      <c r="AT831" s="122"/>
      <c r="AU831" s="123"/>
      <c r="AV831" s="122"/>
      <c r="AW831" s="122"/>
      <c r="AX831" s="30"/>
      <c r="AY831" s="30"/>
      <c r="AZ831" s="30"/>
      <c r="BA831" s="30"/>
      <c r="BB831" s="26"/>
      <c r="BC831" s="26"/>
      <c r="BD831" s="26"/>
      <c r="BE831" s="26"/>
      <c r="BF831" s="26"/>
    </row>
    <row r="832" spans="1:58" ht="15.75" customHeight="1">
      <c r="A832" s="67"/>
      <c r="B832" s="67"/>
      <c r="C832" s="67"/>
      <c r="D832" s="68"/>
      <c r="E832" s="68"/>
      <c r="F832" s="68"/>
      <c r="G832" s="68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30"/>
      <c r="AO832" s="25"/>
      <c r="AP832" s="120"/>
      <c r="AQ832" s="120"/>
      <c r="AR832" s="121"/>
      <c r="AS832" s="96"/>
      <c r="AT832" s="122"/>
      <c r="AU832" s="123"/>
      <c r="AV832" s="122"/>
      <c r="AW832" s="122"/>
      <c r="AX832" s="30"/>
      <c r="AY832" s="30"/>
      <c r="AZ832" s="30"/>
      <c r="BA832" s="30"/>
      <c r="BB832" s="26"/>
      <c r="BC832" s="26"/>
      <c r="BD832" s="26"/>
      <c r="BE832" s="26"/>
      <c r="BF832" s="26"/>
    </row>
    <row r="833" spans="1:58" ht="15.75" customHeight="1">
      <c r="A833" s="67"/>
      <c r="B833" s="67"/>
      <c r="C833" s="67"/>
      <c r="D833" s="68"/>
      <c r="E833" s="68"/>
      <c r="F833" s="68"/>
      <c r="G833" s="68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30"/>
      <c r="AO833" s="25"/>
      <c r="AP833" s="120"/>
      <c r="AQ833" s="120"/>
      <c r="AR833" s="121"/>
      <c r="AS833" s="96"/>
      <c r="AT833" s="122"/>
      <c r="AU833" s="123"/>
      <c r="AV833" s="122"/>
      <c r="AW833" s="122"/>
      <c r="AX833" s="30"/>
      <c r="AY833" s="30"/>
      <c r="AZ833" s="30"/>
      <c r="BA833" s="30"/>
      <c r="BB833" s="26"/>
      <c r="BC833" s="26"/>
      <c r="BD833" s="26"/>
      <c r="BE833" s="26"/>
      <c r="BF833" s="26"/>
    </row>
    <row r="834" spans="1:58" ht="15.75" customHeight="1">
      <c r="A834" s="67"/>
      <c r="B834" s="67"/>
      <c r="C834" s="67"/>
      <c r="D834" s="68"/>
      <c r="E834" s="68"/>
      <c r="F834" s="68"/>
      <c r="G834" s="68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30"/>
      <c r="AO834" s="25"/>
      <c r="AP834" s="120"/>
      <c r="AQ834" s="120"/>
      <c r="AR834" s="121"/>
      <c r="AS834" s="96"/>
      <c r="AT834" s="122"/>
      <c r="AU834" s="123"/>
      <c r="AV834" s="122"/>
      <c r="AW834" s="122"/>
      <c r="AX834" s="30"/>
      <c r="AY834" s="30"/>
      <c r="AZ834" s="30"/>
      <c r="BA834" s="30"/>
      <c r="BB834" s="26"/>
      <c r="BC834" s="26"/>
      <c r="BD834" s="26"/>
      <c r="BE834" s="26"/>
      <c r="BF834" s="26"/>
    </row>
    <row r="835" spans="1:58" ht="15.75" customHeight="1">
      <c r="A835" s="67"/>
      <c r="B835" s="67"/>
      <c r="C835" s="67"/>
      <c r="D835" s="68"/>
      <c r="E835" s="68"/>
      <c r="F835" s="68"/>
      <c r="G835" s="68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30"/>
      <c r="AO835" s="25"/>
      <c r="AP835" s="120"/>
      <c r="AQ835" s="120"/>
      <c r="AR835" s="121"/>
      <c r="AS835" s="96"/>
      <c r="AT835" s="122"/>
      <c r="AU835" s="123"/>
      <c r="AV835" s="122"/>
      <c r="AW835" s="122"/>
      <c r="AX835" s="30"/>
      <c r="AY835" s="30"/>
      <c r="AZ835" s="30"/>
      <c r="BA835" s="30"/>
      <c r="BB835" s="26"/>
      <c r="BC835" s="26"/>
      <c r="BD835" s="26"/>
      <c r="BE835" s="26"/>
      <c r="BF835" s="26"/>
    </row>
    <row r="836" spans="1:58" ht="15.75" customHeight="1">
      <c r="A836" s="67"/>
      <c r="B836" s="67"/>
      <c r="C836" s="67"/>
      <c r="D836" s="68"/>
      <c r="E836" s="68"/>
      <c r="F836" s="68"/>
      <c r="G836" s="68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30"/>
      <c r="AO836" s="25"/>
      <c r="AP836" s="120"/>
      <c r="AQ836" s="120"/>
      <c r="AR836" s="121"/>
      <c r="AS836" s="96"/>
      <c r="AT836" s="122"/>
      <c r="AU836" s="123"/>
      <c r="AV836" s="122"/>
      <c r="AW836" s="122"/>
      <c r="AX836" s="30"/>
      <c r="AY836" s="30"/>
      <c r="AZ836" s="30"/>
      <c r="BA836" s="30"/>
      <c r="BB836" s="26"/>
      <c r="BC836" s="26"/>
      <c r="BD836" s="26"/>
      <c r="BE836" s="26"/>
      <c r="BF836" s="26"/>
    </row>
    <row r="837" spans="1:58" ht="15.75" customHeight="1">
      <c r="A837" s="67"/>
      <c r="B837" s="67"/>
      <c r="C837" s="67"/>
      <c r="D837" s="68"/>
      <c r="E837" s="68"/>
      <c r="F837" s="68"/>
      <c r="G837" s="68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30"/>
      <c r="AO837" s="25"/>
      <c r="AP837" s="120"/>
      <c r="AQ837" s="120"/>
      <c r="AR837" s="121"/>
      <c r="AS837" s="96"/>
      <c r="AT837" s="122"/>
      <c r="AU837" s="123"/>
      <c r="AV837" s="122"/>
      <c r="AW837" s="122"/>
      <c r="AX837" s="30"/>
      <c r="AY837" s="30"/>
      <c r="AZ837" s="30"/>
      <c r="BA837" s="30"/>
      <c r="BB837" s="26"/>
      <c r="BC837" s="26"/>
      <c r="BD837" s="26"/>
      <c r="BE837" s="26"/>
      <c r="BF837" s="26"/>
    </row>
    <row r="838" spans="1:58" ht="15.75" customHeight="1">
      <c r="A838" s="67"/>
      <c r="B838" s="67"/>
      <c r="C838" s="67"/>
      <c r="D838" s="68"/>
      <c r="E838" s="68"/>
      <c r="F838" s="68"/>
      <c r="G838" s="68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30"/>
      <c r="AO838" s="25"/>
      <c r="AP838" s="120"/>
      <c r="AQ838" s="120"/>
      <c r="AR838" s="121"/>
      <c r="AS838" s="96"/>
      <c r="AT838" s="122"/>
      <c r="AU838" s="123"/>
      <c r="AV838" s="122"/>
      <c r="AW838" s="122"/>
      <c r="AX838" s="30"/>
      <c r="AY838" s="30"/>
      <c r="AZ838" s="30"/>
      <c r="BA838" s="30"/>
      <c r="BB838" s="26"/>
      <c r="BC838" s="26"/>
      <c r="BD838" s="26"/>
      <c r="BE838" s="26"/>
      <c r="BF838" s="26"/>
    </row>
    <row r="839" spans="1:58" ht="15.75" customHeight="1">
      <c r="A839" s="67"/>
      <c r="B839" s="67"/>
      <c r="C839" s="67"/>
      <c r="D839" s="68"/>
      <c r="E839" s="68"/>
      <c r="F839" s="68"/>
      <c r="G839" s="68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30"/>
      <c r="AO839" s="25"/>
      <c r="AP839" s="120"/>
      <c r="AQ839" s="120"/>
      <c r="AR839" s="121"/>
      <c r="AS839" s="96"/>
      <c r="AT839" s="122"/>
      <c r="AU839" s="123"/>
      <c r="AV839" s="122"/>
      <c r="AW839" s="122"/>
      <c r="AX839" s="30"/>
      <c r="AY839" s="30"/>
      <c r="AZ839" s="30"/>
      <c r="BA839" s="30"/>
      <c r="BB839" s="26"/>
      <c r="BC839" s="26"/>
      <c r="BD839" s="26"/>
      <c r="BE839" s="26"/>
      <c r="BF839" s="26"/>
    </row>
    <row r="840" spans="1:58" ht="15.75" customHeight="1">
      <c r="A840" s="67"/>
      <c r="B840" s="67"/>
      <c r="C840" s="67"/>
      <c r="D840" s="68"/>
      <c r="E840" s="68"/>
      <c r="F840" s="68"/>
      <c r="G840" s="68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30"/>
      <c r="AO840" s="25"/>
      <c r="AP840" s="120"/>
      <c r="AQ840" s="120"/>
      <c r="AR840" s="121"/>
      <c r="AS840" s="96"/>
      <c r="AT840" s="122"/>
      <c r="AU840" s="123"/>
      <c r="AV840" s="122"/>
      <c r="AW840" s="122"/>
      <c r="AX840" s="30"/>
      <c r="AY840" s="30"/>
      <c r="AZ840" s="30"/>
      <c r="BA840" s="30"/>
      <c r="BB840" s="26"/>
      <c r="BC840" s="26"/>
      <c r="BD840" s="26"/>
      <c r="BE840" s="26"/>
      <c r="BF840" s="26"/>
    </row>
    <row r="841" spans="1:58" ht="15.75" customHeight="1">
      <c r="A841" s="67"/>
      <c r="B841" s="67"/>
      <c r="C841" s="67"/>
      <c r="D841" s="68"/>
      <c r="E841" s="68"/>
      <c r="F841" s="68"/>
      <c r="G841" s="68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30"/>
      <c r="AO841" s="25"/>
      <c r="AP841" s="120"/>
      <c r="AQ841" s="120"/>
      <c r="AR841" s="121"/>
      <c r="AS841" s="96"/>
      <c r="AT841" s="122"/>
      <c r="AU841" s="123"/>
      <c r="AV841" s="122"/>
      <c r="AW841" s="122"/>
      <c r="AX841" s="30"/>
      <c r="AY841" s="30"/>
      <c r="AZ841" s="30"/>
      <c r="BA841" s="30"/>
      <c r="BB841" s="26"/>
      <c r="BC841" s="26"/>
      <c r="BD841" s="26"/>
      <c r="BE841" s="26"/>
      <c r="BF841" s="26"/>
    </row>
    <row r="842" spans="1:58" ht="15.75" customHeight="1">
      <c r="A842" s="67"/>
      <c r="B842" s="67"/>
      <c r="C842" s="67"/>
      <c r="D842" s="68"/>
      <c r="E842" s="68"/>
      <c r="F842" s="68"/>
      <c r="G842" s="68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30"/>
      <c r="AO842" s="25"/>
      <c r="AP842" s="120"/>
      <c r="AQ842" s="120"/>
      <c r="AR842" s="121"/>
      <c r="AS842" s="96"/>
      <c r="AT842" s="122"/>
      <c r="AU842" s="123"/>
      <c r="AV842" s="122"/>
      <c r="AW842" s="122"/>
      <c r="AX842" s="30"/>
      <c r="AY842" s="30"/>
      <c r="AZ842" s="30"/>
      <c r="BA842" s="30"/>
      <c r="BB842" s="26"/>
      <c r="BC842" s="26"/>
      <c r="BD842" s="26"/>
      <c r="BE842" s="26"/>
      <c r="BF842" s="26"/>
    </row>
    <row r="843" spans="1:58" ht="15.75" customHeight="1">
      <c r="A843" s="67"/>
      <c r="B843" s="67"/>
      <c r="C843" s="67"/>
      <c r="D843" s="68"/>
      <c r="E843" s="68"/>
      <c r="F843" s="68"/>
      <c r="G843" s="68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30"/>
      <c r="AO843" s="25"/>
      <c r="AP843" s="120"/>
      <c r="AQ843" s="120"/>
      <c r="AR843" s="121"/>
      <c r="AS843" s="96"/>
      <c r="AT843" s="122"/>
      <c r="AU843" s="123"/>
      <c r="AV843" s="122"/>
      <c r="AW843" s="122"/>
      <c r="AX843" s="30"/>
      <c r="AY843" s="30"/>
      <c r="AZ843" s="30"/>
      <c r="BA843" s="30"/>
      <c r="BB843" s="26"/>
      <c r="BC843" s="26"/>
      <c r="BD843" s="26"/>
      <c r="BE843" s="26"/>
      <c r="BF843" s="26"/>
    </row>
    <row r="844" spans="1:58" ht="15.75" customHeight="1">
      <c r="A844" s="67"/>
      <c r="B844" s="67"/>
      <c r="C844" s="67"/>
      <c r="D844" s="68"/>
      <c r="E844" s="68"/>
      <c r="F844" s="68"/>
      <c r="G844" s="68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30"/>
      <c r="AO844" s="25"/>
      <c r="AP844" s="120"/>
      <c r="AQ844" s="120"/>
      <c r="AR844" s="121"/>
      <c r="AS844" s="96"/>
      <c r="AT844" s="122"/>
      <c r="AU844" s="123"/>
      <c r="AV844" s="122"/>
      <c r="AW844" s="122"/>
      <c r="AX844" s="30"/>
      <c r="AY844" s="30"/>
      <c r="AZ844" s="30"/>
      <c r="BA844" s="30"/>
      <c r="BB844" s="26"/>
      <c r="BC844" s="26"/>
      <c r="BD844" s="26"/>
      <c r="BE844" s="26"/>
      <c r="BF844" s="26"/>
    </row>
    <row r="845" spans="1:58" ht="15.75" customHeight="1">
      <c r="A845" s="67"/>
      <c r="B845" s="67"/>
      <c r="C845" s="67"/>
      <c r="D845" s="68"/>
      <c r="E845" s="68"/>
      <c r="F845" s="68"/>
      <c r="G845" s="68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30"/>
      <c r="AO845" s="25"/>
      <c r="AP845" s="120"/>
      <c r="AQ845" s="120"/>
      <c r="AR845" s="121"/>
      <c r="AS845" s="96"/>
      <c r="AT845" s="122"/>
      <c r="AU845" s="123"/>
      <c r="AV845" s="122"/>
      <c r="AW845" s="122"/>
      <c r="AX845" s="30"/>
      <c r="AY845" s="30"/>
      <c r="AZ845" s="30"/>
      <c r="BA845" s="30"/>
      <c r="BB845" s="26"/>
      <c r="BC845" s="26"/>
      <c r="BD845" s="26"/>
      <c r="BE845" s="26"/>
      <c r="BF845" s="26"/>
    </row>
    <row r="846" spans="1:58" ht="15.75" customHeight="1">
      <c r="A846" s="67"/>
      <c r="B846" s="67"/>
      <c r="C846" s="67"/>
      <c r="D846" s="68"/>
      <c r="E846" s="68"/>
      <c r="F846" s="68"/>
      <c r="G846" s="68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30"/>
      <c r="AO846" s="25"/>
      <c r="AP846" s="120"/>
      <c r="AQ846" s="120"/>
      <c r="AR846" s="121"/>
      <c r="AS846" s="96"/>
      <c r="AT846" s="122"/>
      <c r="AU846" s="123"/>
      <c r="AV846" s="122"/>
      <c r="AW846" s="122"/>
      <c r="AX846" s="30"/>
      <c r="AY846" s="30"/>
      <c r="AZ846" s="30"/>
      <c r="BA846" s="30"/>
      <c r="BB846" s="26"/>
      <c r="BC846" s="26"/>
      <c r="BD846" s="26"/>
      <c r="BE846" s="26"/>
      <c r="BF846" s="26"/>
    </row>
    <row r="847" spans="1:58" ht="15.75" customHeight="1">
      <c r="A847" s="67"/>
      <c r="B847" s="67"/>
      <c r="C847" s="67"/>
      <c r="D847" s="68"/>
      <c r="E847" s="68"/>
      <c r="F847" s="68"/>
      <c r="G847" s="68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30"/>
      <c r="AO847" s="25"/>
      <c r="AP847" s="120"/>
      <c r="AQ847" s="120"/>
      <c r="AR847" s="121"/>
      <c r="AS847" s="96"/>
      <c r="AT847" s="122"/>
      <c r="AU847" s="123"/>
      <c r="AV847" s="122"/>
      <c r="AW847" s="122"/>
      <c r="AX847" s="30"/>
      <c r="AY847" s="30"/>
      <c r="AZ847" s="30"/>
      <c r="BA847" s="30"/>
      <c r="BB847" s="26"/>
      <c r="BC847" s="26"/>
      <c r="BD847" s="26"/>
      <c r="BE847" s="26"/>
      <c r="BF847" s="26"/>
    </row>
    <row r="848" spans="1:58" ht="15.75" customHeight="1">
      <c r="A848" s="67"/>
      <c r="B848" s="67"/>
      <c r="C848" s="67"/>
      <c r="D848" s="68"/>
      <c r="E848" s="68"/>
      <c r="F848" s="68"/>
      <c r="G848" s="68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30"/>
      <c r="AO848" s="25"/>
      <c r="AP848" s="120"/>
      <c r="AQ848" s="120"/>
      <c r="AR848" s="121"/>
      <c r="AS848" s="96"/>
      <c r="AT848" s="122"/>
      <c r="AU848" s="123"/>
      <c r="AV848" s="122"/>
      <c r="AW848" s="122"/>
      <c r="AX848" s="30"/>
      <c r="AY848" s="30"/>
      <c r="AZ848" s="30"/>
      <c r="BA848" s="30"/>
      <c r="BB848" s="26"/>
      <c r="BC848" s="26"/>
      <c r="BD848" s="26"/>
      <c r="BE848" s="26"/>
      <c r="BF848" s="26"/>
    </row>
    <row r="849" spans="1:58" ht="15.75" customHeight="1">
      <c r="A849" s="67"/>
      <c r="B849" s="67"/>
      <c r="C849" s="67"/>
      <c r="D849" s="68"/>
      <c r="E849" s="68"/>
      <c r="F849" s="68"/>
      <c r="G849" s="68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30"/>
      <c r="AO849" s="25"/>
      <c r="AP849" s="120"/>
      <c r="AQ849" s="120"/>
      <c r="AR849" s="121"/>
      <c r="AS849" s="96"/>
      <c r="AT849" s="122"/>
      <c r="AU849" s="123"/>
      <c r="AV849" s="122"/>
      <c r="AW849" s="122"/>
      <c r="AX849" s="30"/>
      <c r="AY849" s="30"/>
      <c r="AZ849" s="30"/>
      <c r="BA849" s="30"/>
      <c r="BB849" s="26"/>
      <c r="BC849" s="26"/>
      <c r="BD849" s="26"/>
      <c r="BE849" s="26"/>
      <c r="BF849" s="26"/>
    </row>
    <row r="850" spans="1:58" ht="15.75" customHeight="1">
      <c r="A850" s="67"/>
      <c r="B850" s="67"/>
      <c r="C850" s="67"/>
      <c r="D850" s="68"/>
      <c r="E850" s="68"/>
      <c r="F850" s="68"/>
      <c r="G850" s="68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30"/>
      <c r="AO850" s="25"/>
      <c r="AP850" s="120"/>
      <c r="AQ850" s="120"/>
      <c r="AR850" s="121"/>
      <c r="AS850" s="96"/>
      <c r="AT850" s="122"/>
      <c r="AU850" s="123"/>
      <c r="AV850" s="122"/>
      <c r="AW850" s="122"/>
      <c r="AX850" s="30"/>
      <c r="AY850" s="30"/>
      <c r="AZ850" s="30"/>
      <c r="BA850" s="30"/>
      <c r="BB850" s="26"/>
      <c r="BC850" s="26"/>
      <c r="BD850" s="26"/>
      <c r="BE850" s="26"/>
      <c r="BF850" s="26"/>
    </row>
    <row r="851" spans="1:58" ht="15.75" customHeight="1">
      <c r="A851" s="67"/>
      <c r="B851" s="67"/>
      <c r="C851" s="67"/>
      <c r="D851" s="68"/>
      <c r="E851" s="68"/>
      <c r="F851" s="68"/>
      <c r="G851" s="68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30"/>
      <c r="AO851" s="25"/>
      <c r="AP851" s="120"/>
      <c r="AQ851" s="120"/>
      <c r="AR851" s="121"/>
      <c r="AS851" s="96"/>
      <c r="AT851" s="122"/>
      <c r="AU851" s="123"/>
      <c r="AV851" s="122"/>
      <c r="AW851" s="122"/>
      <c r="AX851" s="30"/>
      <c r="AY851" s="30"/>
      <c r="AZ851" s="30"/>
      <c r="BA851" s="30"/>
      <c r="BB851" s="26"/>
      <c r="BC851" s="26"/>
      <c r="BD851" s="26"/>
      <c r="BE851" s="26"/>
      <c r="BF851" s="26"/>
    </row>
    <row r="852" spans="1:58" ht="15.75" customHeight="1">
      <c r="A852" s="67"/>
      <c r="B852" s="67"/>
      <c r="C852" s="67"/>
      <c r="D852" s="68"/>
      <c r="E852" s="68"/>
      <c r="F852" s="68"/>
      <c r="G852" s="68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30"/>
      <c r="AO852" s="25"/>
      <c r="AP852" s="120"/>
      <c r="AQ852" s="120"/>
      <c r="AR852" s="121"/>
      <c r="AS852" s="96"/>
      <c r="AT852" s="122"/>
      <c r="AU852" s="123"/>
      <c r="AV852" s="122"/>
      <c r="AW852" s="122"/>
      <c r="AX852" s="30"/>
      <c r="AY852" s="30"/>
      <c r="AZ852" s="30"/>
      <c r="BA852" s="30"/>
      <c r="BB852" s="26"/>
      <c r="BC852" s="26"/>
      <c r="BD852" s="26"/>
      <c r="BE852" s="26"/>
      <c r="BF852" s="26"/>
    </row>
    <row r="853" spans="1:58" ht="15.75" customHeight="1">
      <c r="A853" s="67"/>
      <c r="B853" s="67"/>
      <c r="C853" s="67"/>
      <c r="D853" s="68"/>
      <c r="E853" s="68"/>
      <c r="F853" s="68"/>
      <c r="G853" s="68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30"/>
      <c r="AO853" s="25"/>
      <c r="AP853" s="120"/>
      <c r="AQ853" s="120"/>
      <c r="AR853" s="121"/>
      <c r="AS853" s="96"/>
      <c r="AT853" s="122"/>
      <c r="AU853" s="123"/>
      <c r="AV853" s="122"/>
      <c r="AW853" s="122"/>
      <c r="AX853" s="30"/>
      <c r="AY853" s="30"/>
      <c r="AZ853" s="30"/>
      <c r="BA853" s="30"/>
      <c r="BB853" s="26"/>
      <c r="BC853" s="26"/>
      <c r="BD853" s="26"/>
      <c r="BE853" s="26"/>
      <c r="BF853" s="26"/>
    </row>
    <row r="854" spans="1:58" ht="15.75" customHeight="1">
      <c r="A854" s="67"/>
      <c r="B854" s="67"/>
      <c r="C854" s="67"/>
      <c r="D854" s="68"/>
      <c r="E854" s="68"/>
      <c r="F854" s="68"/>
      <c r="G854" s="68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30"/>
      <c r="AO854" s="25"/>
      <c r="AP854" s="120"/>
      <c r="AQ854" s="120"/>
      <c r="AR854" s="121"/>
      <c r="AS854" s="96"/>
      <c r="AT854" s="122"/>
      <c r="AU854" s="123"/>
      <c r="AV854" s="122"/>
      <c r="AW854" s="122"/>
      <c r="AX854" s="30"/>
      <c r="AY854" s="30"/>
      <c r="AZ854" s="30"/>
      <c r="BA854" s="30"/>
      <c r="BB854" s="26"/>
      <c r="BC854" s="26"/>
      <c r="BD854" s="26"/>
      <c r="BE854" s="26"/>
      <c r="BF854" s="26"/>
    </row>
    <row r="855" spans="1:58" ht="15.75" customHeight="1">
      <c r="A855" s="67"/>
      <c r="B855" s="67"/>
      <c r="C855" s="67"/>
      <c r="D855" s="68"/>
      <c r="E855" s="68"/>
      <c r="F855" s="68"/>
      <c r="G855" s="68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30"/>
      <c r="AO855" s="25"/>
      <c r="AP855" s="120"/>
      <c r="AQ855" s="120"/>
      <c r="AR855" s="121"/>
      <c r="AS855" s="96"/>
      <c r="AT855" s="122"/>
      <c r="AU855" s="123"/>
      <c r="AV855" s="122"/>
      <c r="AW855" s="122"/>
      <c r="AX855" s="30"/>
      <c r="AY855" s="30"/>
      <c r="AZ855" s="30"/>
      <c r="BA855" s="30"/>
      <c r="BB855" s="26"/>
      <c r="BC855" s="26"/>
      <c r="BD855" s="26"/>
      <c r="BE855" s="26"/>
      <c r="BF855" s="26"/>
    </row>
    <row r="856" spans="1:58" ht="15.75" customHeight="1">
      <c r="A856" s="67"/>
      <c r="B856" s="67"/>
      <c r="C856" s="67"/>
      <c r="D856" s="68"/>
      <c r="E856" s="68"/>
      <c r="F856" s="68"/>
      <c r="G856" s="68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30"/>
      <c r="AO856" s="25"/>
      <c r="AP856" s="120"/>
      <c r="AQ856" s="120"/>
      <c r="AR856" s="121"/>
      <c r="AS856" s="96"/>
      <c r="AT856" s="122"/>
      <c r="AU856" s="123"/>
      <c r="AV856" s="122"/>
      <c r="AW856" s="122"/>
      <c r="AX856" s="30"/>
      <c r="AY856" s="30"/>
      <c r="AZ856" s="30"/>
      <c r="BA856" s="30"/>
      <c r="BB856" s="26"/>
      <c r="BC856" s="26"/>
      <c r="BD856" s="26"/>
      <c r="BE856" s="26"/>
      <c r="BF856" s="26"/>
    </row>
    <row r="857" spans="1:58" ht="15.75" customHeight="1">
      <c r="A857" s="67"/>
      <c r="B857" s="67"/>
      <c r="C857" s="67"/>
      <c r="D857" s="68"/>
      <c r="E857" s="68"/>
      <c r="F857" s="68"/>
      <c r="G857" s="68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30"/>
      <c r="AO857" s="25"/>
      <c r="AP857" s="120"/>
      <c r="AQ857" s="120"/>
      <c r="AR857" s="121"/>
      <c r="AS857" s="96"/>
      <c r="AT857" s="122"/>
      <c r="AU857" s="123"/>
      <c r="AV857" s="122"/>
      <c r="AW857" s="122"/>
      <c r="AX857" s="30"/>
      <c r="AY857" s="30"/>
      <c r="AZ857" s="30"/>
      <c r="BA857" s="30"/>
      <c r="BB857" s="26"/>
      <c r="BC857" s="26"/>
      <c r="BD857" s="26"/>
      <c r="BE857" s="26"/>
      <c r="BF857" s="26"/>
    </row>
    <row r="858" spans="1:58" ht="15.75" customHeight="1">
      <c r="A858" s="67"/>
      <c r="B858" s="67"/>
      <c r="C858" s="67"/>
      <c r="D858" s="68"/>
      <c r="E858" s="68"/>
      <c r="F858" s="68"/>
      <c r="G858" s="68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30"/>
      <c r="AO858" s="25"/>
      <c r="AP858" s="120"/>
      <c r="AQ858" s="120"/>
      <c r="AR858" s="121"/>
      <c r="AS858" s="96"/>
      <c r="AT858" s="122"/>
      <c r="AU858" s="123"/>
      <c r="AV858" s="122"/>
      <c r="AW858" s="122"/>
      <c r="AX858" s="30"/>
      <c r="AY858" s="30"/>
      <c r="AZ858" s="30"/>
      <c r="BA858" s="30"/>
      <c r="BB858" s="26"/>
      <c r="BC858" s="26"/>
      <c r="BD858" s="26"/>
      <c r="BE858" s="26"/>
      <c r="BF858" s="26"/>
    </row>
    <row r="859" spans="1:58" ht="15.75" customHeight="1">
      <c r="A859" s="67"/>
      <c r="B859" s="67"/>
      <c r="C859" s="67"/>
      <c r="D859" s="68"/>
      <c r="E859" s="68"/>
      <c r="F859" s="68"/>
      <c r="G859" s="68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30"/>
      <c r="AO859" s="25"/>
      <c r="AP859" s="120"/>
      <c r="AQ859" s="120"/>
      <c r="AR859" s="121"/>
      <c r="AS859" s="96"/>
      <c r="AT859" s="122"/>
      <c r="AU859" s="123"/>
      <c r="AV859" s="122"/>
      <c r="AW859" s="122"/>
      <c r="AX859" s="30"/>
      <c r="AY859" s="30"/>
      <c r="AZ859" s="30"/>
      <c r="BA859" s="30"/>
      <c r="BB859" s="26"/>
      <c r="BC859" s="26"/>
      <c r="BD859" s="26"/>
      <c r="BE859" s="26"/>
      <c r="BF859" s="26"/>
    </row>
    <row r="860" spans="1:58" ht="15.75" customHeight="1">
      <c r="A860" s="67"/>
      <c r="B860" s="67"/>
      <c r="C860" s="67"/>
      <c r="D860" s="68"/>
      <c r="E860" s="68"/>
      <c r="F860" s="68"/>
      <c r="G860" s="68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30"/>
      <c r="AO860" s="25"/>
      <c r="AP860" s="120"/>
      <c r="AQ860" s="120"/>
      <c r="AR860" s="121"/>
      <c r="AS860" s="96"/>
      <c r="AT860" s="122"/>
      <c r="AU860" s="123"/>
      <c r="AV860" s="122"/>
      <c r="AW860" s="122"/>
      <c r="AX860" s="30"/>
      <c r="AY860" s="30"/>
      <c r="AZ860" s="30"/>
      <c r="BA860" s="30"/>
      <c r="BB860" s="26"/>
      <c r="BC860" s="26"/>
      <c r="BD860" s="26"/>
      <c r="BE860" s="26"/>
      <c r="BF860" s="26"/>
    </row>
    <row r="861" spans="1:58" ht="15.75" customHeight="1">
      <c r="A861" s="67"/>
      <c r="B861" s="67"/>
      <c r="C861" s="67"/>
      <c r="D861" s="68"/>
      <c r="E861" s="68"/>
      <c r="F861" s="68"/>
      <c r="G861" s="68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30"/>
      <c r="AO861" s="25"/>
      <c r="AP861" s="120"/>
      <c r="AQ861" s="120"/>
      <c r="AR861" s="121"/>
      <c r="AS861" s="96"/>
      <c r="AT861" s="122"/>
      <c r="AU861" s="123"/>
      <c r="AV861" s="122"/>
      <c r="AW861" s="122"/>
      <c r="AX861" s="30"/>
      <c r="AY861" s="30"/>
      <c r="AZ861" s="30"/>
      <c r="BA861" s="30"/>
      <c r="BB861" s="26"/>
      <c r="BC861" s="26"/>
      <c r="BD861" s="26"/>
      <c r="BE861" s="26"/>
      <c r="BF861" s="26"/>
    </row>
    <row r="862" spans="1:58" ht="15.75" customHeight="1">
      <c r="A862" s="67"/>
      <c r="B862" s="67"/>
      <c r="C862" s="67"/>
      <c r="D862" s="68"/>
      <c r="E862" s="68"/>
      <c r="F862" s="68"/>
      <c r="G862" s="68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30"/>
      <c r="AO862" s="25"/>
      <c r="AP862" s="120"/>
      <c r="AQ862" s="120"/>
      <c r="AR862" s="121"/>
      <c r="AS862" s="96"/>
      <c r="AT862" s="122"/>
      <c r="AU862" s="123"/>
      <c r="AV862" s="122"/>
      <c r="AW862" s="122"/>
      <c r="AX862" s="30"/>
      <c r="AY862" s="30"/>
      <c r="AZ862" s="30"/>
      <c r="BA862" s="30"/>
      <c r="BB862" s="26"/>
      <c r="BC862" s="26"/>
      <c r="BD862" s="26"/>
      <c r="BE862" s="26"/>
      <c r="BF862" s="26"/>
    </row>
    <row r="863" spans="1:58" ht="15.75" customHeight="1">
      <c r="A863" s="67"/>
      <c r="B863" s="67"/>
      <c r="C863" s="67"/>
      <c r="D863" s="68"/>
      <c r="E863" s="68"/>
      <c r="F863" s="68"/>
      <c r="G863" s="68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30"/>
      <c r="AO863" s="25"/>
      <c r="AP863" s="120"/>
      <c r="AQ863" s="120"/>
      <c r="AR863" s="121"/>
      <c r="AS863" s="96"/>
      <c r="AT863" s="122"/>
      <c r="AU863" s="123"/>
      <c r="AV863" s="122"/>
      <c r="AW863" s="122"/>
      <c r="AX863" s="30"/>
      <c r="AY863" s="30"/>
      <c r="AZ863" s="30"/>
      <c r="BA863" s="30"/>
      <c r="BB863" s="26"/>
      <c r="BC863" s="26"/>
      <c r="BD863" s="26"/>
      <c r="BE863" s="26"/>
      <c r="BF863" s="26"/>
    </row>
    <row r="864" spans="1:58" ht="15.75" customHeight="1">
      <c r="A864" s="67"/>
      <c r="B864" s="67"/>
      <c r="C864" s="67"/>
      <c r="D864" s="68"/>
      <c r="E864" s="68"/>
      <c r="F864" s="68"/>
      <c r="G864" s="68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30"/>
      <c r="AO864" s="25"/>
      <c r="AP864" s="120"/>
      <c r="AQ864" s="120"/>
      <c r="AR864" s="121"/>
      <c r="AS864" s="96"/>
      <c r="AT864" s="122"/>
      <c r="AU864" s="123"/>
      <c r="AV864" s="122"/>
      <c r="AW864" s="122"/>
      <c r="AX864" s="30"/>
      <c r="AY864" s="30"/>
      <c r="AZ864" s="30"/>
      <c r="BA864" s="30"/>
      <c r="BB864" s="26"/>
      <c r="BC864" s="26"/>
      <c r="BD864" s="26"/>
      <c r="BE864" s="26"/>
      <c r="BF864" s="26"/>
    </row>
    <row r="865" spans="1:58" ht="15.75" customHeight="1">
      <c r="A865" s="67"/>
      <c r="B865" s="67"/>
      <c r="C865" s="67"/>
      <c r="D865" s="68"/>
      <c r="E865" s="68"/>
      <c r="F865" s="68"/>
      <c r="G865" s="68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30"/>
      <c r="AO865" s="25"/>
      <c r="AP865" s="120"/>
      <c r="AQ865" s="120"/>
      <c r="AR865" s="121"/>
      <c r="AS865" s="96"/>
      <c r="AT865" s="122"/>
      <c r="AU865" s="123"/>
      <c r="AV865" s="122"/>
      <c r="AW865" s="122"/>
      <c r="AX865" s="30"/>
      <c r="AY865" s="30"/>
      <c r="AZ865" s="30"/>
      <c r="BA865" s="30"/>
      <c r="BB865" s="26"/>
      <c r="BC865" s="26"/>
      <c r="BD865" s="26"/>
      <c r="BE865" s="26"/>
      <c r="BF865" s="26"/>
    </row>
    <row r="866" spans="1:58" ht="15.75" customHeight="1">
      <c r="A866" s="67"/>
      <c r="B866" s="67"/>
      <c r="C866" s="67"/>
      <c r="D866" s="68"/>
      <c r="E866" s="68"/>
      <c r="F866" s="68"/>
      <c r="G866" s="68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30"/>
      <c r="AO866" s="25"/>
      <c r="AP866" s="120"/>
      <c r="AQ866" s="120"/>
      <c r="AR866" s="121"/>
      <c r="AS866" s="96"/>
      <c r="AT866" s="122"/>
      <c r="AU866" s="123"/>
      <c r="AV866" s="122"/>
      <c r="AW866" s="122"/>
      <c r="AX866" s="30"/>
      <c r="AY866" s="30"/>
      <c r="AZ866" s="30"/>
      <c r="BA866" s="30"/>
      <c r="BB866" s="26"/>
      <c r="BC866" s="26"/>
      <c r="BD866" s="26"/>
      <c r="BE866" s="26"/>
      <c r="BF866" s="26"/>
    </row>
    <row r="867" spans="1:58" ht="15.75" customHeight="1">
      <c r="A867" s="67"/>
      <c r="B867" s="67"/>
      <c r="C867" s="67"/>
      <c r="D867" s="68"/>
      <c r="E867" s="68"/>
      <c r="F867" s="68"/>
      <c r="G867" s="68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30"/>
      <c r="AO867" s="25"/>
      <c r="AP867" s="120"/>
      <c r="AQ867" s="120"/>
      <c r="AR867" s="121"/>
      <c r="AS867" s="96"/>
      <c r="AT867" s="122"/>
      <c r="AU867" s="123"/>
      <c r="AV867" s="122"/>
      <c r="AW867" s="122"/>
      <c r="AX867" s="30"/>
      <c r="AY867" s="30"/>
      <c r="AZ867" s="30"/>
      <c r="BA867" s="30"/>
      <c r="BB867" s="26"/>
      <c r="BC867" s="26"/>
      <c r="BD867" s="26"/>
      <c r="BE867" s="26"/>
      <c r="BF867" s="26"/>
    </row>
    <row r="868" spans="1:58" ht="15.75" customHeight="1">
      <c r="A868" s="67"/>
      <c r="B868" s="67"/>
      <c r="C868" s="67"/>
      <c r="D868" s="68"/>
      <c r="E868" s="68"/>
      <c r="F868" s="68"/>
      <c r="G868" s="68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30"/>
      <c r="AO868" s="25"/>
      <c r="AP868" s="120"/>
      <c r="AQ868" s="120"/>
      <c r="AR868" s="121"/>
      <c r="AS868" s="96"/>
      <c r="AT868" s="122"/>
      <c r="AU868" s="123"/>
      <c r="AV868" s="122"/>
      <c r="AW868" s="122"/>
      <c r="AX868" s="30"/>
      <c r="AY868" s="30"/>
      <c r="AZ868" s="30"/>
      <c r="BA868" s="30"/>
      <c r="BB868" s="26"/>
      <c r="BC868" s="26"/>
      <c r="BD868" s="26"/>
      <c r="BE868" s="26"/>
      <c r="BF868" s="26"/>
    </row>
    <row r="869" spans="1:58" ht="15.75" customHeight="1">
      <c r="A869" s="67"/>
      <c r="B869" s="67"/>
      <c r="C869" s="67"/>
      <c r="D869" s="68"/>
      <c r="E869" s="68"/>
      <c r="F869" s="68"/>
      <c r="G869" s="68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30"/>
      <c r="AO869" s="25"/>
      <c r="AP869" s="120"/>
      <c r="AQ869" s="120"/>
      <c r="AR869" s="121"/>
      <c r="AS869" s="96"/>
      <c r="AT869" s="122"/>
      <c r="AU869" s="123"/>
      <c r="AV869" s="122"/>
      <c r="AW869" s="122"/>
      <c r="AX869" s="30"/>
      <c r="AY869" s="30"/>
      <c r="AZ869" s="30"/>
      <c r="BA869" s="30"/>
      <c r="BB869" s="26"/>
      <c r="BC869" s="26"/>
      <c r="BD869" s="26"/>
      <c r="BE869" s="26"/>
      <c r="BF869" s="26"/>
    </row>
    <row r="870" spans="1:58" ht="15.75" customHeight="1">
      <c r="A870" s="67"/>
      <c r="B870" s="67"/>
      <c r="C870" s="67"/>
      <c r="D870" s="68"/>
      <c r="E870" s="68"/>
      <c r="F870" s="68"/>
      <c r="G870" s="68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30"/>
      <c r="AO870" s="25"/>
      <c r="AP870" s="120"/>
      <c r="AQ870" s="120"/>
      <c r="AR870" s="121"/>
      <c r="AS870" s="96"/>
      <c r="AT870" s="122"/>
      <c r="AU870" s="123"/>
      <c r="AV870" s="122"/>
      <c r="AW870" s="122"/>
      <c r="AX870" s="30"/>
      <c r="AY870" s="30"/>
      <c r="AZ870" s="30"/>
      <c r="BA870" s="30"/>
      <c r="BB870" s="26"/>
      <c r="BC870" s="26"/>
      <c r="BD870" s="26"/>
      <c r="BE870" s="26"/>
      <c r="BF870" s="26"/>
    </row>
    <row r="871" spans="1:58" ht="15.75" customHeight="1">
      <c r="A871" s="67"/>
      <c r="B871" s="67"/>
      <c r="C871" s="67"/>
      <c r="D871" s="68"/>
      <c r="E871" s="68"/>
      <c r="F871" s="68"/>
      <c r="G871" s="68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30"/>
      <c r="AO871" s="25"/>
      <c r="AP871" s="120"/>
      <c r="AQ871" s="120"/>
      <c r="AR871" s="121"/>
      <c r="AS871" s="96"/>
      <c r="AT871" s="122"/>
      <c r="AU871" s="123"/>
      <c r="AV871" s="122"/>
      <c r="AW871" s="122"/>
      <c r="AX871" s="30"/>
      <c r="AY871" s="30"/>
      <c r="AZ871" s="30"/>
      <c r="BA871" s="30"/>
      <c r="BB871" s="26"/>
      <c r="BC871" s="26"/>
      <c r="BD871" s="26"/>
      <c r="BE871" s="26"/>
      <c r="BF871" s="26"/>
    </row>
    <row r="872" spans="1:58" ht="15.75" customHeight="1">
      <c r="A872" s="67"/>
      <c r="B872" s="67"/>
      <c r="C872" s="67"/>
      <c r="D872" s="68"/>
      <c r="E872" s="68"/>
      <c r="F872" s="68"/>
      <c r="G872" s="68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30"/>
      <c r="AO872" s="25"/>
      <c r="AP872" s="120"/>
      <c r="AQ872" s="120"/>
      <c r="AR872" s="121"/>
      <c r="AS872" s="96"/>
      <c r="AT872" s="122"/>
      <c r="AU872" s="123"/>
      <c r="AV872" s="122"/>
      <c r="AW872" s="122"/>
      <c r="AX872" s="30"/>
      <c r="AY872" s="30"/>
      <c r="AZ872" s="30"/>
      <c r="BA872" s="30"/>
      <c r="BB872" s="26"/>
      <c r="BC872" s="26"/>
      <c r="BD872" s="26"/>
      <c r="BE872" s="26"/>
      <c r="BF872" s="26"/>
    </row>
    <row r="873" spans="1:58" ht="15.75" customHeight="1">
      <c r="A873" s="67"/>
      <c r="B873" s="67"/>
      <c r="C873" s="67"/>
      <c r="D873" s="68"/>
      <c r="E873" s="68"/>
      <c r="F873" s="68"/>
      <c r="G873" s="68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30"/>
      <c r="AO873" s="25"/>
      <c r="AP873" s="120"/>
      <c r="AQ873" s="120"/>
      <c r="AR873" s="121"/>
      <c r="AS873" s="96"/>
      <c r="AT873" s="122"/>
      <c r="AU873" s="123"/>
      <c r="AV873" s="122"/>
      <c r="AW873" s="122"/>
      <c r="AX873" s="30"/>
      <c r="AY873" s="30"/>
      <c r="AZ873" s="30"/>
      <c r="BA873" s="30"/>
      <c r="BB873" s="26"/>
      <c r="BC873" s="26"/>
      <c r="BD873" s="26"/>
      <c r="BE873" s="26"/>
      <c r="BF873" s="26"/>
    </row>
    <row r="874" spans="1:58" ht="15.75" customHeight="1">
      <c r="A874" s="67"/>
      <c r="B874" s="67"/>
      <c r="C874" s="67"/>
      <c r="D874" s="68"/>
      <c r="E874" s="68"/>
      <c r="F874" s="68"/>
      <c r="G874" s="68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30"/>
      <c r="AO874" s="25"/>
      <c r="AP874" s="120"/>
      <c r="AQ874" s="120"/>
      <c r="AR874" s="121"/>
      <c r="AS874" s="96"/>
      <c r="AT874" s="122"/>
      <c r="AU874" s="123"/>
      <c r="AV874" s="122"/>
      <c r="AW874" s="122"/>
      <c r="AX874" s="30"/>
      <c r="AY874" s="30"/>
      <c r="AZ874" s="30"/>
      <c r="BA874" s="30"/>
      <c r="BB874" s="26"/>
      <c r="BC874" s="26"/>
      <c r="BD874" s="26"/>
      <c r="BE874" s="26"/>
      <c r="BF874" s="26"/>
    </row>
    <row r="875" spans="1:58" ht="15.75" customHeight="1">
      <c r="A875" s="67"/>
      <c r="B875" s="67"/>
      <c r="C875" s="67"/>
      <c r="D875" s="68"/>
      <c r="E875" s="68"/>
      <c r="F875" s="68"/>
      <c r="G875" s="68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30"/>
      <c r="AO875" s="25"/>
      <c r="AP875" s="120"/>
      <c r="AQ875" s="120"/>
      <c r="AR875" s="121"/>
      <c r="AS875" s="96"/>
      <c r="AT875" s="122"/>
      <c r="AU875" s="123"/>
      <c r="AV875" s="122"/>
      <c r="AW875" s="122"/>
      <c r="AX875" s="30"/>
      <c r="AY875" s="30"/>
      <c r="AZ875" s="30"/>
      <c r="BA875" s="30"/>
      <c r="BB875" s="26"/>
      <c r="BC875" s="26"/>
      <c r="BD875" s="26"/>
      <c r="BE875" s="26"/>
      <c r="BF875" s="26"/>
    </row>
    <row r="876" spans="1:58" ht="15.75" customHeight="1">
      <c r="A876" s="67"/>
      <c r="B876" s="67"/>
      <c r="C876" s="67"/>
      <c r="D876" s="68"/>
      <c r="E876" s="68"/>
      <c r="F876" s="68"/>
      <c r="G876" s="68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30"/>
      <c r="AO876" s="25"/>
      <c r="AP876" s="120"/>
      <c r="AQ876" s="120"/>
      <c r="AR876" s="121"/>
      <c r="AS876" s="96"/>
      <c r="AT876" s="122"/>
      <c r="AU876" s="123"/>
      <c r="AV876" s="122"/>
      <c r="AW876" s="122"/>
      <c r="AX876" s="30"/>
      <c r="AY876" s="30"/>
      <c r="AZ876" s="30"/>
      <c r="BA876" s="30"/>
      <c r="BB876" s="26"/>
      <c r="BC876" s="26"/>
      <c r="BD876" s="26"/>
      <c r="BE876" s="26"/>
      <c r="BF876" s="26"/>
    </row>
    <row r="877" spans="1:58" ht="15.75" customHeight="1">
      <c r="A877" s="67"/>
      <c r="B877" s="67"/>
      <c r="C877" s="67"/>
      <c r="D877" s="68"/>
      <c r="E877" s="68"/>
      <c r="F877" s="68"/>
      <c r="G877" s="68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30"/>
      <c r="AO877" s="25"/>
      <c r="AP877" s="120"/>
      <c r="AQ877" s="120"/>
      <c r="AR877" s="121"/>
      <c r="AS877" s="96"/>
      <c r="AT877" s="122"/>
      <c r="AU877" s="123"/>
      <c r="AV877" s="122"/>
      <c r="AW877" s="122"/>
      <c r="AX877" s="30"/>
      <c r="AY877" s="30"/>
      <c r="AZ877" s="30"/>
      <c r="BA877" s="30"/>
      <c r="BB877" s="26"/>
      <c r="BC877" s="26"/>
      <c r="BD877" s="26"/>
      <c r="BE877" s="26"/>
      <c r="BF877" s="26"/>
    </row>
    <row r="878" spans="1:58" ht="15.75" customHeight="1">
      <c r="A878" s="67"/>
      <c r="B878" s="67"/>
      <c r="C878" s="67"/>
      <c r="D878" s="68"/>
      <c r="E878" s="68"/>
      <c r="F878" s="68"/>
      <c r="G878" s="68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30"/>
      <c r="AO878" s="25"/>
      <c r="AP878" s="120"/>
      <c r="AQ878" s="120"/>
      <c r="AR878" s="121"/>
      <c r="AS878" s="96"/>
      <c r="AT878" s="122"/>
      <c r="AU878" s="123"/>
      <c r="AV878" s="122"/>
      <c r="AW878" s="122"/>
      <c r="AX878" s="30"/>
      <c r="AY878" s="30"/>
      <c r="AZ878" s="30"/>
      <c r="BA878" s="30"/>
      <c r="BB878" s="26"/>
      <c r="BC878" s="26"/>
      <c r="BD878" s="26"/>
      <c r="BE878" s="26"/>
      <c r="BF878" s="26"/>
    </row>
    <row r="879" spans="1:58" ht="15.75" customHeight="1">
      <c r="A879" s="67"/>
      <c r="B879" s="67"/>
      <c r="C879" s="67"/>
      <c r="D879" s="68"/>
      <c r="E879" s="68"/>
      <c r="F879" s="68"/>
      <c r="G879" s="68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30"/>
      <c r="AO879" s="25"/>
      <c r="AP879" s="120"/>
      <c r="AQ879" s="120"/>
      <c r="AR879" s="121"/>
      <c r="AS879" s="96"/>
      <c r="AT879" s="122"/>
      <c r="AU879" s="123"/>
      <c r="AV879" s="122"/>
      <c r="AW879" s="122"/>
      <c r="AX879" s="30"/>
      <c r="AY879" s="30"/>
      <c r="AZ879" s="30"/>
      <c r="BA879" s="30"/>
      <c r="BB879" s="26"/>
      <c r="BC879" s="26"/>
      <c r="BD879" s="26"/>
      <c r="BE879" s="26"/>
      <c r="BF879" s="26"/>
    </row>
    <row r="880" spans="1:58" ht="15.75" customHeight="1">
      <c r="A880" s="67"/>
      <c r="B880" s="67"/>
      <c r="C880" s="67"/>
      <c r="D880" s="68"/>
      <c r="E880" s="68"/>
      <c r="F880" s="68"/>
      <c r="G880" s="68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30"/>
      <c r="AO880" s="25"/>
      <c r="AP880" s="120"/>
      <c r="AQ880" s="120"/>
      <c r="AR880" s="121"/>
      <c r="AS880" s="96"/>
      <c r="AT880" s="122"/>
      <c r="AU880" s="123"/>
      <c r="AV880" s="122"/>
      <c r="AW880" s="122"/>
      <c r="AX880" s="30"/>
      <c r="AY880" s="30"/>
      <c r="AZ880" s="30"/>
      <c r="BA880" s="30"/>
      <c r="BB880" s="26"/>
      <c r="BC880" s="26"/>
      <c r="BD880" s="26"/>
      <c r="BE880" s="26"/>
      <c r="BF880" s="26"/>
    </row>
    <row r="881" spans="1:58" ht="15.75" customHeight="1">
      <c r="A881" s="67"/>
      <c r="B881" s="67"/>
      <c r="C881" s="67"/>
      <c r="D881" s="68"/>
      <c r="E881" s="68"/>
      <c r="F881" s="68"/>
      <c r="G881" s="68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30"/>
      <c r="AO881" s="25"/>
      <c r="AP881" s="120"/>
      <c r="AQ881" s="120"/>
      <c r="AR881" s="121"/>
      <c r="AS881" s="96"/>
      <c r="AT881" s="122"/>
      <c r="AU881" s="123"/>
      <c r="AV881" s="122"/>
      <c r="AW881" s="122"/>
      <c r="AX881" s="30"/>
      <c r="AY881" s="30"/>
      <c r="AZ881" s="30"/>
      <c r="BA881" s="30"/>
      <c r="BB881" s="26"/>
      <c r="BC881" s="26"/>
      <c r="BD881" s="26"/>
      <c r="BE881" s="26"/>
      <c r="BF881" s="26"/>
    </row>
    <row r="882" spans="1:58" ht="15.75" customHeight="1">
      <c r="A882" s="67"/>
      <c r="B882" s="67"/>
      <c r="C882" s="67"/>
      <c r="D882" s="68"/>
      <c r="E882" s="68"/>
      <c r="F882" s="68"/>
      <c r="G882" s="68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30"/>
      <c r="AO882" s="25"/>
      <c r="AP882" s="120"/>
      <c r="AQ882" s="120"/>
      <c r="AR882" s="121"/>
      <c r="AS882" s="96"/>
      <c r="AT882" s="122"/>
      <c r="AU882" s="123"/>
      <c r="AV882" s="122"/>
      <c r="AW882" s="122"/>
      <c r="AX882" s="30"/>
      <c r="AY882" s="30"/>
      <c r="AZ882" s="30"/>
      <c r="BA882" s="30"/>
      <c r="BB882" s="26"/>
      <c r="BC882" s="26"/>
      <c r="BD882" s="26"/>
      <c r="BE882" s="26"/>
      <c r="BF882" s="26"/>
    </row>
    <row r="883" spans="1:58" ht="15.75" customHeight="1">
      <c r="A883" s="67"/>
      <c r="B883" s="67"/>
      <c r="C883" s="67"/>
      <c r="D883" s="68"/>
      <c r="E883" s="68"/>
      <c r="F883" s="68"/>
      <c r="G883" s="68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30"/>
      <c r="AO883" s="25"/>
      <c r="AP883" s="120"/>
      <c r="AQ883" s="120"/>
      <c r="AR883" s="121"/>
      <c r="AS883" s="96"/>
      <c r="AT883" s="122"/>
      <c r="AU883" s="123"/>
      <c r="AV883" s="122"/>
      <c r="AW883" s="122"/>
      <c r="AX883" s="30"/>
      <c r="AY883" s="30"/>
      <c r="AZ883" s="30"/>
      <c r="BA883" s="30"/>
      <c r="BB883" s="26"/>
      <c r="BC883" s="26"/>
      <c r="BD883" s="26"/>
      <c r="BE883" s="26"/>
      <c r="BF883" s="26"/>
    </row>
    <row r="884" spans="1:58" ht="15.75" customHeight="1">
      <c r="A884" s="67"/>
      <c r="B884" s="67"/>
      <c r="C884" s="67"/>
      <c r="D884" s="68"/>
      <c r="E884" s="68"/>
      <c r="F884" s="68"/>
      <c r="G884" s="68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30"/>
      <c r="AO884" s="25"/>
      <c r="AP884" s="120"/>
      <c r="AQ884" s="120"/>
      <c r="AR884" s="121"/>
      <c r="AS884" s="96"/>
      <c r="AT884" s="122"/>
      <c r="AU884" s="123"/>
      <c r="AV884" s="122"/>
      <c r="AW884" s="122"/>
      <c r="AX884" s="30"/>
      <c r="AY884" s="30"/>
      <c r="AZ884" s="30"/>
      <c r="BA884" s="30"/>
      <c r="BB884" s="26"/>
      <c r="BC884" s="26"/>
      <c r="BD884" s="26"/>
      <c r="BE884" s="26"/>
      <c r="BF884" s="26"/>
    </row>
    <row r="885" spans="1:58" ht="15.75" customHeight="1">
      <c r="A885" s="67"/>
      <c r="B885" s="67"/>
      <c r="C885" s="67"/>
      <c r="D885" s="68"/>
      <c r="E885" s="68"/>
      <c r="F885" s="68"/>
      <c r="G885" s="68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30"/>
      <c r="AO885" s="25"/>
      <c r="AP885" s="120"/>
      <c r="AQ885" s="120"/>
      <c r="AR885" s="121"/>
      <c r="AS885" s="96"/>
      <c r="AT885" s="122"/>
      <c r="AU885" s="123"/>
      <c r="AV885" s="122"/>
      <c r="AW885" s="122"/>
      <c r="AX885" s="30"/>
      <c r="AY885" s="30"/>
      <c r="AZ885" s="30"/>
      <c r="BA885" s="30"/>
      <c r="BB885" s="26"/>
      <c r="BC885" s="26"/>
      <c r="BD885" s="26"/>
      <c r="BE885" s="26"/>
      <c r="BF885" s="26"/>
    </row>
    <row r="886" spans="1:58" ht="15.75" customHeight="1">
      <c r="A886" s="67"/>
      <c r="B886" s="67"/>
      <c r="C886" s="67"/>
      <c r="D886" s="68"/>
      <c r="E886" s="68"/>
      <c r="F886" s="68"/>
      <c r="G886" s="68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30"/>
      <c r="AO886" s="25"/>
      <c r="AP886" s="120"/>
      <c r="AQ886" s="120"/>
      <c r="AR886" s="121"/>
      <c r="AS886" s="96"/>
      <c r="AT886" s="122"/>
      <c r="AU886" s="123"/>
      <c r="AV886" s="122"/>
      <c r="AW886" s="122"/>
      <c r="AX886" s="30"/>
      <c r="AY886" s="30"/>
      <c r="AZ886" s="30"/>
      <c r="BA886" s="30"/>
      <c r="BB886" s="26"/>
      <c r="BC886" s="26"/>
      <c r="BD886" s="26"/>
      <c r="BE886" s="26"/>
      <c r="BF886" s="26"/>
    </row>
    <row r="887" spans="1:58" ht="15.75" customHeight="1">
      <c r="A887" s="67"/>
      <c r="B887" s="67"/>
      <c r="C887" s="67"/>
      <c r="D887" s="68"/>
      <c r="E887" s="68"/>
      <c r="F887" s="68"/>
      <c r="G887" s="68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30"/>
      <c r="AO887" s="25"/>
      <c r="AP887" s="120"/>
      <c r="AQ887" s="120"/>
      <c r="AR887" s="121"/>
      <c r="AS887" s="96"/>
      <c r="AT887" s="122"/>
      <c r="AU887" s="123"/>
      <c r="AV887" s="122"/>
      <c r="AW887" s="122"/>
      <c r="AX887" s="30"/>
      <c r="AY887" s="30"/>
      <c r="AZ887" s="30"/>
      <c r="BA887" s="30"/>
      <c r="BB887" s="26"/>
      <c r="BC887" s="26"/>
      <c r="BD887" s="26"/>
      <c r="BE887" s="26"/>
      <c r="BF887" s="26"/>
    </row>
    <row r="888" spans="1:58" ht="15.75" customHeight="1">
      <c r="A888" s="67"/>
      <c r="B888" s="67"/>
      <c r="C888" s="67"/>
      <c r="D888" s="68"/>
      <c r="E888" s="68"/>
      <c r="F888" s="68"/>
      <c r="G888" s="68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30"/>
      <c r="AO888" s="25"/>
      <c r="AP888" s="120"/>
      <c r="AQ888" s="120"/>
      <c r="AR888" s="121"/>
      <c r="AS888" s="96"/>
      <c r="AT888" s="122"/>
      <c r="AU888" s="123"/>
      <c r="AV888" s="122"/>
      <c r="AW888" s="122"/>
      <c r="AX888" s="30"/>
      <c r="AY888" s="30"/>
      <c r="AZ888" s="30"/>
      <c r="BA888" s="30"/>
      <c r="BB888" s="26"/>
      <c r="BC888" s="26"/>
      <c r="BD888" s="26"/>
      <c r="BE888" s="26"/>
      <c r="BF888" s="26"/>
    </row>
    <row r="889" spans="1:58" ht="15.75" customHeight="1">
      <c r="A889" s="67"/>
      <c r="B889" s="67"/>
      <c r="C889" s="67"/>
      <c r="D889" s="68"/>
      <c r="E889" s="68"/>
      <c r="F889" s="68"/>
      <c r="G889" s="68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30"/>
      <c r="AO889" s="25"/>
      <c r="AP889" s="120"/>
      <c r="AQ889" s="120"/>
      <c r="AR889" s="121"/>
      <c r="AS889" s="96"/>
      <c r="AT889" s="122"/>
      <c r="AU889" s="123"/>
      <c r="AV889" s="122"/>
      <c r="AW889" s="122"/>
      <c r="AX889" s="30"/>
      <c r="AY889" s="30"/>
      <c r="AZ889" s="30"/>
      <c r="BA889" s="30"/>
      <c r="BB889" s="26"/>
      <c r="BC889" s="26"/>
      <c r="BD889" s="26"/>
      <c r="BE889" s="26"/>
      <c r="BF889" s="26"/>
    </row>
    <row r="890" spans="1:58" ht="15.75" customHeight="1">
      <c r="A890" s="67"/>
      <c r="B890" s="67"/>
      <c r="C890" s="67"/>
      <c r="D890" s="68"/>
      <c r="E890" s="68"/>
      <c r="F890" s="68"/>
      <c r="G890" s="68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30"/>
      <c r="AO890" s="25"/>
      <c r="AP890" s="120"/>
      <c r="AQ890" s="120"/>
      <c r="AR890" s="121"/>
      <c r="AS890" s="96"/>
      <c r="AT890" s="122"/>
      <c r="AU890" s="123"/>
      <c r="AV890" s="122"/>
      <c r="AW890" s="122"/>
      <c r="AX890" s="30"/>
      <c r="AY890" s="30"/>
      <c r="AZ890" s="30"/>
      <c r="BA890" s="30"/>
      <c r="BB890" s="26"/>
      <c r="BC890" s="26"/>
      <c r="BD890" s="26"/>
      <c r="BE890" s="26"/>
      <c r="BF890" s="26"/>
    </row>
    <row r="891" spans="1:58" ht="15.75" customHeight="1">
      <c r="A891" s="67"/>
      <c r="B891" s="67"/>
      <c r="C891" s="67"/>
      <c r="D891" s="68"/>
      <c r="E891" s="68"/>
      <c r="F891" s="68"/>
      <c r="G891" s="68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30"/>
      <c r="AO891" s="25"/>
      <c r="AP891" s="120"/>
      <c r="AQ891" s="120"/>
      <c r="AR891" s="121"/>
      <c r="AS891" s="96"/>
      <c r="AT891" s="122"/>
      <c r="AU891" s="123"/>
      <c r="AV891" s="122"/>
      <c r="AW891" s="122"/>
      <c r="AX891" s="30"/>
      <c r="AY891" s="30"/>
      <c r="AZ891" s="30"/>
      <c r="BA891" s="30"/>
      <c r="BB891" s="26"/>
      <c r="BC891" s="26"/>
      <c r="BD891" s="26"/>
      <c r="BE891" s="26"/>
      <c r="BF891" s="26"/>
    </row>
    <row r="892" spans="1:58" ht="15.75" customHeight="1">
      <c r="A892" s="67"/>
      <c r="B892" s="67"/>
      <c r="C892" s="67"/>
      <c r="D892" s="68"/>
      <c r="E892" s="68"/>
      <c r="F892" s="68"/>
      <c r="G892" s="68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30"/>
      <c r="AO892" s="25"/>
      <c r="AP892" s="120"/>
      <c r="AQ892" s="120"/>
      <c r="AR892" s="121"/>
      <c r="AS892" s="96"/>
      <c r="AT892" s="122"/>
      <c r="AU892" s="123"/>
      <c r="AV892" s="122"/>
      <c r="AW892" s="122"/>
      <c r="AX892" s="30"/>
      <c r="AY892" s="30"/>
      <c r="AZ892" s="30"/>
      <c r="BA892" s="30"/>
      <c r="BB892" s="26"/>
      <c r="BC892" s="26"/>
      <c r="BD892" s="26"/>
      <c r="BE892" s="26"/>
      <c r="BF892" s="26"/>
    </row>
    <row r="893" spans="1:58" ht="15.75" customHeight="1">
      <c r="A893" s="67"/>
      <c r="B893" s="67"/>
      <c r="C893" s="67"/>
      <c r="D893" s="68"/>
      <c r="E893" s="68"/>
      <c r="F893" s="68"/>
      <c r="G893" s="68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30"/>
      <c r="AO893" s="25"/>
      <c r="AP893" s="120"/>
      <c r="AQ893" s="120"/>
      <c r="AR893" s="121"/>
      <c r="AS893" s="96"/>
      <c r="AT893" s="122"/>
      <c r="AU893" s="123"/>
      <c r="AV893" s="122"/>
      <c r="AW893" s="122"/>
      <c r="AX893" s="30"/>
      <c r="AY893" s="30"/>
      <c r="AZ893" s="30"/>
      <c r="BA893" s="30"/>
      <c r="BB893" s="26"/>
      <c r="BC893" s="26"/>
      <c r="BD893" s="26"/>
      <c r="BE893" s="26"/>
      <c r="BF893" s="26"/>
    </row>
    <row r="894" spans="1:58" ht="15.75" customHeight="1">
      <c r="A894" s="67"/>
      <c r="B894" s="67"/>
      <c r="C894" s="67"/>
      <c r="D894" s="68"/>
      <c r="E894" s="68"/>
      <c r="F894" s="68"/>
      <c r="G894" s="68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30"/>
      <c r="AO894" s="25"/>
      <c r="AP894" s="120"/>
      <c r="AQ894" s="120"/>
      <c r="AR894" s="121"/>
      <c r="AS894" s="96"/>
      <c r="AT894" s="122"/>
      <c r="AU894" s="123"/>
      <c r="AV894" s="122"/>
      <c r="AW894" s="122"/>
      <c r="AX894" s="30"/>
      <c r="AY894" s="30"/>
      <c r="AZ894" s="30"/>
      <c r="BA894" s="30"/>
      <c r="BB894" s="26"/>
      <c r="BC894" s="26"/>
      <c r="BD894" s="26"/>
      <c r="BE894" s="26"/>
      <c r="BF894" s="26"/>
    </row>
    <row r="895" spans="1:58" ht="15.75" customHeight="1">
      <c r="A895" s="67"/>
      <c r="B895" s="67"/>
      <c r="C895" s="67"/>
      <c r="D895" s="68"/>
      <c r="E895" s="68"/>
      <c r="F895" s="68"/>
      <c r="G895" s="68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30"/>
      <c r="AO895" s="25"/>
      <c r="AP895" s="120"/>
      <c r="AQ895" s="120"/>
      <c r="AR895" s="121"/>
      <c r="AS895" s="96"/>
      <c r="AT895" s="122"/>
      <c r="AU895" s="123"/>
      <c r="AV895" s="122"/>
      <c r="AW895" s="122"/>
      <c r="AX895" s="30"/>
      <c r="AY895" s="30"/>
      <c r="AZ895" s="30"/>
      <c r="BA895" s="30"/>
      <c r="BB895" s="26"/>
      <c r="BC895" s="26"/>
      <c r="BD895" s="26"/>
      <c r="BE895" s="26"/>
      <c r="BF895" s="26"/>
    </row>
    <row r="896" spans="1:58" ht="15.75" customHeight="1">
      <c r="A896" s="67"/>
      <c r="B896" s="67"/>
      <c r="C896" s="67"/>
      <c r="D896" s="68"/>
      <c r="E896" s="68"/>
      <c r="F896" s="68"/>
      <c r="G896" s="68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30"/>
      <c r="AO896" s="25"/>
      <c r="AP896" s="120"/>
      <c r="AQ896" s="120"/>
      <c r="AR896" s="121"/>
      <c r="AS896" s="96"/>
      <c r="AT896" s="122"/>
      <c r="AU896" s="123"/>
      <c r="AV896" s="122"/>
      <c r="AW896" s="122"/>
      <c r="AX896" s="30"/>
      <c r="AY896" s="30"/>
      <c r="AZ896" s="30"/>
      <c r="BA896" s="30"/>
      <c r="BB896" s="26"/>
      <c r="BC896" s="26"/>
      <c r="BD896" s="26"/>
      <c r="BE896" s="26"/>
      <c r="BF896" s="26"/>
    </row>
    <row r="897" spans="1:58" ht="15.75" customHeight="1">
      <c r="A897" s="67"/>
      <c r="B897" s="67"/>
      <c r="C897" s="67"/>
      <c r="D897" s="68"/>
      <c r="E897" s="68"/>
      <c r="F897" s="68"/>
      <c r="G897" s="68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30"/>
      <c r="AO897" s="25"/>
      <c r="AP897" s="120"/>
      <c r="AQ897" s="120"/>
      <c r="AR897" s="121"/>
      <c r="AS897" s="96"/>
      <c r="AT897" s="122"/>
      <c r="AU897" s="123"/>
      <c r="AV897" s="122"/>
      <c r="AW897" s="122"/>
      <c r="AX897" s="30"/>
      <c r="AY897" s="30"/>
      <c r="AZ897" s="30"/>
      <c r="BA897" s="30"/>
      <c r="BB897" s="26"/>
      <c r="BC897" s="26"/>
      <c r="BD897" s="26"/>
      <c r="BE897" s="26"/>
      <c r="BF897" s="26"/>
    </row>
    <row r="898" spans="1:58" ht="15.75" customHeight="1">
      <c r="A898" s="67"/>
      <c r="B898" s="67"/>
      <c r="C898" s="67"/>
      <c r="D898" s="68"/>
      <c r="E898" s="68"/>
      <c r="F898" s="68"/>
      <c r="G898" s="68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30"/>
      <c r="AO898" s="25"/>
      <c r="AP898" s="120"/>
      <c r="AQ898" s="120"/>
      <c r="AR898" s="121"/>
      <c r="AS898" s="96"/>
      <c r="AT898" s="122"/>
      <c r="AU898" s="123"/>
      <c r="AV898" s="122"/>
      <c r="AW898" s="122"/>
      <c r="AX898" s="30"/>
      <c r="AY898" s="30"/>
      <c r="AZ898" s="30"/>
      <c r="BA898" s="30"/>
      <c r="BB898" s="26"/>
      <c r="BC898" s="26"/>
      <c r="BD898" s="26"/>
      <c r="BE898" s="26"/>
      <c r="BF898" s="26"/>
    </row>
    <row r="899" spans="1:58" ht="15.75" customHeight="1">
      <c r="A899" s="67"/>
      <c r="B899" s="67"/>
      <c r="C899" s="67"/>
      <c r="D899" s="68"/>
      <c r="E899" s="68"/>
      <c r="F899" s="68"/>
      <c r="G899" s="68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30"/>
      <c r="AO899" s="25"/>
      <c r="AP899" s="120"/>
      <c r="AQ899" s="120"/>
      <c r="AR899" s="121"/>
      <c r="AS899" s="96"/>
      <c r="AT899" s="122"/>
      <c r="AU899" s="123"/>
      <c r="AV899" s="122"/>
      <c r="AW899" s="122"/>
      <c r="AX899" s="30"/>
      <c r="AY899" s="30"/>
      <c r="AZ899" s="30"/>
      <c r="BA899" s="30"/>
      <c r="BB899" s="26"/>
      <c r="BC899" s="26"/>
      <c r="BD899" s="26"/>
      <c r="BE899" s="26"/>
      <c r="BF899" s="26"/>
    </row>
    <row r="900" spans="1:58" ht="15.75" customHeight="1">
      <c r="A900" s="67"/>
      <c r="B900" s="67"/>
      <c r="C900" s="67"/>
      <c r="D900" s="68"/>
      <c r="E900" s="68"/>
      <c r="F900" s="68"/>
      <c r="G900" s="68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30"/>
      <c r="AO900" s="25"/>
      <c r="AP900" s="120"/>
      <c r="AQ900" s="120"/>
      <c r="AR900" s="121"/>
      <c r="AS900" s="96"/>
      <c r="AT900" s="122"/>
      <c r="AU900" s="123"/>
      <c r="AV900" s="122"/>
      <c r="AW900" s="122"/>
      <c r="AX900" s="30"/>
      <c r="AY900" s="30"/>
      <c r="AZ900" s="30"/>
      <c r="BA900" s="30"/>
      <c r="BB900" s="26"/>
      <c r="BC900" s="26"/>
      <c r="BD900" s="26"/>
      <c r="BE900" s="26"/>
      <c r="BF900" s="26"/>
    </row>
    <row r="901" spans="1:58" ht="15.75" customHeight="1">
      <c r="A901" s="67"/>
      <c r="B901" s="67"/>
      <c r="C901" s="67"/>
      <c r="D901" s="68"/>
      <c r="E901" s="68"/>
      <c r="F901" s="68"/>
      <c r="G901" s="68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30"/>
      <c r="AO901" s="25"/>
      <c r="AP901" s="120"/>
      <c r="AQ901" s="120"/>
      <c r="AR901" s="121"/>
      <c r="AS901" s="96"/>
      <c r="AT901" s="122"/>
      <c r="AU901" s="123"/>
      <c r="AV901" s="122"/>
      <c r="AW901" s="122"/>
      <c r="AX901" s="30"/>
      <c r="AY901" s="30"/>
      <c r="AZ901" s="30"/>
      <c r="BA901" s="30"/>
      <c r="BB901" s="26"/>
      <c r="BC901" s="26"/>
      <c r="BD901" s="26"/>
      <c r="BE901" s="26"/>
      <c r="BF901" s="26"/>
    </row>
    <row r="902" spans="1:58" ht="15.75" customHeight="1">
      <c r="A902" s="67"/>
      <c r="B902" s="67"/>
      <c r="C902" s="67"/>
      <c r="D902" s="68"/>
      <c r="E902" s="68"/>
      <c r="F902" s="68"/>
      <c r="G902" s="68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30"/>
      <c r="AO902" s="25"/>
      <c r="AP902" s="120"/>
      <c r="AQ902" s="120"/>
      <c r="AR902" s="121"/>
      <c r="AS902" s="96"/>
      <c r="AT902" s="122"/>
      <c r="AU902" s="123"/>
      <c r="AV902" s="122"/>
      <c r="AW902" s="122"/>
      <c r="AX902" s="30"/>
      <c r="AY902" s="30"/>
      <c r="AZ902" s="30"/>
      <c r="BA902" s="30"/>
      <c r="BB902" s="26"/>
      <c r="BC902" s="26"/>
      <c r="BD902" s="26"/>
      <c r="BE902" s="26"/>
      <c r="BF902" s="26"/>
    </row>
    <row r="903" spans="1:58" ht="15.75" customHeight="1">
      <c r="A903" s="67"/>
      <c r="B903" s="67"/>
      <c r="C903" s="67"/>
      <c r="D903" s="68"/>
      <c r="E903" s="68"/>
      <c r="F903" s="68"/>
      <c r="G903" s="68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30"/>
      <c r="AO903" s="25"/>
      <c r="AP903" s="120"/>
      <c r="AQ903" s="120"/>
      <c r="AR903" s="121"/>
      <c r="AS903" s="96"/>
      <c r="AT903" s="122"/>
      <c r="AU903" s="123"/>
      <c r="AV903" s="122"/>
      <c r="AW903" s="122"/>
      <c r="AX903" s="30"/>
      <c r="AY903" s="30"/>
      <c r="AZ903" s="30"/>
      <c r="BA903" s="30"/>
      <c r="BB903" s="26"/>
      <c r="BC903" s="26"/>
      <c r="BD903" s="26"/>
      <c r="BE903" s="26"/>
      <c r="BF903" s="26"/>
    </row>
    <row r="904" spans="1:58" ht="15.75" customHeight="1">
      <c r="A904" s="67"/>
      <c r="B904" s="67"/>
      <c r="C904" s="67"/>
      <c r="D904" s="68"/>
      <c r="E904" s="68"/>
      <c r="F904" s="68"/>
      <c r="G904" s="68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30"/>
      <c r="AO904" s="25"/>
      <c r="AP904" s="120"/>
      <c r="AQ904" s="120"/>
      <c r="AR904" s="121"/>
      <c r="AS904" s="96"/>
      <c r="AT904" s="122"/>
      <c r="AU904" s="123"/>
      <c r="AV904" s="122"/>
      <c r="AW904" s="122"/>
      <c r="AX904" s="30"/>
      <c r="AY904" s="30"/>
      <c r="AZ904" s="30"/>
      <c r="BA904" s="30"/>
      <c r="BB904" s="26"/>
      <c r="BC904" s="26"/>
      <c r="BD904" s="26"/>
      <c r="BE904" s="26"/>
      <c r="BF904" s="26"/>
    </row>
    <row r="905" spans="1:58" ht="15.75" customHeight="1">
      <c r="A905" s="67"/>
      <c r="B905" s="67"/>
      <c r="C905" s="67"/>
      <c r="D905" s="68"/>
      <c r="E905" s="68"/>
      <c r="F905" s="68"/>
      <c r="G905" s="68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30"/>
      <c r="AO905" s="25"/>
      <c r="AP905" s="120"/>
      <c r="AQ905" s="120"/>
      <c r="AR905" s="121"/>
      <c r="AS905" s="96"/>
      <c r="AT905" s="122"/>
      <c r="AU905" s="123"/>
      <c r="AV905" s="122"/>
      <c r="AW905" s="122"/>
      <c r="AX905" s="30"/>
      <c r="AY905" s="30"/>
      <c r="AZ905" s="30"/>
      <c r="BA905" s="30"/>
      <c r="BB905" s="26"/>
      <c r="BC905" s="26"/>
      <c r="BD905" s="26"/>
      <c r="BE905" s="26"/>
      <c r="BF905" s="26"/>
    </row>
    <row r="906" spans="1:58" ht="15.75" customHeight="1">
      <c r="A906" s="67"/>
      <c r="B906" s="67"/>
      <c r="C906" s="67"/>
      <c r="D906" s="68"/>
      <c r="E906" s="68"/>
      <c r="F906" s="68"/>
      <c r="G906" s="68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30"/>
      <c r="AO906" s="25"/>
      <c r="AP906" s="120"/>
      <c r="AQ906" s="120"/>
      <c r="AR906" s="121"/>
      <c r="AS906" s="96"/>
      <c r="AT906" s="122"/>
      <c r="AU906" s="123"/>
      <c r="AV906" s="122"/>
      <c r="AW906" s="122"/>
      <c r="AX906" s="30"/>
      <c r="AY906" s="30"/>
      <c r="AZ906" s="30"/>
      <c r="BA906" s="30"/>
      <c r="BB906" s="26"/>
      <c r="BC906" s="26"/>
      <c r="BD906" s="26"/>
      <c r="BE906" s="26"/>
      <c r="BF906" s="26"/>
    </row>
    <row r="907" spans="1:58" ht="15.75" customHeight="1">
      <c r="A907" s="67"/>
      <c r="B907" s="67"/>
      <c r="C907" s="67"/>
      <c r="D907" s="68"/>
      <c r="E907" s="68"/>
      <c r="F907" s="68"/>
      <c r="G907" s="68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30"/>
      <c r="AO907" s="25"/>
      <c r="AP907" s="120"/>
      <c r="AQ907" s="120"/>
      <c r="AR907" s="121"/>
      <c r="AS907" s="96"/>
      <c r="AT907" s="122"/>
      <c r="AU907" s="123"/>
      <c r="AV907" s="122"/>
      <c r="AW907" s="122"/>
      <c r="AX907" s="30"/>
      <c r="AY907" s="30"/>
      <c r="AZ907" s="30"/>
      <c r="BA907" s="30"/>
      <c r="BB907" s="26"/>
      <c r="BC907" s="26"/>
      <c r="BD907" s="26"/>
      <c r="BE907" s="26"/>
      <c r="BF907" s="26"/>
    </row>
    <row r="908" spans="1:58" ht="15.75" customHeight="1">
      <c r="A908" s="67"/>
      <c r="B908" s="67"/>
      <c r="C908" s="67"/>
      <c r="D908" s="68"/>
      <c r="E908" s="68"/>
      <c r="F908" s="68"/>
      <c r="G908" s="68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30"/>
      <c r="AO908" s="25"/>
      <c r="AP908" s="120"/>
      <c r="AQ908" s="120"/>
      <c r="AR908" s="121"/>
      <c r="AS908" s="96"/>
      <c r="AT908" s="122"/>
      <c r="AU908" s="123"/>
      <c r="AV908" s="122"/>
      <c r="AW908" s="122"/>
      <c r="AX908" s="30"/>
      <c r="AY908" s="30"/>
      <c r="AZ908" s="30"/>
      <c r="BA908" s="30"/>
      <c r="BB908" s="26"/>
      <c r="BC908" s="26"/>
      <c r="BD908" s="26"/>
      <c r="BE908" s="26"/>
      <c r="BF908" s="26"/>
    </row>
    <row r="909" spans="1:58" ht="15.75" customHeight="1">
      <c r="A909" s="67"/>
      <c r="B909" s="67"/>
      <c r="C909" s="67"/>
      <c r="D909" s="68"/>
      <c r="E909" s="68"/>
      <c r="F909" s="68"/>
      <c r="G909" s="68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30"/>
      <c r="AO909" s="25"/>
      <c r="AP909" s="120"/>
      <c r="AQ909" s="120"/>
      <c r="AR909" s="121"/>
      <c r="AS909" s="96"/>
      <c r="AT909" s="122"/>
      <c r="AU909" s="123"/>
      <c r="AV909" s="122"/>
      <c r="AW909" s="122"/>
      <c r="AX909" s="30"/>
      <c r="AY909" s="30"/>
      <c r="AZ909" s="30"/>
      <c r="BA909" s="30"/>
      <c r="BB909" s="26"/>
      <c r="BC909" s="26"/>
      <c r="BD909" s="26"/>
      <c r="BE909" s="26"/>
      <c r="BF909" s="26"/>
    </row>
    <row r="910" spans="1:58" ht="15.75" customHeight="1">
      <c r="A910" s="67"/>
      <c r="B910" s="67"/>
      <c r="C910" s="67"/>
      <c r="D910" s="68"/>
      <c r="E910" s="68"/>
      <c r="F910" s="68"/>
      <c r="G910" s="68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30"/>
      <c r="AO910" s="25"/>
      <c r="AP910" s="120"/>
      <c r="AQ910" s="120"/>
      <c r="AR910" s="121"/>
      <c r="AS910" s="96"/>
      <c r="AT910" s="122"/>
      <c r="AU910" s="123"/>
      <c r="AV910" s="122"/>
      <c r="AW910" s="122"/>
      <c r="AX910" s="30"/>
      <c r="AY910" s="30"/>
      <c r="AZ910" s="30"/>
      <c r="BA910" s="30"/>
      <c r="BB910" s="26"/>
      <c r="BC910" s="26"/>
      <c r="BD910" s="26"/>
      <c r="BE910" s="26"/>
      <c r="BF910" s="26"/>
    </row>
    <row r="911" spans="1:58" ht="15.75" customHeight="1">
      <c r="A911" s="67"/>
      <c r="B911" s="67"/>
      <c r="C911" s="67"/>
      <c r="D911" s="68"/>
      <c r="E911" s="68"/>
      <c r="F911" s="68"/>
      <c r="G911" s="68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30"/>
      <c r="AO911" s="25"/>
      <c r="AP911" s="120"/>
      <c r="AQ911" s="120"/>
      <c r="AR911" s="121"/>
      <c r="AS911" s="96"/>
      <c r="AT911" s="122"/>
      <c r="AU911" s="123"/>
      <c r="AV911" s="122"/>
      <c r="AW911" s="122"/>
      <c r="AX911" s="30"/>
      <c r="AY911" s="30"/>
      <c r="AZ911" s="30"/>
      <c r="BA911" s="30"/>
      <c r="BB911" s="26"/>
      <c r="BC911" s="26"/>
      <c r="BD911" s="26"/>
      <c r="BE911" s="26"/>
      <c r="BF911" s="26"/>
    </row>
    <row r="912" spans="1:58" ht="15.75" customHeight="1">
      <c r="A912" s="67"/>
      <c r="B912" s="67"/>
      <c r="C912" s="67"/>
      <c r="D912" s="68"/>
      <c r="E912" s="68"/>
      <c r="F912" s="68"/>
      <c r="G912" s="68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30"/>
      <c r="AO912" s="25"/>
      <c r="AP912" s="120"/>
      <c r="AQ912" s="120"/>
      <c r="AR912" s="121"/>
      <c r="AS912" s="96"/>
      <c r="AT912" s="122"/>
      <c r="AU912" s="123"/>
      <c r="AV912" s="122"/>
      <c r="AW912" s="122"/>
      <c r="AX912" s="30"/>
      <c r="AY912" s="30"/>
      <c r="AZ912" s="30"/>
      <c r="BA912" s="30"/>
      <c r="BB912" s="26"/>
      <c r="BC912" s="26"/>
      <c r="BD912" s="26"/>
      <c r="BE912" s="26"/>
      <c r="BF912" s="26"/>
    </row>
    <row r="913" spans="1:58" ht="15.75" customHeight="1">
      <c r="A913" s="67"/>
      <c r="B913" s="67"/>
      <c r="C913" s="67"/>
      <c r="D913" s="68"/>
      <c r="E913" s="68"/>
      <c r="F913" s="68"/>
      <c r="G913" s="68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30"/>
      <c r="AO913" s="25"/>
      <c r="AP913" s="120"/>
      <c r="AQ913" s="120"/>
      <c r="AR913" s="121"/>
      <c r="AS913" s="96"/>
      <c r="AT913" s="122"/>
      <c r="AU913" s="123"/>
      <c r="AV913" s="122"/>
      <c r="AW913" s="122"/>
      <c r="AX913" s="30"/>
      <c r="AY913" s="30"/>
      <c r="AZ913" s="30"/>
      <c r="BA913" s="30"/>
      <c r="BB913" s="26"/>
      <c r="BC913" s="26"/>
      <c r="BD913" s="26"/>
      <c r="BE913" s="26"/>
      <c r="BF913" s="26"/>
    </row>
    <row r="914" spans="1:58" ht="15.75" customHeight="1">
      <c r="A914" s="67"/>
      <c r="B914" s="67"/>
      <c r="C914" s="67"/>
      <c r="D914" s="68"/>
      <c r="E914" s="68"/>
      <c r="F914" s="68"/>
      <c r="G914" s="68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30"/>
      <c r="AO914" s="25"/>
      <c r="AP914" s="120"/>
      <c r="AQ914" s="120"/>
      <c r="AR914" s="121"/>
      <c r="AS914" s="96"/>
      <c r="AT914" s="122"/>
      <c r="AU914" s="123"/>
      <c r="AV914" s="122"/>
      <c r="AW914" s="122"/>
      <c r="AX914" s="30"/>
      <c r="AY914" s="30"/>
      <c r="AZ914" s="30"/>
      <c r="BA914" s="30"/>
      <c r="BB914" s="26"/>
      <c r="BC914" s="26"/>
      <c r="BD914" s="26"/>
      <c r="BE914" s="26"/>
      <c r="BF914" s="26"/>
    </row>
    <row r="915" spans="1:58" ht="15.75" customHeight="1">
      <c r="A915" s="67"/>
      <c r="B915" s="67"/>
      <c r="C915" s="67"/>
      <c r="D915" s="68"/>
      <c r="E915" s="68"/>
      <c r="F915" s="68"/>
      <c r="G915" s="68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30"/>
      <c r="AO915" s="25"/>
      <c r="AP915" s="120"/>
      <c r="AQ915" s="120"/>
      <c r="AR915" s="121"/>
      <c r="AS915" s="96"/>
      <c r="AT915" s="122"/>
      <c r="AU915" s="123"/>
      <c r="AV915" s="122"/>
      <c r="AW915" s="122"/>
      <c r="AX915" s="30"/>
      <c r="AY915" s="30"/>
      <c r="AZ915" s="30"/>
      <c r="BA915" s="30"/>
      <c r="BB915" s="26"/>
      <c r="BC915" s="26"/>
      <c r="BD915" s="26"/>
      <c r="BE915" s="26"/>
      <c r="BF915" s="26"/>
    </row>
    <row r="916" spans="1:58" ht="15.75" customHeight="1">
      <c r="A916" s="67"/>
      <c r="B916" s="67"/>
      <c r="C916" s="67"/>
      <c r="D916" s="68"/>
      <c r="E916" s="68"/>
      <c r="F916" s="68"/>
      <c r="G916" s="68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30"/>
      <c r="AO916" s="25"/>
      <c r="AP916" s="120"/>
      <c r="AQ916" s="120"/>
      <c r="AR916" s="121"/>
      <c r="AS916" s="96"/>
      <c r="AT916" s="122"/>
      <c r="AU916" s="123"/>
      <c r="AV916" s="122"/>
      <c r="AW916" s="122"/>
      <c r="AX916" s="30"/>
      <c r="AY916" s="30"/>
      <c r="AZ916" s="30"/>
      <c r="BA916" s="30"/>
      <c r="BB916" s="26"/>
      <c r="BC916" s="26"/>
      <c r="BD916" s="26"/>
      <c r="BE916" s="26"/>
      <c r="BF916" s="26"/>
    </row>
    <row r="917" spans="1:58" ht="15.75" customHeight="1">
      <c r="A917" s="67"/>
      <c r="B917" s="67"/>
      <c r="C917" s="67"/>
      <c r="D917" s="68"/>
      <c r="E917" s="68"/>
      <c r="F917" s="68"/>
      <c r="G917" s="68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30"/>
      <c r="AO917" s="25"/>
      <c r="AP917" s="120"/>
      <c r="AQ917" s="120"/>
      <c r="AR917" s="121"/>
      <c r="AS917" s="96"/>
      <c r="AT917" s="122"/>
      <c r="AU917" s="123"/>
      <c r="AV917" s="122"/>
      <c r="AW917" s="122"/>
      <c r="AX917" s="30"/>
      <c r="AY917" s="30"/>
      <c r="AZ917" s="30"/>
      <c r="BA917" s="30"/>
      <c r="BB917" s="26"/>
      <c r="BC917" s="26"/>
      <c r="BD917" s="26"/>
      <c r="BE917" s="26"/>
      <c r="BF917" s="26"/>
    </row>
    <row r="918" spans="1:58" ht="15.75" customHeight="1">
      <c r="A918" s="67"/>
      <c r="B918" s="67"/>
      <c r="C918" s="67"/>
      <c r="D918" s="68"/>
      <c r="E918" s="68"/>
      <c r="F918" s="68"/>
      <c r="G918" s="68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30"/>
      <c r="AO918" s="25"/>
      <c r="AP918" s="120"/>
      <c r="AQ918" s="120"/>
      <c r="AR918" s="121"/>
      <c r="AS918" s="96"/>
      <c r="AT918" s="122"/>
      <c r="AU918" s="123"/>
      <c r="AV918" s="122"/>
      <c r="AW918" s="122"/>
      <c r="AX918" s="30"/>
      <c r="AY918" s="30"/>
      <c r="AZ918" s="30"/>
      <c r="BA918" s="30"/>
      <c r="BB918" s="26"/>
      <c r="BC918" s="26"/>
      <c r="BD918" s="26"/>
      <c r="BE918" s="26"/>
      <c r="BF918" s="26"/>
    </row>
    <row r="919" spans="1:58" ht="15.75" customHeight="1">
      <c r="A919" s="67"/>
      <c r="B919" s="67"/>
      <c r="C919" s="67"/>
      <c r="D919" s="68"/>
      <c r="E919" s="68"/>
      <c r="F919" s="68"/>
      <c r="G919" s="68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30"/>
      <c r="AO919" s="25"/>
      <c r="AP919" s="120"/>
      <c r="AQ919" s="120"/>
      <c r="AR919" s="121"/>
      <c r="AS919" s="96"/>
      <c r="AT919" s="122"/>
      <c r="AU919" s="123"/>
      <c r="AV919" s="122"/>
      <c r="AW919" s="122"/>
      <c r="AX919" s="30"/>
      <c r="AY919" s="30"/>
      <c r="AZ919" s="30"/>
      <c r="BA919" s="30"/>
      <c r="BB919" s="26"/>
      <c r="BC919" s="26"/>
      <c r="BD919" s="26"/>
      <c r="BE919" s="26"/>
      <c r="BF919" s="26"/>
    </row>
    <row r="920" spans="1:58" ht="15.75" customHeight="1">
      <c r="A920" s="67"/>
      <c r="B920" s="67"/>
      <c r="C920" s="67"/>
      <c r="D920" s="68"/>
      <c r="E920" s="68"/>
      <c r="F920" s="68"/>
      <c r="G920" s="68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30"/>
      <c r="AO920" s="25"/>
      <c r="AP920" s="120"/>
      <c r="AQ920" s="120"/>
      <c r="AR920" s="121"/>
      <c r="AS920" s="96"/>
      <c r="AT920" s="122"/>
      <c r="AU920" s="123"/>
      <c r="AV920" s="122"/>
      <c r="AW920" s="122"/>
      <c r="AX920" s="30"/>
      <c r="AY920" s="30"/>
      <c r="AZ920" s="30"/>
      <c r="BA920" s="30"/>
      <c r="BB920" s="26"/>
      <c r="BC920" s="26"/>
      <c r="BD920" s="26"/>
      <c r="BE920" s="26"/>
      <c r="BF920" s="26"/>
    </row>
    <row r="921" spans="1:58" ht="15.75" customHeight="1">
      <c r="A921" s="67"/>
      <c r="B921" s="67"/>
      <c r="C921" s="67"/>
      <c r="D921" s="68"/>
      <c r="E921" s="68"/>
      <c r="F921" s="68"/>
      <c r="G921" s="68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30"/>
      <c r="AO921" s="25"/>
      <c r="AP921" s="120"/>
      <c r="AQ921" s="120"/>
      <c r="AR921" s="121"/>
      <c r="AS921" s="96"/>
      <c r="AT921" s="122"/>
      <c r="AU921" s="123"/>
      <c r="AV921" s="122"/>
      <c r="AW921" s="122"/>
      <c r="AX921" s="30"/>
      <c r="AY921" s="30"/>
      <c r="AZ921" s="30"/>
      <c r="BA921" s="30"/>
      <c r="BB921" s="26"/>
      <c r="BC921" s="26"/>
      <c r="BD921" s="26"/>
      <c r="BE921" s="26"/>
      <c r="BF921" s="26"/>
    </row>
    <row r="922" spans="1:58" ht="15.75" customHeight="1">
      <c r="A922" s="67"/>
      <c r="B922" s="67"/>
      <c r="C922" s="67"/>
      <c r="D922" s="68"/>
      <c r="E922" s="68"/>
      <c r="F922" s="68"/>
      <c r="G922" s="68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30"/>
      <c r="AO922" s="25"/>
      <c r="AP922" s="120"/>
      <c r="AQ922" s="120"/>
      <c r="AR922" s="121"/>
      <c r="AS922" s="96"/>
      <c r="AT922" s="122"/>
      <c r="AU922" s="123"/>
      <c r="AV922" s="122"/>
      <c r="AW922" s="122"/>
      <c r="AX922" s="30"/>
      <c r="AY922" s="30"/>
      <c r="AZ922" s="30"/>
      <c r="BA922" s="30"/>
      <c r="BB922" s="26"/>
      <c r="BC922" s="26"/>
      <c r="BD922" s="26"/>
      <c r="BE922" s="26"/>
      <c r="BF922" s="26"/>
    </row>
    <row r="923" spans="1:58" ht="15.75" customHeight="1">
      <c r="A923" s="67"/>
      <c r="B923" s="67"/>
      <c r="C923" s="67"/>
      <c r="D923" s="68"/>
      <c r="E923" s="68"/>
      <c r="F923" s="68"/>
      <c r="G923" s="68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30"/>
      <c r="AO923" s="25"/>
      <c r="AP923" s="120"/>
      <c r="AQ923" s="120"/>
      <c r="AR923" s="121"/>
      <c r="AS923" s="96"/>
      <c r="AT923" s="122"/>
      <c r="AU923" s="123"/>
      <c r="AV923" s="122"/>
      <c r="AW923" s="122"/>
      <c r="AX923" s="30"/>
      <c r="AY923" s="30"/>
      <c r="AZ923" s="30"/>
      <c r="BA923" s="30"/>
      <c r="BB923" s="26"/>
      <c r="BC923" s="26"/>
      <c r="BD923" s="26"/>
      <c r="BE923" s="26"/>
      <c r="BF923" s="26"/>
    </row>
    <row r="924" spans="1:58" ht="15.75" customHeight="1">
      <c r="A924" s="67"/>
      <c r="B924" s="67"/>
      <c r="C924" s="67"/>
      <c r="D924" s="68"/>
      <c r="E924" s="68"/>
      <c r="F924" s="68"/>
      <c r="G924" s="68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30"/>
      <c r="AO924" s="25"/>
      <c r="AP924" s="120"/>
      <c r="AQ924" s="120"/>
      <c r="AR924" s="121"/>
      <c r="AS924" s="96"/>
      <c r="AT924" s="122"/>
      <c r="AU924" s="123"/>
      <c r="AV924" s="122"/>
      <c r="AW924" s="122"/>
      <c r="AX924" s="30"/>
      <c r="AY924" s="30"/>
      <c r="AZ924" s="30"/>
      <c r="BA924" s="30"/>
      <c r="BB924" s="26"/>
      <c r="BC924" s="26"/>
      <c r="BD924" s="26"/>
      <c r="BE924" s="26"/>
      <c r="BF924" s="26"/>
    </row>
    <row r="925" spans="1:58" ht="15.75" customHeight="1">
      <c r="A925" s="67"/>
      <c r="B925" s="67"/>
      <c r="C925" s="67"/>
      <c r="D925" s="68"/>
      <c r="E925" s="68"/>
      <c r="F925" s="68"/>
      <c r="G925" s="68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30"/>
      <c r="AO925" s="25"/>
      <c r="AP925" s="120"/>
      <c r="AQ925" s="120"/>
      <c r="AR925" s="121"/>
      <c r="AS925" s="96"/>
      <c r="AT925" s="122"/>
      <c r="AU925" s="123"/>
      <c r="AV925" s="122"/>
      <c r="AW925" s="122"/>
      <c r="AX925" s="30"/>
      <c r="AY925" s="30"/>
      <c r="AZ925" s="30"/>
      <c r="BA925" s="30"/>
      <c r="BB925" s="26"/>
      <c r="BC925" s="26"/>
      <c r="BD925" s="26"/>
      <c r="BE925" s="26"/>
      <c r="BF925" s="26"/>
    </row>
    <row r="926" spans="1:58" ht="15.75" customHeight="1">
      <c r="A926" s="67"/>
      <c r="B926" s="67"/>
      <c r="C926" s="67"/>
      <c r="D926" s="68"/>
      <c r="E926" s="68"/>
      <c r="F926" s="68"/>
      <c r="G926" s="68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30"/>
      <c r="AO926" s="25"/>
      <c r="AP926" s="120"/>
      <c r="AQ926" s="120"/>
      <c r="AR926" s="121"/>
      <c r="AS926" s="96"/>
      <c r="AT926" s="122"/>
      <c r="AU926" s="123"/>
      <c r="AV926" s="122"/>
      <c r="AW926" s="122"/>
      <c r="AX926" s="30"/>
      <c r="AY926" s="30"/>
      <c r="AZ926" s="30"/>
      <c r="BA926" s="30"/>
      <c r="BB926" s="26"/>
      <c r="BC926" s="26"/>
      <c r="BD926" s="26"/>
      <c r="BE926" s="26"/>
      <c r="BF926" s="26"/>
    </row>
    <row r="927" spans="1:58" ht="15.75" customHeight="1">
      <c r="A927" s="67"/>
      <c r="B927" s="67"/>
      <c r="C927" s="67"/>
      <c r="D927" s="68"/>
      <c r="E927" s="68"/>
      <c r="F927" s="68"/>
      <c r="G927" s="68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30"/>
      <c r="AO927" s="25"/>
      <c r="AP927" s="120"/>
      <c r="AQ927" s="120"/>
      <c r="AR927" s="121"/>
      <c r="AS927" s="96"/>
      <c r="AT927" s="122"/>
      <c r="AU927" s="123"/>
      <c r="AV927" s="122"/>
      <c r="AW927" s="122"/>
      <c r="AX927" s="30"/>
      <c r="AY927" s="30"/>
      <c r="AZ927" s="30"/>
      <c r="BA927" s="30"/>
      <c r="BB927" s="26"/>
      <c r="BC927" s="26"/>
      <c r="BD927" s="26"/>
      <c r="BE927" s="26"/>
      <c r="BF927" s="26"/>
    </row>
    <row r="928" spans="1:58" ht="15.75" customHeight="1">
      <c r="A928" s="67"/>
      <c r="B928" s="67"/>
      <c r="C928" s="67"/>
      <c r="D928" s="68"/>
      <c r="E928" s="68"/>
      <c r="F928" s="68"/>
      <c r="G928" s="68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30"/>
      <c r="AO928" s="25"/>
      <c r="AP928" s="120"/>
      <c r="AQ928" s="120"/>
      <c r="AR928" s="121"/>
      <c r="AS928" s="96"/>
      <c r="AT928" s="122"/>
      <c r="AU928" s="123"/>
      <c r="AV928" s="122"/>
      <c r="AW928" s="122"/>
      <c r="AX928" s="30"/>
      <c r="AY928" s="30"/>
      <c r="AZ928" s="30"/>
      <c r="BA928" s="30"/>
      <c r="BB928" s="26"/>
      <c r="BC928" s="26"/>
      <c r="BD928" s="26"/>
      <c r="BE928" s="26"/>
      <c r="BF928" s="26"/>
    </row>
    <row r="929" spans="1:58" ht="15.75" customHeight="1">
      <c r="A929" s="67"/>
      <c r="B929" s="67"/>
      <c r="C929" s="67"/>
      <c r="D929" s="68"/>
      <c r="E929" s="68"/>
      <c r="F929" s="68"/>
      <c r="G929" s="68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30"/>
      <c r="AO929" s="25"/>
      <c r="AP929" s="120"/>
      <c r="AQ929" s="120"/>
      <c r="AR929" s="121"/>
      <c r="AS929" s="96"/>
      <c r="AT929" s="122"/>
      <c r="AU929" s="123"/>
      <c r="AV929" s="122"/>
      <c r="AW929" s="122"/>
      <c r="AX929" s="30"/>
      <c r="AY929" s="30"/>
      <c r="AZ929" s="30"/>
      <c r="BA929" s="30"/>
      <c r="BB929" s="26"/>
      <c r="BC929" s="26"/>
      <c r="BD929" s="26"/>
      <c r="BE929" s="26"/>
      <c r="BF929" s="26"/>
    </row>
    <row r="930" spans="1:58" ht="15.75" customHeight="1">
      <c r="A930" s="67"/>
      <c r="B930" s="67"/>
      <c r="C930" s="67"/>
      <c r="D930" s="68"/>
      <c r="E930" s="68"/>
      <c r="F930" s="68"/>
      <c r="G930" s="68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30"/>
      <c r="AO930" s="25"/>
      <c r="AP930" s="120"/>
      <c r="AQ930" s="120"/>
      <c r="AR930" s="121"/>
      <c r="AS930" s="96"/>
      <c r="AT930" s="122"/>
      <c r="AU930" s="123"/>
      <c r="AV930" s="122"/>
      <c r="AW930" s="122"/>
      <c r="AX930" s="30"/>
      <c r="AY930" s="30"/>
      <c r="AZ930" s="30"/>
      <c r="BA930" s="30"/>
      <c r="BB930" s="26"/>
      <c r="BC930" s="26"/>
      <c r="BD930" s="26"/>
      <c r="BE930" s="26"/>
      <c r="BF930" s="26"/>
    </row>
    <row r="931" spans="1:58" ht="15.75" customHeight="1">
      <c r="A931" s="67"/>
      <c r="B931" s="67"/>
      <c r="C931" s="67"/>
      <c r="D931" s="68"/>
      <c r="E931" s="68"/>
      <c r="F931" s="68"/>
      <c r="G931" s="68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30"/>
      <c r="AO931" s="25"/>
      <c r="AP931" s="120"/>
      <c r="AQ931" s="120"/>
      <c r="AR931" s="121"/>
      <c r="AS931" s="96"/>
      <c r="AT931" s="122"/>
      <c r="AU931" s="123"/>
      <c r="AV931" s="122"/>
      <c r="AW931" s="122"/>
      <c r="AX931" s="30"/>
      <c r="AY931" s="30"/>
      <c r="AZ931" s="30"/>
      <c r="BA931" s="30"/>
      <c r="BB931" s="26"/>
      <c r="BC931" s="26"/>
      <c r="BD931" s="26"/>
      <c r="BE931" s="26"/>
      <c r="BF931" s="26"/>
    </row>
    <row r="932" spans="1:58" ht="15.75" customHeight="1">
      <c r="A932" s="67"/>
      <c r="B932" s="67"/>
      <c r="C932" s="67"/>
      <c r="D932" s="68"/>
      <c r="E932" s="68"/>
      <c r="F932" s="68"/>
      <c r="G932" s="68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30"/>
      <c r="AO932" s="25"/>
      <c r="AP932" s="120"/>
      <c r="AQ932" s="120"/>
      <c r="AR932" s="121"/>
      <c r="AS932" s="96"/>
      <c r="AT932" s="122"/>
      <c r="AU932" s="123"/>
      <c r="AV932" s="122"/>
      <c r="AW932" s="122"/>
      <c r="AX932" s="30"/>
      <c r="AY932" s="30"/>
      <c r="AZ932" s="30"/>
      <c r="BA932" s="30"/>
      <c r="BB932" s="26"/>
      <c r="BC932" s="26"/>
      <c r="BD932" s="26"/>
      <c r="BE932" s="26"/>
      <c r="BF932" s="26"/>
    </row>
    <row r="933" spans="1:58" ht="15.75" customHeight="1">
      <c r="A933" s="67"/>
      <c r="B933" s="67"/>
      <c r="C933" s="67"/>
      <c r="D933" s="68"/>
      <c r="E933" s="68"/>
      <c r="F933" s="68"/>
      <c r="G933" s="68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30"/>
      <c r="AO933" s="25"/>
      <c r="AP933" s="120"/>
      <c r="AQ933" s="120"/>
      <c r="AR933" s="121"/>
      <c r="AS933" s="96"/>
      <c r="AT933" s="122"/>
      <c r="AU933" s="123"/>
      <c r="AV933" s="122"/>
      <c r="AW933" s="122"/>
      <c r="AX933" s="30"/>
      <c r="AY933" s="30"/>
      <c r="AZ933" s="30"/>
      <c r="BA933" s="30"/>
      <c r="BB933" s="26"/>
      <c r="BC933" s="26"/>
      <c r="BD933" s="26"/>
      <c r="BE933" s="26"/>
      <c r="BF933" s="26"/>
    </row>
    <row r="934" spans="1:58" ht="15.75" customHeight="1">
      <c r="A934" s="67"/>
      <c r="B934" s="67"/>
      <c r="C934" s="67"/>
      <c r="D934" s="68"/>
      <c r="E934" s="68"/>
      <c r="F934" s="68"/>
      <c r="G934" s="68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30"/>
      <c r="AO934" s="25"/>
      <c r="AP934" s="120"/>
      <c r="AQ934" s="120"/>
      <c r="AR934" s="121"/>
      <c r="AS934" s="96"/>
      <c r="AT934" s="122"/>
      <c r="AU934" s="123"/>
      <c r="AV934" s="122"/>
      <c r="AW934" s="122"/>
      <c r="AX934" s="30"/>
      <c r="AY934" s="30"/>
      <c r="AZ934" s="30"/>
      <c r="BA934" s="30"/>
      <c r="BB934" s="26"/>
      <c r="BC934" s="26"/>
      <c r="BD934" s="26"/>
      <c r="BE934" s="26"/>
      <c r="BF934" s="26"/>
    </row>
    <row r="935" spans="1:58" ht="15.75" customHeight="1">
      <c r="A935" s="67"/>
      <c r="B935" s="67"/>
      <c r="C935" s="67"/>
      <c r="D935" s="68"/>
      <c r="E935" s="68"/>
      <c r="F935" s="68"/>
      <c r="G935" s="68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30"/>
      <c r="AO935" s="25"/>
      <c r="AP935" s="120"/>
      <c r="AQ935" s="120"/>
      <c r="AR935" s="121"/>
      <c r="AS935" s="96"/>
      <c r="AT935" s="122"/>
      <c r="AU935" s="123"/>
      <c r="AV935" s="122"/>
      <c r="AW935" s="122"/>
      <c r="AX935" s="30"/>
      <c r="AY935" s="30"/>
      <c r="AZ935" s="30"/>
      <c r="BA935" s="30"/>
      <c r="BB935" s="26"/>
      <c r="BC935" s="26"/>
      <c r="BD935" s="26"/>
      <c r="BE935" s="26"/>
      <c r="BF935" s="26"/>
    </row>
    <row r="936" spans="1:58" ht="15.75" customHeight="1">
      <c r="A936" s="67"/>
      <c r="B936" s="67"/>
      <c r="C936" s="67"/>
      <c r="D936" s="68"/>
      <c r="E936" s="68"/>
      <c r="F936" s="68"/>
      <c r="G936" s="68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30"/>
      <c r="AO936" s="25"/>
      <c r="AP936" s="120"/>
      <c r="AQ936" s="120"/>
      <c r="AR936" s="121"/>
      <c r="AS936" s="96"/>
      <c r="AT936" s="122"/>
      <c r="AU936" s="123"/>
      <c r="AV936" s="122"/>
      <c r="AW936" s="122"/>
      <c r="AX936" s="30"/>
      <c r="AY936" s="30"/>
      <c r="AZ936" s="30"/>
      <c r="BA936" s="30"/>
      <c r="BB936" s="26"/>
      <c r="BC936" s="26"/>
      <c r="BD936" s="26"/>
      <c r="BE936" s="26"/>
      <c r="BF936" s="26"/>
    </row>
    <row r="937" spans="1:58" ht="15.75" customHeight="1">
      <c r="A937" s="67"/>
      <c r="B937" s="67"/>
      <c r="C937" s="67"/>
      <c r="D937" s="68"/>
      <c r="E937" s="68"/>
      <c r="F937" s="68"/>
      <c r="G937" s="68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30"/>
      <c r="AO937" s="25"/>
      <c r="AP937" s="120"/>
      <c r="AQ937" s="120"/>
      <c r="AR937" s="121"/>
      <c r="AS937" s="96"/>
      <c r="AT937" s="122"/>
      <c r="AU937" s="123"/>
      <c r="AV937" s="122"/>
      <c r="AW937" s="122"/>
      <c r="AX937" s="30"/>
      <c r="AY937" s="30"/>
      <c r="AZ937" s="30"/>
      <c r="BA937" s="30"/>
      <c r="BB937" s="26"/>
      <c r="BC937" s="26"/>
      <c r="BD937" s="26"/>
      <c r="BE937" s="26"/>
      <c r="BF937" s="26"/>
    </row>
    <row r="938" spans="1:58" ht="15.75" customHeight="1">
      <c r="A938" s="67"/>
      <c r="B938" s="67"/>
      <c r="C938" s="67"/>
      <c r="D938" s="68"/>
      <c r="E938" s="68"/>
      <c r="F938" s="68"/>
      <c r="G938" s="68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30"/>
      <c r="AO938" s="25"/>
      <c r="AP938" s="120"/>
      <c r="AQ938" s="120"/>
      <c r="AR938" s="121"/>
      <c r="AS938" s="96"/>
      <c r="AT938" s="122"/>
      <c r="AU938" s="123"/>
      <c r="AV938" s="122"/>
      <c r="AW938" s="122"/>
      <c r="AX938" s="30"/>
      <c r="AY938" s="30"/>
      <c r="AZ938" s="30"/>
      <c r="BA938" s="30"/>
      <c r="BB938" s="26"/>
      <c r="BC938" s="26"/>
      <c r="BD938" s="26"/>
      <c r="BE938" s="26"/>
      <c r="BF938" s="26"/>
    </row>
    <row r="939" spans="1:58" ht="15.75" customHeight="1">
      <c r="A939" s="67"/>
      <c r="B939" s="67"/>
      <c r="C939" s="67"/>
      <c r="D939" s="68"/>
      <c r="E939" s="68"/>
      <c r="F939" s="68"/>
      <c r="G939" s="68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30"/>
      <c r="AO939" s="25"/>
      <c r="AP939" s="120"/>
      <c r="AQ939" s="120"/>
      <c r="AR939" s="121"/>
      <c r="AS939" s="96"/>
      <c r="AT939" s="122"/>
      <c r="AU939" s="123"/>
      <c r="AV939" s="122"/>
      <c r="AW939" s="122"/>
      <c r="AX939" s="30"/>
      <c r="AY939" s="30"/>
      <c r="AZ939" s="30"/>
      <c r="BA939" s="30"/>
      <c r="BB939" s="26"/>
      <c r="BC939" s="26"/>
      <c r="BD939" s="26"/>
      <c r="BE939" s="26"/>
      <c r="BF939" s="26"/>
    </row>
    <row r="940" spans="1:58" ht="15.75" customHeight="1">
      <c r="A940" s="67"/>
      <c r="B940" s="67"/>
      <c r="C940" s="67"/>
      <c r="D940" s="68"/>
      <c r="E940" s="68"/>
      <c r="F940" s="68"/>
      <c r="G940" s="68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30"/>
      <c r="AO940" s="25"/>
      <c r="AP940" s="120"/>
      <c r="AQ940" s="120"/>
      <c r="AR940" s="121"/>
      <c r="AS940" s="96"/>
      <c r="AT940" s="122"/>
      <c r="AU940" s="123"/>
      <c r="AV940" s="122"/>
      <c r="AW940" s="122"/>
      <c r="AX940" s="30"/>
      <c r="AY940" s="30"/>
      <c r="AZ940" s="30"/>
      <c r="BA940" s="30"/>
      <c r="BB940" s="26"/>
      <c r="BC940" s="26"/>
      <c r="BD940" s="26"/>
      <c r="BE940" s="26"/>
      <c r="BF940" s="26"/>
    </row>
    <row r="941" spans="1:58" ht="15.75" customHeight="1">
      <c r="A941" s="67"/>
      <c r="B941" s="67"/>
      <c r="C941" s="67"/>
      <c r="D941" s="68"/>
      <c r="E941" s="68"/>
      <c r="F941" s="68"/>
      <c r="G941" s="68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30"/>
      <c r="AO941" s="25"/>
      <c r="AP941" s="120"/>
      <c r="AQ941" s="120"/>
      <c r="AR941" s="121"/>
      <c r="AS941" s="96"/>
      <c r="AT941" s="122"/>
      <c r="AU941" s="123"/>
      <c r="AV941" s="122"/>
      <c r="AW941" s="122"/>
      <c r="AX941" s="30"/>
      <c r="AY941" s="30"/>
      <c r="AZ941" s="30"/>
      <c r="BA941" s="30"/>
      <c r="BB941" s="26"/>
      <c r="BC941" s="26"/>
      <c r="BD941" s="26"/>
      <c r="BE941" s="26"/>
      <c r="BF941" s="26"/>
    </row>
    <row r="942" spans="1:58" ht="15.75" customHeight="1">
      <c r="A942" s="67"/>
      <c r="B942" s="67"/>
      <c r="C942" s="67"/>
      <c r="D942" s="68"/>
      <c r="E942" s="68"/>
      <c r="F942" s="68"/>
      <c r="G942" s="68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30"/>
      <c r="AO942" s="25"/>
      <c r="AP942" s="120"/>
      <c r="AQ942" s="120"/>
      <c r="AR942" s="121"/>
      <c r="AS942" s="96"/>
      <c r="AT942" s="122"/>
      <c r="AU942" s="123"/>
      <c r="AV942" s="122"/>
      <c r="AW942" s="122"/>
      <c r="AX942" s="30"/>
      <c r="AY942" s="30"/>
      <c r="AZ942" s="30"/>
      <c r="BA942" s="30"/>
      <c r="BB942" s="26"/>
      <c r="BC942" s="26"/>
      <c r="BD942" s="26"/>
      <c r="BE942" s="26"/>
      <c r="BF942" s="26"/>
    </row>
    <row r="943" spans="1:58" ht="15.75" customHeight="1">
      <c r="A943" s="67"/>
      <c r="B943" s="67"/>
      <c r="C943" s="67"/>
      <c r="D943" s="68"/>
      <c r="E943" s="68"/>
      <c r="F943" s="68"/>
      <c r="G943" s="68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30"/>
      <c r="AO943" s="25"/>
      <c r="AP943" s="120"/>
      <c r="AQ943" s="120"/>
      <c r="AR943" s="121"/>
      <c r="AS943" s="96"/>
      <c r="AT943" s="122"/>
      <c r="AU943" s="123"/>
      <c r="AV943" s="122"/>
      <c r="AW943" s="122"/>
      <c r="AX943" s="30"/>
      <c r="AY943" s="30"/>
      <c r="AZ943" s="30"/>
      <c r="BA943" s="30"/>
      <c r="BB943" s="26"/>
      <c r="BC943" s="26"/>
      <c r="BD943" s="26"/>
      <c r="BE943" s="26"/>
      <c r="BF943" s="26"/>
    </row>
    <row r="944" spans="1:58" ht="15.75" customHeight="1">
      <c r="A944" s="67"/>
      <c r="B944" s="67"/>
      <c r="C944" s="67"/>
      <c r="D944" s="68"/>
      <c r="E944" s="68"/>
      <c r="F944" s="68"/>
      <c r="G944" s="68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30"/>
      <c r="AO944" s="25"/>
      <c r="AP944" s="120"/>
      <c r="AQ944" s="120"/>
      <c r="AR944" s="121"/>
      <c r="AS944" s="96"/>
      <c r="AT944" s="122"/>
      <c r="AU944" s="123"/>
      <c r="AV944" s="122"/>
      <c r="AW944" s="122"/>
      <c r="AX944" s="30"/>
      <c r="AY944" s="30"/>
      <c r="AZ944" s="30"/>
      <c r="BA944" s="30"/>
      <c r="BB944" s="26"/>
      <c r="BC944" s="26"/>
      <c r="BD944" s="26"/>
      <c r="BE944" s="26"/>
      <c r="BF944" s="26"/>
    </row>
    <row r="945" spans="1:58" ht="15.75" customHeight="1">
      <c r="A945" s="67"/>
      <c r="B945" s="67"/>
      <c r="C945" s="67"/>
      <c r="D945" s="68"/>
      <c r="E945" s="68"/>
      <c r="F945" s="68"/>
      <c r="G945" s="68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30"/>
      <c r="AO945" s="25"/>
      <c r="AP945" s="120"/>
      <c r="AQ945" s="120"/>
      <c r="AR945" s="121"/>
      <c r="AS945" s="96"/>
      <c r="AT945" s="122"/>
      <c r="AU945" s="123"/>
      <c r="AV945" s="122"/>
      <c r="AW945" s="122"/>
      <c r="AX945" s="30"/>
      <c r="AY945" s="30"/>
      <c r="AZ945" s="30"/>
      <c r="BA945" s="30"/>
      <c r="BB945" s="26"/>
      <c r="BC945" s="26"/>
      <c r="BD945" s="26"/>
      <c r="BE945" s="26"/>
      <c r="BF945" s="26"/>
    </row>
    <row r="946" spans="1:58" ht="15.75" customHeight="1">
      <c r="A946" s="67"/>
      <c r="B946" s="67"/>
      <c r="C946" s="67"/>
      <c r="D946" s="68"/>
      <c r="E946" s="68"/>
      <c r="F946" s="68"/>
      <c r="G946" s="68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30"/>
      <c r="AO946" s="25"/>
      <c r="AP946" s="120"/>
      <c r="AQ946" s="120"/>
      <c r="AR946" s="121"/>
      <c r="AS946" s="96"/>
      <c r="AT946" s="122"/>
      <c r="AU946" s="123"/>
      <c r="AV946" s="122"/>
      <c r="AW946" s="122"/>
      <c r="AX946" s="30"/>
      <c r="AY946" s="30"/>
      <c r="AZ946" s="30"/>
      <c r="BA946" s="30"/>
      <c r="BB946" s="26"/>
      <c r="BC946" s="26"/>
      <c r="BD946" s="26"/>
      <c r="BE946" s="26"/>
      <c r="BF946" s="26"/>
    </row>
    <row r="947" spans="1:58" ht="15.75" customHeight="1">
      <c r="A947" s="67"/>
      <c r="B947" s="67"/>
      <c r="C947" s="67"/>
      <c r="D947" s="68"/>
      <c r="E947" s="68"/>
      <c r="F947" s="68"/>
      <c r="G947" s="68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30"/>
      <c r="AO947" s="25"/>
      <c r="AP947" s="120"/>
      <c r="AQ947" s="120"/>
      <c r="AR947" s="121"/>
      <c r="AS947" s="96"/>
      <c r="AT947" s="122"/>
      <c r="AU947" s="123"/>
      <c r="AV947" s="122"/>
      <c r="AW947" s="122"/>
      <c r="AX947" s="30"/>
      <c r="AY947" s="30"/>
      <c r="AZ947" s="30"/>
      <c r="BA947" s="30"/>
      <c r="BB947" s="26"/>
      <c r="BC947" s="26"/>
      <c r="BD947" s="26"/>
      <c r="BE947" s="26"/>
      <c r="BF947" s="26"/>
    </row>
    <row r="948" spans="1:58" ht="15.75" customHeight="1">
      <c r="A948" s="67"/>
      <c r="B948" s="67"/>
      <c r="C948" s="67"/>
      <c r="D948" s="68"/>
      <c r="E948" s="68"/>
      <c r="F948" s="68"/>
      <c r="G948" s="68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30"/>
      <c r="AO948" s="25"/>
      <c r="AP948" s="120"/>
      <c r="AQ948" s="120"/>
      <c r="AR948" s="121"/>
      <c r="AS948" s="96"/>
      <c r="AT948" s="122"/>
      <c r="AU948" s="123"/>
      <c r="AV948" s="122"/>
      <c r="AW948" s="122"/>
      <c r="AX948" s="30"/>
      <c r="AY948" s="30"/>
      <c r="AZ948" s="30"/>
      <c r="BA948" s="30"/>
      <c r="BB948" s="26"/>
      <c r="BC948" s="26"/>
      <c r="BD948" s="26"/>
      <c r="BE948" s="26"/>
      <c r="BF948" s="26"/>
    </row>
    <row r="949" spans="1:58" ht="15.75" customHeight="1">
      <c r="A949" s="67"/>
      <c r="B949" s="67"/>
      <c r="C949" s="67"/>
      <c r="D949" s="68"/>
      <c r="E949" s="68"/>
      <c r="F949" s="68"/>
      <c r="G949" s="68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30"/>
      <c r="AO949" s="25"/>
      <c r="AP949" s="120"/>
      <c r="AQ949" s="120"/>
      <c r="AR949" s="121"/>
      <c r="AS949" s="96"/>
      <c r="AT949" s="122"/>
      <c r="AU949" s="123"/>
      <c r="AV949" s="122"/>
      <c r="AW949" s="122"/>
      <c r="AX949" s="30"/>
      <c r="AY949" s="30"/>
      <c r="AZ949" s="30"/>
      <c r="BA949" s="30"/>
      <c r="BB949" s="26"/>
      <c r="BC949" s="26"/>
      <c r="BD949" s="26"/>
      <c r="BE949" s="26"/>
      <c r="BF949" s="26"/>
    </row>
    <row r="950" spans="1:58" ht="15.75" customHeight="1">
      <c r="A950" s="67"/>
      <c r="B950" s="67"/>
      <c r="C950" s="67"/>
      <c r="D950" s="68"/>
      <c r="E950" s="68"/>
      <c r="F950" s="68"/>
      <c r="G950" s="68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30"/>
      <c r="AO950" s="25"/>
      <c r="AP950" s="120"/>
      <c r="AQ950" s="120"/>
      <c r="AR950" s="121"/>
      <c r="AS950" s="96"/>
      <c r="AT950" s="122"/>
      <c r="AU950" s="123"/>
      <c r="AV950" s="122"/>
      <c r="AW950" s="122"/>
      <c r="AX950" s="30"/>
      <c r="AY950" s="30"/>
      <c r="AZ950" s="30"/>
      <c r="BA950" s="30"/>
      <c r="BB950" s="26"/>
      <c r="BC950" s="26"/>
      <c r="BD950" s="26"/>
      <c r="BE950" s="26"/>
      <c r="BF950" s="26"/>
    </row>
    <row r="951" spans="1:58" ht="15.75" customHeight="1">
      <c r="A951" s="67"/>
      <c r="B951" s="67"/>
      <c r="C951" s="67"/>
      <c r="D951" s="68"/>
      <c r="E951" s="68"/>
      <c r="F951" s="68"/>
      <c r="G951" s="68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30"/>
      <c r="AO951" s="25"/>
      <c r="AP951" s="120"/>
      <c r="AQ951" s="120"/>
      <c r="AR951" s="121"/>
      <c r="AS951" s="96"/>
      <c r="AT951" s="122"/>
      <c r="AU951" s="123"/>
      <c r="AV951" s="122"/>
      <c r="AW951" s="122"/>
      <c r="AX951" s="30"/>
      <c r="AY951" s="30"/>
      <c r="AZ951" s="30"/>
      <c r="BA951" s="30"/>
      <c r="BB951" s="26"/>
      <c r="BC951" s="26"/>
      <c r="BD951" s="26"/>
      <c r="BE951" s="26"/>
      <c r="BF951" s="26"/>
    </row>
    <row r="952" spans="1:58" ht="15.75" customHeight="1">
      <c r="A952" s="67"/>
      <c r="B952" s="67"/>
      <c r="C952" s="67"/>
      <c r="D952" s="68"/>
      <c r="E952" s="68"/>
      <c r="F952" s="68"/>
      <c r="G952" s="68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30"/>
      <c r="AO952" s="25"/>
      <c r="AP952" s="120"/>
      <c r="AQ952" s="120"/>
      <c r="AR952" s="121"/>
      <c r="AS952" s="96"/>
      <c r="AT952" s="122"/>
      <c r="AU952" s="123"/>
      <c r="AV952" s="122"/>
      <c r="AW952" s="122"/>
      <c r="AX952" s="30"/>
      <c r="AY952" s="30"/>
      <c r="AZ952" s="30"/>
      <c r="BA952" s="30"/>
      <c r="BB952" s="26"/>
      <c r="BC952" s="26"/>
      <c r="BD952" s="26"/>
      <c r="BE952" s="26"/>
      <c r="BF952" s="26"/>
    </row>
    <row r="953" spans="1:58" ht="15.75" customHeight="1">
      <c r="A953" s="67"/>
      <c r="B953" s="67"/>
      <c r="C953" s="67"/>
      <c r="D953" s="68"/>
      <c r="E953" s="68"/>
      <c r="F953" s="68"/>
      <c r="G953" s="68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30"/>
      <c r="AO953" s="25"/>
      <c r="AP953" s="120"/>
      <c r="AQ953" s="120"/>
      <c r="AR953" s="121"/>
      <c r="AS953" s="96"/>
      <c r="AT953" s="122"/>
      <c r="AU953" s="123"/>
      <c r="AV953" s="122"/>
      <c r="AW953" s="122"/>
      <c r="AX953" s="30"/>
      <c r="AY953" s="30"/>
      <c r="AZ953" s="30"/>
      <c r="BA953" s="30"/>
      <c r="BB953" s="26"/>
      <c r="BC953" s="26"/>
      <c r="BD953" s="26"/>
      <c r="BE953" s="26"/>
      <c r="BF953" s="26"/>
    </row>
    <row r="954" spans="1:58" ht="15.75" customHeight="1">
      <c r="A954" s="67"/>
      <c r="B954" s="67"/>
      <c r="C954" s="67"/>
      <c r="D954" s="68"/>
      <c r="E954" s="68"/>
      <c r="F954" s="68"/>
      <c r="G954" s="68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30"/>
      <c r="AO954" s="25"/>
      <c r="AP954" s="120"/>
      <c r="AQ954" s="120"/>
      <c r="AR954" s="121"/>
      <c r="AS954" s="96"/>
      <c r="AT954" s="122"/>
      <c r="AU954" s="123"/>
      <c r="AV954" s="122"/>
      <c r="AW954" s="122"/>
      <c r="AX954" s="30"/>
      <c r="AY954" s="30"/>
      <c r="AZ954" s="30"/>
      <c r="BA954" s="30"/>
      <c r="BB954" s="26"/>
      <c r="BC954" s="26"/>
      <c r="BD954" s="26"/>
      <c r="BE954" s="26"/>
      <c r="BF954" s="26"/>
    </row>
    <row r="955" spans="1:58" ht="15.75" customHeight="1">
      <c r="A955" s="67"/>
      <c r="B955" s="67"/>
      <c r="C955" s="67"/>
      <c r="D955" s="68"/>
      <c r="E955" s="68"/>
      <c r="F955" s="68"/>
      <c r="G955" s="68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30"/>
      <c r="AO955" s="25"/>
      <c r="AP955" s="120"/>
      <c r="AQ955" s="120"/>
      <c r="AR955" s="121"/>
      <c r="AS955" s="96"/>
      <c r="AT955" s="122"/>
      <c r="AU955" s="123"/>
      <c r="AV955" s="122"/>
      <c r="AW955" s="122"/>
      <c r="AX955" s="30"/>
      <c r="AY955" s="30"/>
      <c r="AZ955" s="30"/>
      <c r="BA955" s="30"/>
      <c r="BB955" s="26"/>
      <c r="BC955" s="26"/>
      <c r="BD955" s="26"/>
      <c r="BE955" s="26"/>
      <c r="BF955" s="26"/>
    </row>
    <row r="956" spans="1:58" ht="15.75" customHeight="1">
      <c r="A956" s="67"/>
      <c r="B956" s="67"/>
      <c r="C956" s="67"/>
      <c r="D956" s="68"/>
      <c r="E956" s="68"/>
      <c r="F956" s="68"/>
      <c r="G956" s="68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30"/>
      <c r="AO956" s="25"/>
      <c r="AP956" s="120"/>
      <c r="AQ956" s="120"/>
      <c r="AR956" s="121"/>
      <c r="AS956" s="96"/>
      <c r="AT956" s="122"/>
      <c r="AU956" s="123"/>
      <c r="AV956" s="122"/>
      <c r="AW956" s="122"/>
      <c r="AX956" s="30"/>
      <c r="AY956" s="30"/>
      <c r="AZ956" s="30"/>
      <c r="BA956" s="30"/>
      <c r="BB956" s="26"/>
      <c r="BC956" s="26"/>
      <c r="BD956" s="26"/>
      <c r="BE956" s="26"/>
      <c r="BF956" s="26"/>
    </row>
    <row r="957" spans="1:58" ht="15.75" customHeight="1">
      <c r="A957" s="67"/>
      <c r="B957" s="67"/>
      <c r="C957" s="67"/>
      <c r="D957" s="68"/>
      <c r="E957" s="68"/>
      <c r="F957" s="68"/>
      <c r="G957" s="68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30"/>
      <c r="AO957" s="25"/>
      <c r="AP957" s="120"/>
      <c r="AQ957" s="120"/>
      <c r="AR957" s="121"/>
      <c r="AS957" s="96"/>
      <c r="AT957" s="122"/>
      <c r="AU957" s="123"/>
      <c r="AV957" s="122"/>
      <c r="AW957" s="122"/>
      <c r="AX957" s="30"/>
      <c r="AY957" s="30"/>
      <c r="AZ957" s="30"/>
      <c r="BA957" s="30"/>
      <c r="BB957" s="26"/>
      <c r="BC957" s="26"/>
      <c r="BD957" s="26"/>
      <c r="BE957" s="26"/>
      <c r="BF957" s="26"/>
    </row>
    <row r="958" spans="1:58" ht="15.75" customHeight="1">
      <c r="A958" s="67"/>
      <c r="B958" s="67"/>
      <c r="C958" s="67"/>
      <c r="D958" s="68"/>
      <c r="E958" s="68"/>
      <c r="F958" s="68"/>
      <c r="G958" s="68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30"/>
      <c r="AO958" s="25"/>
      <c r="AP958" s="120"/>
      <c r="AQ958" s="120"/>
      <c r="AR958" s="121"/>
      <c r="AS958" s="96"/>
      <c r="AT958" s="122"/>
      <c r="AU958" s="123"/>
      <c r="AV958" s="122"/>
      <c r="AW958" s="122"/>
      <c r="AX958" s="30"/>
      <c r="AY958" s="30"/>
      <c r="AZ958" s="30"/>
      <c r="BA958" s="30"/>
      <c r="BB958" s="26"/>
      <c r="BC958" s="26"/>
      <c r="BD958" s="26"/>
      <c r="BE958" s="26"/>
      <c r="BF958" s="26"/>
    </row>
    <row r="959" spans="1:58" ht="15.75" customHeight="1">
      <c r="A959" s="67"/>
      <c r="B959" s="67"/>
      <c r="C959" s="67"/>
      <c r="D959" s="68"/>
      <c r="E959" s="68"/>
      <c r="F959" s="68"/>
      <c r="G959" s="68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30"/>
      <c r="AO959" s="25"/>
      <c r="AP959" s="120"/>
      <c r="AQ959" s="120"/>
      <c r="AR959" s="121"/>
      <c r="AS959" s="96"/>
      <c r="AT959" s="122"/>
      <c r="AU959" s="123"/>
      <c r="AV959" s="122"/>
      <c r="AW959" s="122"/>
      <c r="AX959" s="30"/>
      <c r="AY959" s="30"/>
      <c r="AZ959" s="30"/>
      <c r="BA959" s="30"/>
      <c r="BB959" s="26"/>
      <c r="BC959" s="26"/>
      <c r="BD959" s="26"/>
      <c r="BE959" s="26"/>
      <c r="BF959" s="26"/>
    </row>
    <row r="960" spans="1:58" ht="15.75" customHeight="1">
      <c r="A960" s="67"/>
      <c r="B960" s="67"/>
      <c r="C960" s="67"/>
      <c r="D960" s="68"/>
      <c r="E960" s="68"/>
      <c r="F960" s="68"/>
      <c r="G960" s="68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30"/>
      <c r="AO960" s="25"/>
      <c r="AP960" s="120"/>
      <c r="AQ960" s="120"/>
      <c r="AR960" s="121"/>
      <c r="AS960" s="96"/>
      <c r="AT960" s="122"/>
      <c r="AU960" s="123"/>
      <c r="AV960" s="122"/>
      <c r="AW960" s="122"/>
      <c r="AX960" s="30"/>
      <c r="AY960" s="30"/>
      <c r="AZ960" s="30"/>
      <c r="BA960" s="30"/>
      <c r="BB960" s="26"/>
      <c r="BC960" s="26"/>
      <c r="BD960" s="26"/>
      <c r="BE960" s="26"/>
      <c r="BF960" s="26"/>
    </row>
    <row r="961" spans="1:58" ht="15.75" customHeight="1">
      <c r="A961" s="67"/>
      <c r="B961" s="67"/>
      <c r="C961" s="67"/>
      <c r="D961" s="68"/>
      <c r="E961" s="68"/>
      <c r="F961" s="68"/>
      <c r="G961" s="68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30"/>
      <c r="AO961" s="25"/>
      <c r="AP961" s="120"/>
      <c r="AQ961" s="120"/>
      <c r="AR961" s="121"/>
      <c r="AS961" s="96"/>
      <c r="AT961" s="122"/>
      <c r="AU961" s="123"/>
      <c r="AV961" s="122"/>
      <c r="AW961" s="122"/>
      <c r="AX961" s="30"/>
      <c r="AY961" s="30"/>
      <c r="AZ961" s="30"/>
      <c r="BA961" s="30"/>
      <c r="BB961" s="26"/>
      <c r="BC961" s="26"/>
      <c r="BD961" s="26"/>
      <c r="BE961" s="26"/>
      <c r="BF961" s="26"/>
    </row>
    <row r="962" spans="1:58" ht="15.75" customHeight="1">
      <c r="A962" s="67"/>
      <c r="B962" s="67"/>
      <c r="C962" s="67"/>
      <c r="D962" s="68"/>
      <c r="E962" s="68"/>
      <c r="F962" s="68"/>
      <c r="G962" s="68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30"/>
      <c r="AO962" s="25"/>
      <c r="AP962" s="120"/>
      <c r="AQ962" s="120"/>
      <c r="AR962" s="121"/>
      <c r="AS962" s="96"/>
      <c r="AT962" s="122"/>
      <c r="AU962" s="123"/>
      <c r="AV962" s="122"/>
      <c r="AW962" s="122"/>
      <c r="AX962" s="30"/>
      <c r="AY962" s="30"/>
      <c r="AZ962" s="30"/>
      <c r="BA962" s="30"/>
      <c r="BB962" s="26"/>
      <c r="BC962" s="26"/>
      <c r="BD962" s="26"/>
      <c r="BE962" s="26"/>
      <c r="BF962" s="26"/>
    </row>
    <row r="963" spans="1:58" ht="15.75" customHeight="1">
      <c r="A963" s="67"/>
      <c r="B963" s="67"/>
      <c r="C963" s="67"/>
      <c r="D963" s="68"/>
      <c r="E963" s="68"/>
      <c r="F963" s="68"/>
      <c r="G963" s="68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30"/>
      <c r="AO963" s="25"/>
      <c r="AP963" s="120"/>
      <c r="AQ963" s="120"/>
      <c r="AR963" s="121"/>
      <c r="AS963" s="96"/>
      <c r="AT963" s="122"/>
      <c r="AU963" s="123"/>
      <c r="AV963" s="122"/>
      <c r="AW963" s="122"/>
      <c r="AX963" s="30"/>
      <c r="AY963" s="30"/>
      <c r="AZ963" s="30"/>
      <c r="BA963" s="30"/>
      <c r="BB963" s="26"/>
      <c r="BC963" s="26"/>
      <c r="BD963" s="26"/>
      <c r="BE963" s="26"/>
      <c r="BF963" s="26"/>
    </row>
    <row r="964" spans="1:58" ht="15.75" customHeight="1">
      <c r="A964" s="67"/>
      <c r="B964" s="67"/>
      <c r="C964" s="67"/>
      <c r="D964" s="68"/>
      <c r="E964" s="68"/>
      <c r="F964" s="68"/>
      <c r="G964" s="68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30"/>
      <c r="AO964" s="25"/>
      <c r="AP964" s="120"/>
      <c r="AQ964" s="120"/>
      <c r="AR964" s="121"/>
      <c r="AS964" s="96"/>
      <c r="AT964" s="122"/>
      <c r="AU964" s="123"/>
      <c r="AV964" s="122"/>
      <c r="AW964" s="122"/>
      <c r="AX964" s="30"/>
      <c r="AY964" s="30"/>
      <c r="AZ964" s="30"/>
      <c r="BA964" s="30"/>
      <c r="BB964" s="26"/>
      <c r="BC964" s="26"/>
      <c r="BD964" s="26"/>
      <c r="BE964" s="26"/>
      <c r="BF964" s="26"/>
    </row>
    <row r="965" spans="1:58" ht="15.75" customHeight="1">
      <c r="A965" s="67"/>
      <c r="B965" s="67"/>
      <c r="C965" s="67"/>
      <c r="D965" s="68"/>
      <c r="E965" s="68"/>
      <c r="F965" s="68"/>
      <c r="G965" s="68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30"/>
      <c r="AO965" s="25"/>
      <c r="AP965" s="120"/>
      <c r="AQ965" s="120"/>
      <c r="AR965" s="121"/>
      <c r="AS965" s="96"/>
      <c r="AT965" s="122"/>
      <c r="AU965" s="123"/>
      <c r="AV965" s="122"/>
      <c r="AW965" s="122"/>
      <c r="AX965" s="30"/>
      <c r="AY965" s="30"/>
      <c r="AZ965" s="30"/>
      <c r="BA965" s="30"/>
      <c r="BB965" s="26"/>
      <c r="BC965" s="26"/>
      <c r="BD965" s="26"/>
      <c r="BE965" s="26"/>
      <c r="BF965" s="26"/>
    </row>
    <row r="966" spans="1:58" ht="15.75" customHeight="1">
      <c r="A966" s="67"/>
      <c r="B966" s="67"/>
      <c r="C966" s="67"/>
      <c r="D966" s="68"/>
      <c r="E966" s="68"/>
      <c r="F966" s="68"/>
      <c r="G966" s="68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30"/>
      <c r="AO966" s="25"/>
      <c r="AP966" s="120"/>
      <c r="AQ966" s="120"/>
      <c r="AR966" s="121"/>
      <c r="AS966" s="96"/>
      <c r="AT966" s="122"/>
      <c r="AU966" s="123"/>
      <c r="AV966" s="122"/>
      <c r="AW966" s="122"/>
      <c r="AX966" s="30"/>
      <c r="AY966" s="30"/>
      <c r="AZ966" s="30"/>
      <c r="BA966" s="30"/>
      <c r="BB966" s="26"/>
      <c r="BC966" s="26"/>
      <c r="BD966" s="26"/>
      <c r="BE966" s="26"/>
      <c r="BF966" s="26"/>
    </row>
    <row r="967" spans="1:58" ht="15.75" customHeight="1">
      <c r="A967" s="67"/>
      <c r="B967" s="67"/>
      <c r="C967" s="67"/>
      <c r="D967" s="68"/>
      <c r="E967" s="68"/>
      <c r="F967" s="68"/>
      <c r="G967" s="68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30"/>
      <c r="AO967" s="25"/>
      <c r="AP967" s="120"/>
      <c r="AQ967" s="120"/>
      <c r="AR967" s="121"/>
      <c r="AS967" s="96"/>
      <c r="AT967" s="122"/>
      <c r="AU967" s="123"/>
      <c r="AV967" s="122"/>
      <c r="AW967" s="122"/>
      <c r="AX967" s="30"/>
      <c r="AY967" s="30"/>
      <c r="AZ967" s="30"/>
      <c r="BA967" s="30"/>
      <c r="BB967" s="26"/>
      <c r="BC967" s="26"/>
      <c r="BD967" s="26"/>
      <c r="BE967" s="26"/>
      <c r="BF967" s="26"/>
    </row>
    <row r="968" spans="1:58" ht="15.75" customHeight="1">
      <c r="A968" s="67"/>
      <c r="B968" s="67"/>
      <c r="C968" s="67"/>
      <c r="D968" s="68"/>
      <c r="E968" s="68"/>
      <c r="F968" s="68"/>
      <c r="G968" s="68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30"/>
      <c r="AO968" s="25"/>
      <c r="AP968" s="120"/>
      <c r="AQ968" s="120"/>
      <c r="AR968" s="121"/>
      <c r="AS968" s="96"/>
      <c r="AT968" s="122"/>
      <c r="AU968" s="123"/>
      <c r="AV968" s="122"/>
      <c r="AW968" s="122"/>
      <c r="AX968" s="30"/>
      <c r="AY968" s="30"/>
      <c r="AZ968" s="30"/>
      <c r="BA968" s="30"/>
      <c r="BB968" s="26"/>
      <c r="BC968" s="26"/>
      <c r="BD968" s="26"/>
      <c r="BE968" s="26"/>
      <c r="BF968" s="26"/>
    </row>
    <row r="969" spans="1:58" ht="15.75" customHeight="1">
      <c r="A969" s="67"/>
      <c r="B969" s="67"/>
      <c r="C969" s="67"/>
      <c r="D969" s="68"/>
      <c r="E969" s="68"/>
      <c r="F969" s="68"/>
      <c r="G969" s="68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30"/>
      <c r="AO969" s="25"/>
      <c r="AP969" s="120"/>
      <c r="AQ969" s="120"/>
      <c r="AR969" s="121"/>
      <c r="AS969" s="96"/>
      <c r="AT969" s="122"/>
      <c r="AU969" s="123"/>
      <c r="AV969" s="122"/>
      <c r="AW969" s="122"/>
      <c r="AX969" s="30"/>
      <c r="AY969" s="30"/>
      <c r="AZ969" s="30"/>
      <c r="BA969" s="30"/>
      <c r="BB969" s="26"/>
      <c r="BC969" s="26"/>
      <c r="BD969" s="26"/>
      <c r="BE969" s="26"/>
      <c r="BF969" s="26"/>
    </row>
    <row r="970" spans="1:58" ht="15.75" customHeight="1">
      <c r="A970" s="67"/>
      <c r="B970" s="67"/>
      <c r="C970" s="67"/>
      <c r="D970" s="68"/>
      <c r="E970" s="68"/>
      <c r="F970" s="68"/>
      <c r="G970" s="68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30"/>
      <c r="AO970" s="25"/>
      <c r="AP970" s="120"/>
      <c r="AQ970" s="120"/>
      <c r="AR970" s="121"/>
      <c r="AS970" s="96"/>
      <c r="AT970" s="122"/>
      <c r="AU970" s="123"/>
      <c r="AV970" s="122"/>
      <c r="AW970" s="122"/>
      <c r="AX970" s="30"/>
      <c r="AY970" s="30"/>
      <c r="AZ970" s="30"/>
      <c r="BA970" s="30"/>
      <c r="BB970" s="26"/>
      <c r="BC970" s="26"/>
      <c r="BD970" s="26"/>
      <c r="BE970" s="26"/>
      <c r="BF970" s="26"/>
    </row>
    <row r="971" spans="1:58" ht="15.75" customHeight="1">
      <c r="A971" s="67"/>
      <c r="B971" s="67"/>
      <c r="C971" s="67"/>
      <c r="D971" s="68"/>
      <c r="E971" s="68"/>
      <c r="F971" s="68"/>
      <c r="G971" s="68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30"/>
      <c r="AO971" s="25"/>
      <c r="AP971" s="120"/>
      <c r="AQ971" s="120"/>
      <c r="AR971" s="121"/>
      <c r="AS971" s="96"/>
      <c r="AT971" s="122"/>
      <c r="AU971" s="123"/>
      <c r="AV971" s="122"/>
      <c r="AW971" s="122"/>
      <c r="AX971" s="30"/>
      <c r="AY971" s="30"/>
      <c r="AZ971" s="30"/>
      <c r="BA971" s="30"/>
      <c r="BB971" s="26"/>
      <c r="BC971" s="26"/>
      <c r="BD971" s="26"/>
      <c r="BE971" s="26"/>
      <c r="BF971" s="26"/>
    </row>
    <row r="972" spans="1:58" ht="15.75" customHeight="1">
      <c r="A972" s="67"/>
      <c r="B972" s="67"/>
      <c r="C972" s="67"/>
      <c r="D972" s="68"/>
      <c r="E972" s="68"/>
      <c r="F972" s="68"/>
      <c r="G972" s="68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30"/>
      <c r="AO972" s="25"/>
      <c r="AP972" s="120"/>
      <c r="AQ972" s="120"/>
      <c r="AR972" s="121"/>
      <c r="AS972" s="96"/>
      <c r="AT972" s="122"/>
      <c r="AU972" s="123"/>
      <c r="AV972" s="122"/>
      <c r="AW972" s="122"/>
      <c r="AX972" s="30"/>
      <c r="AY972" s="30"/>
      <c r="AZ972" s="30"/>
      <c r="BA972" s="30"/>
      <c r="BB972" s="26"/>
      <c r="BC972" s="26"/>
      <c r="BD972" s="26"/>
      <c r="BE972" s="26"/>
      <c r="BF972" s="26"/>
    </row>
    <row r="973" spans="1:58" ht="15.75" customHeight="1">
      <c r="A973" s="67"/>
      <c r="B973" s="67"/>
      <c r="C973" s="67"/>
      <c r="D973" s="68"/>
      <c r="E973" s="68"/>
      <c r="F973" s="68"/>
      <c r="G973" s="68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30"/>
      <c r="AO973" s="25"/>
      <c r="AP973" s="120"/>
      <c r="AQ973" s="120"/>
      <c r="AR973" s="121"/>
      <c r="AS973" s="96"/>
      <c r="AT973" s="122"/>
      <c r="AU973" s="123"/>
      <c r="AV973" s="122"/>
      <c r="AW973" s="122"/>
      <c r="AX973" s="30"/>
      <c r="AY973" s="30"/>
      <c r="AZ973" s="30"/>
      <c r="BA973" s="30"/>
      <c r="BB973" s="26"/>
      <c r="BC973" s="26"/>
      <c r="BD973" s="26"/>
      <c r="BE973" s="26"/>
      <c r="BF973" s="26"/>
    </row>
    <row r="974" spans="1:58" ht="15.75" customHeight="1">
      <c r="A974" s="67"/>
      <c r="B974" s="67"/>
      <c r="C974" s="67"/>
      <c r="D974" s="68"/>
      <c r="E974" s="68"/>
      <c r="F974" s="68"/>
      <c r="G974" s="68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30"/>
      <c r="AO974" s="25"/>
      <c r="AP974" s="120"/>
      <c r="AQ974" s="120"/>
      <c r="AR974" s="121"/>
      <c r="AS974" s="96"/>
      <c r="AT974" s="122"/>
      <c r="AU974" s="123"/>
      <c r="AV974" s="122"/>
      <c r="AW974" s="122"/>
      <c r="AX974" s="30"/>
      <c r="AY974" s="30"/>
      <c r="AZ974" s="30"/>
      <c r="BA974" s="30"/>
      <c r="BB974" s="26"/>
      <c r="BC974" s="26"/>
      <c r="BD974" s="26"/>
      <c r="BE974" s="26"/>
      <c r="BF974" s="26"/>
    </row>
    <row r="975" spans="1:58" ht="15.75" customHeight="1">
      <c r="A975" s="67"/>
      <c r="B975" s="67"/>
      <c r="C975" s="67"/>
      <c r="D975" s="68"/>
      <c r="E975" s="68"/>
      <c r="F975" s="68"/>
      <c r="G975" s="68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30"/>
      <c r="AO975" s="25"/>
      <c r="AP975" s="120"/>
      <c r="AQ975" s="120"/>
      <c r="AR975" s="121"/>
      <c r="AS975" s="96"/>
      <c r="AT975" s="122"/>
      <c r="AU975" s="123"/>
      <c r="AV975" s="122"/>
      <c r="AW975" s="122"/>
      <c r="AX975" s="30"/>
      <c r="AY975" s="30"/>
      <c r="AZ975" s="30"/>
      <c r="BA975" s="30"/>
      <c r="BB975" s="26"/>
      <c r="BC975" s="26"/>
      <c r="BD975" s="26"/>
      <c r="BE975" s="26"/>
      <c r="BF975" s="26"/>
    </row>
    <row r="976" spans="1:58" ht="15.75" customHeight="1">
      <c r="A976" s="67"/>
      <c r="B976" s="67"/>
      <c r="C976" s="67"/>
      <c r="D976" s="68"/>
      <c r="E976" s="68"/>
      <c r="F976" s="68"/>
      <c r="G976" s="68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30"/>
      <c r="AO976" s="25"/>
      <c r="AP976" s="120"/>
      <c r="AQ976" s="120"/>
      <c r="AR976" s="121"/>
      <c r="AS976" s="96"/>
      <c r="AT976" s="122"/>
      <c r="AU976" s="123"/>
      <c r="AV976" s="122"/>
      <c r="AW976" s="122"/>
      <c r="AX976" s="30"/>
      <c r="AY976" s="30"/>
      <c r="AZ976" s="30"/>
      <c r="BA976" s="30"/>
      <c r="BB976" s="26"/>
      <c r="BC976" s="26"/>
      <c r="BD976" s="26"/>
      <c r="BE976" s="26"/>
      <c r="BF976" s="26"/>
    </row>
    <row r="977" spans="1:58" ht="15.75" customHeight="1">
      <c r="A977" s="67"/>
      <c r="B977" s="67"/>
      <c r="C977" s="67"/>
      <c r="D977" s="68"/>
      <c r="E977" s="68"/>
      <c r="F977" s="68"/>
      <c r="G977" s="68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30"/>
      <c r="AO977" s="25"/>
      <c r="AP977" s="120"/>
      <c r="AQ977" s="120"/>
      <c r="AR977" s="121"/>
      <c r="AS977" s="96"/>
      <c r="AT977" s="122"/>
      <c r="AU977" s="123"/>
      <c r="AV977" s="122"/>
      <c r="AW977" s="122"/>
      <c r="AX977" s="30"/>
      <c r="AY977" s="30"/>
      <c r="AZ977" s="30"/>
      <c r="BA977" s="30"/>
      <c r="BB977" s="26"/>
      <c r="BC977" s="26"/>
      <c r="BD977" s="26"/>
      <c r="BE977" s="26"/>
      <c r="BF977" s="26"/>
    </row>
    <row r="978" spans="1:58" ht="15.75" customHeight="1">
      <c r="A978" s="67"/>
      <c r="B978" s="67"/>
      <c r="C978" s="67"/>
      <c r="D978" s="68"/>
      <c r="E978" s="68"/>
      <c r="F978" s="68"/>
      <c r="G978" s="68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30"/>
      <c r="AO978" s="25"/>
      <c r="AP978" s="120"/>
      <c r="AQ978" s="120"/>
      <c r="AR978" s="121"/>
      <c r="AS978" s="96"/>
      <c r="AT978" s="122"/>
      <c r="AU978" s="123"/>
      <c r="AV978" s="122"/>
      <c r="AW978" s="122"/>
      <c r="AX978" s="30"/>
      <c r="AY978" s="30"/>
      <c r="AZ978" s="30"/>
      <c r="BA978" s="30"/>
      <c r="BB978" s="26"/>
      <c r="BC978" s="26"/>
      <c r="BD978" s="26"/>
      <c r="BE978" s="26"/>
      <c r="BF978" s="26"/>
    </row>
    <row r="979" spans="1:58" ht="15.75" customHeight="1">
      <c r="A979" s="67"/>
      <c r="B979" s="67"/>
      <c r="C979" s="67"/>
      <c r="D979" s="68"/>
      <c r="E979" s="68"/>
      <c r="F979" s="68"/>
      <c r="G979" s="68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30"/>
      <c r="AO979" s="25"/>
      <c r="AP979" s="120"/>
      <c r="AQ979" s="120"/>
      <c r="AR979" s="121"/>
      <c r="AS979" s="96"/>
      <c r="AT979" s="122"/>
      <c r="AU979" s="123"/>
      <c r="AV979" s="122"/>
      <c r="AW979" s="122"/>
      <c r="AX979" s="30"/>
      <c r="AY979" s="30"/>
      <c r="AZ979" s="30"/>
      <c r="BA979" s="30"/>
      <c r="BB979" s="26"/>
      <c r="BC979" s="26"/>
      <c r="BD979" s="26"/>
      <c r="BE979" s="26"/>
      <c r="BF979" s="26"/>
    </row>
    <row r="980" spans="1:58" ht="15.75" customHeight="1">
      <c r="A980" s="67"/>
      <c r="B980" s="67"/>
      <c r="C980" s="67"/>
      <c r="D980" s="68"/>
      <c r="E980" s="68"/>
      <c r="F980" s="68"/>
      <c r="G980" s="68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30"/>
      <c r="AO980" s="25"/>
      <c r="AP980" s="120"/>
      <c r="AQ980" s="120"/>
      <c r="AR980" s="121"/>
      <c r="AS980" s="96"/>
      <c r="AT980" s="122"/>
      <c r="AU980" s="123"/>
      <c r="AV980" s="122"/>
      <c r="AW980" s="122"/>
      <c r="AX980" s="30"/>
      <c r="AY980" s="30"/>
      <c r="AZ980" s="30"/>
      <c r="BA980" s="30"/>
      <c r="BB980" s="26"/>
      <c r="BC980" s="26"/>
      <c r="BD980" s="26"/>
      <c r="BE980" s="26"/>
      <c r="BF980" s="26"/>
    </row>
    <row r="981" spans="1:58" ht="15.75" customHeight="1">
      <c r="A981" s="67"/>
      <c r="B981" s="67"/>
      <c r="C981" s="67"/>
      <c r="D981" s="68"/>
      <c r="E981" s="68"/>
      <c r="F981" s="68"/>
      <c r="G981" s="68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30"/>
      <c r="AO981" s="25"/>
      <c r="AP981" s="120"/>
      <c r="AQ981" s="120"/>
      <c r="AR981" s="121"/>
      <c r="AS981" s="96"/>
      <c r="AT981" s="122"/>
      <c r="AU981" s="123"/>
      <c r="AV981" s="122"/>
      <c r="AW981" s="122"/>
      <c r="AX981" s="30"/>
      <c r="AY981" s="30"/>
      <c r="AZ981" s="30"/>
      <c r="BA981" s="30"/>
      <c r="BB981" s="26"/>
      <c r="BC981" s="26"/>
      <c r="BD981" s="26"/>
      <c r="BE981" s="26"/>
      <c r="BF981" s="26"/>
    </row>
    <row r="982" spans="1:58" ht="15.75" customHeight="1">
      <c r="A982" s="67"/>
      <c r="B982" s="67"/>
      <c r="C982" s="67"/>
      <c r="D982" s="68"/>
      <c r="E982" s="68"/>
      <c r="F982" s="68"/>
      <c r="G982" s="68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30"/>
      <c r="AO982" s="25"/>
      <c r="AP982" s="120"/>
      <c r="AQ982" s="120"/>
      <c r="AR982" s="121"/>
      <c r="AS982" s="96"/>
      <c r="AT982" s="122"/>
      <c r="AU982" s="123"/>
      <c r="AV982" s="122"/>
      <c r="AW982" s="122"/>
      <c r="AX982" s="30"/>
      <c r="AY982" s="30"/>
      <c r="AZ982" s="30"/>
      <c r="BA982" s="30"/>
      <c r="BB982" s="26"/>
      <c r="BC982" s="26"/>
      <c r="BD982" s="26"/>
      <c r="BE982" s="26"/>
      <c r="BF982" s="26"/>
    </row>
    <row r="983" spans="1:58" ht="15.75" customHeight="1">
      <c r="A983" s="67"/>
      <c r="B983" s="67"/>
      <c r="C983" s="67"/>
      <c r="D983" s="68"/>
      <c r="E983" s="68"/>
      <c r="F983" s="68"/>
      <c r="G983" s="68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30"/>
      <c r="AO983" s="25"/>
      <c r="AP983" s="120"/>
      <c r="AQ983" s="120"/>
      <c r="AR983" s="121"/>
      <c r="AS983" s="96"/>
      <c r="AT983" s="122"/>
      <c r="AU983" s="123"/>
      <c r="AV983" s="122"/>
      <c r="AW983" s="122"/>
      <c r="AX983" s="30"/>
      <c r="AY983" s="30"/>
      <c r="AZ983" s="30"/>
      <c r="BA983" s="30"/>
      <c r="BB983" s="26"/>
      <c r="BC983" s="26"/>
      <c r="BD983" s="26"/>
      <c r="BE983" s="26"/>
      <c r="BF983" s="26"/>
    </row>
    <row r="984" spans="1:58" ht="15.75" customHeight="1">
      <c r="A984" s="67"/>
      <c r="B984" s="67"/>
      <c r="C984" s="67"/>
      <c r="D984" s="68"/>
      <c r="E984" s="68"/>
      <c r="F984" s="68"/>
      <c r="G984" s="68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30"/>
      <c r="AO984" s="25"/>
      <c r="AP984" s="120"/>
      <c r="AQ984" s="120"/>
      <c r="AR984" s="121"/>
      <c r="AS984" s="96"/>
      <c r="AT984" s="122"/>
      <c r="AU984" s="123"/>
      <c r="AV984" s="122"/>
      <c r="AW984" s="122"/>
      <c r="AX984" s="30"/>
      <c r="AY984" s="30"/>
      <c r="AZ984" s="30"/>
      <c r="BA984" s="30"/>
      <c r="BB984" s="26"/>
      <c r="BC984" s="26"/>
      <c r="BD984" s="26"/>
      <c r="BE984" s="26"/>
      <c r="BF984" s="26"/>
    </row>
    <row r="985" spans="1:58" ht="15.75" customHeight="1">
      <c r="A985" s="67"/>
      <c r="B985" s="67"/>
      <c r="C985" s="67"/>
      <c r="D985" s="68"/>
      <c r="E985" s="68"/>
      <c r="F985" s="68"/>
      <c r="G985" s="68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30"/>
      <c r="AO985" s="25"/>
      <c r="AP985" s="120"/>
      <c r="AQ985" s="120"/>
      <c r="AR985" s="121"/>
      <c r="AS985" s="96"/>
      <c r="AT985" s="122"/>
      <c r="AU985" s="123"/>
      <c r="AV985" s="122"/>
      <c r="AW985" s="122"/>
      <c r="AX985" s="30"/>
      <c r="AY985" s="30"/>
      <c r="AZ985" s="30"/>
      <c r="BA985" s="30"/>
      <c r="BB985" s="26"/>
      <c r="BC985" s="26"/>
      <c r="BD985" s="26"/>
      <c r="BE985" s="26"/>
      <c r="BF985" s="26"/>
    </row>
    <row r="986" spans="1:58" ht="15.75" customHeight="1">
      <c r="A986" s="67"/>
      <c r="B986" s="67"/>
      <c r="C986" s="67"/>
      <c r="D986" s="68"/>
      <c r="E986" s="68"/>
      <c r="F986" s="68"/>
      <c r="G986" s="68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30"/>
      <c r="AO986" s="25"/>
      <c r="AP986" s="120"/>
      <c r="AQ986" s="120"/>
      <c r="AR986" s="121"/>
      <c r="AS986" s="96"/>
      <c r="AT986" s="122"/>
      <c r="AU986" s="123"/>
      <c r="AV986" s="122"/>
      <c r="AW986" s="122"/>
      <c r="AX986" s="30"/>
      <c r="AY986" s="30"/>
      <c r="AZ986" s="30"/>
      <c r="BA986" s="30"/>
      <c r="BB986" s="26"/>
      <c r="BC986" s="26"/>
      <c r="BD986" s="26"/>
      <c r="BE986" s="26"/>
      <c r="BF986" s="26"/>
    </row>
    <row r="987" spans="1:58" ht="15.75" customHeight="1">
      <c r="A987" s="67"/>
      <c r="B987" s="67"/>
      <c r="C987" s="67"/>
      <c r="D987" s="68"/>
      <c r="E987" s="68"/>
      <c r="F987" s="68"/>
      <c r="G987" s="68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30"/>
      <c r="AO987" s="25"/>
      <c r="AP987" s="120"/>
      <c r="AQ987" s="120"/>
      <c r="AR987" s="121"/>
      <c r="AS987" s="96"/>
      <c r="AT987" s="122"/>
      <c r="AU987" s="123"/>
      <c r="AV987" s="122"/>
      <c r="AW987" s="122"/>
      <c r="AX987" s="30"/>
      <c r="AY987" s="30"/>
      <c r="AZ987" s="30"/>
      <c r="BA987" s="30"/>
      <c r="BB987" s="26"/>
      <c r="BC987" s="26"/>
      <c r="BD987" s="26"/>
      <c r="BE987" s="26"/>
      <c r="BF987" s="26"/>
    </row>
    <row r="988" spans="1:58" ht="15.75" customHeight="1">
      <c r="A988" s="67"/>
      <c r="B988" s="67"/>
      <c r="C988" s="67"/>
      <c r="D988" s="68"/>
      <c r="E988" s="68"/>
      <c r="F988" s="68"/>
      <c r="G988" s="68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30"/>
      <c r="AO988" s="25"/>
      <c r="AP988" s="120"/>
      <c r="AQ988" s="120"/>
      <c r="AR988" s="121"/>
      <c r="AS988" s="96"/>
      <c r="AT988" s="122"/>
      <c r="AU988" s="123"/>
      <c r="AV988" s="122"/>
      <c r="AW988" s="122"/>
      <c r="AX988" s="30"/>
      <c r="AY988" s="30"/>
      <c r="AZ988" s="30"/>
      <c r="BA988" s="30"/>
      <c r="BB988" s="26"/>
      <c r="BC988" s="26"/>
      <c r="BD988" s="26"/>
      <c r="BE988" s="26"/>
      <c r="BF988" s="26"/>
    </row>
    <row r="989" spans="1:58" ht="15.75" customHeight="1">
      <c r="A989" s="67"/>
      <c r="B989" s="67"/>
      <c r="C989" s="67"/>
      <c r="D989" s="68"/>
      <c r="E989" s="68"/>
      <c r="F989" s="68"/>
      <c r="G989" s="68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30"/>
      <c r="AO989" s="25"/>
      <c r="AP989" s="120"/>
      <c r="AQ989" s="120"/>
      <c r="AR989" s="121"/>
      <c r="AS989" s="96"/>
      <c r="AT989" s="122"/>
      <c r="AU989" s="123"/>
      <c r="AV989" s="122"/>
      <c r="AW989" s="122"/>
      <c r="AX989" s="30"/>
      <c r="AY989" s="30"/>
      <c r="AZ989" s="30"/>
      <c r="BA989" s="30"/>
      <c r="BB989" s="26"/>
      <c r="BC989" s="26"/>
      <c r="BD989" s="26"/>
      <c r="BE989" s="26"/>
      <c r="BF989" s="26"/>
    </row>
    <row r="990" spans="1:58" ht="15.75" customHeight="1">
      <c r="A990" s="67"/>
      <c r="B990" s="67"/>
      <c r="C990" s="67"/>
      <c r="D990" s="68"/>
      <c r="E990" s="68"/>
      <c r="F990" s="68"/>
      <c r="G990" s="68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30"/>
      <c r="AO990" s="25"/>
      <c r="AP990" s="120"/>
      <c r="AQ990" s="120"/>
      <c r="AR990" s="121"/>
      <c r="AS990" s="96"/>
      <c r="AT990" s="122"/>
      <c r="AU990" s="123"/>
      <c r="AV990" s="122"/>
      <c r="AW990" s="122"/>
      <c r="AX990" s="30"/>
      <c r="AY990" s="30"/>
      <c r="AZ990" s="30"/>
      <c r="BA990" s="30"/>
      <c r="BB990" s="26"/>
      <c r="BC990" s="26"/>
      <c r="BD990" s="26"/>
      <c r="BE990" s="26"/>
      <c r="BF990" s="26"/>
    </row>
    <row r="991" spans="1:58" ht="15.75" customHeight="1">
      <c r="A991" s="67"/>
      <c r="B991" s="67"/>
      <c r="C991" s="67"/>
      <c r="D991" s="68"/>
      <c r="E991" s="68"/>
      <c r="F991" s="68"/>
      <c r="G991" s="68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30"/>
      <c r="AO991" s="25"/>
      <c r="AP991" s="120"/>
      <c r="AQ991" s="120"/>
      <c r="AR991" s="121"/>
      <c r="AS991" s="96"/>
      <c r="AT991" s="122"/>
      <c r="AU991" s="123"/>
      <c r="AV991" s="122"/>
      <c r="AW991" s="122"/>
      <c r="AX991" s="30"/>
      <c r="AY991" s="30"/>
      <c r="AZ991" s="30"/>
      <c r="BA991" s="30"/>
      <c r="BB991" s="26"/>
      <c r="BC991" s="26"/>
      <c r="BD991" s="26"/>
      <c r="BE991" s="26"/>
      <c r="BF991" s="26"/>
    </row>
    <row r="992" spans="1:58" ht="15.75" customHeight="1">
      <c r="A992" s="67"/>
      <c r="B992" s="67"/>
      <c r="C992" s="67"/>
      <c r="D992" s="68"/>
      <c r="E992" s="68"/>
      <c r="F992" s="68"/>
      <c r="G992" s="68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30"/>
      <c r="AO992" s="25"/>
      <c r="AP992" s="120"/>
      <c r="AQ992" s="120"/>
      <c r="AR992" s="121"/>
      <c r="AS992" s="96"/>
      <c r="AT992" s="122"/>
      <c r="AU992" s="123"/>
      <c r="AV992" s="122"/>
      <c r="AW992" s="122"/>
      <c r="AX992" s="30"/>
      <c r="AY992" s="30"/>
      <c r="AZ992" s="30"/>
      <c r="BA992" s="30"/>
      <c r="BB992" s="26"/>
      <c r="BC992" s="26"/>
      <c r="BD992" s="26"/>
      <c r="BE992" s="26"/>
      <c r="BF992" s="26"/>
    </row>
    <row r="993" spans="1:58" ht="15.75" customHeight="1">
      <c r="A993" s="67"/>
      <c r="B993" s="67"/>
      <c r="C993" s="67"/>
      <c r="D993" s="68"/>
      <c r="E993" s="68"/>
      <c r="F993" s="68"/>
      <c r="G993" s="68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30"/>
      <c r="AO993" s="25"/>
      <c r="AP993" s="120"/>
      <c r="AQ993" s="120"/>
      <c r="AR993" s="121"/>
      <c r="AS993" s="96"/>
      <c r="AT993" s="122"/>
      <c r="AU993" s="123"/>
      <c r="AV993" s="122"/>
      <c r="AW993" s="122"/>
      <c r="AX993" s="30"/>
      <c r="AY993" s="30"/>
      <c r="AZ993" s="30"/>
      <c r="BA993" s="30"/>
      <c r="BB993" s="26"/>
      <c r="BC993" s="26"/>
      <c r="BD993" s="26"/>
      <c r="BE993" s="26"/>
      <c r="BF993" s="26"/>
    </row>
    <row r="994" spans="1:58" ht="15.75" customHeight="1">
      <c r="A994" s="67"/>
      <c r="B994" s="67"/>
      <c r="C994" s="67"/>
      <c r="D994" s="68"/>
      <c r="E994" s="68"/>
      <c r="F994" s="68"/>
      <c r="G994" s="68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30"/>
      <c r="AO994" s="25"/>
      <c r="AP994" s="120"/>
      <c r="AQ994" s="120"/>
      <c r="AR994" s="121"/>
      <c r="AS994" s="96"/>
      <c r="AT994" s="122"/>
      <c r="AU994" s="123"/>
      <c r="AV994" s="122"/>
      <c r="AW994" s="122"/>
      <c r="AX994" s="30"/>
      <c r="AY994" s="30"/>
      <c r="AZ994" s="30"/>
      <c r="BA994" s="30"/>
      <c r="BB994" s="26"/>
      <c r="BC994" s="26"/>
      <c r="BD994" s="26"/>
      <c r="BE994" s="26"/>
      <c r="BF994" s="26"/>
    </row>
    <row r="995" spans="1:58" ht="15.75" customHeight="1">
      <c r="A995" s="67"/>
      <c r="B995" s="67"/>
      <c r="C995" s="67"/>
      <c r="D995" s="68"/>
      <c r="E995" s="68"/>
      <c r="F995" s="68"/>
      <c r="G995" s="68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30"/>
      <c r="AO995" s="25"/>
      <c r="AP995" s="120"/>
      <c r="AQ995" s="120"/>
      <c r="AR995" s="121"/>
      <c r="AS995" s="96"/>
      <c r="AT995" s="122"/>
      <c r="AU995" s="123"/>
      <c r="AV995" s="122"/>
      <c r="AW995" s="122"/>
      <c r="AX995" s="30"/>
      <c r="AY995" s="30"/>
      <c r="AZ995" s="30"/>
      <c r="BA995" s="30"/>
      <c r="BB995" s="26"/>
      <c r="BC995" s="26"/>
      <c r="BD995" s="26"/>
      <c r="BE995" s="26"/>
      <c r="BF995" s="26"/>
    </row>
    <row r="996" spans="1:58" ht="15.75" customHeight="1">
      <c r="A996" s="67"/>
      <c r="B996" s="67"/>
      <c r="C996" s="67"/>
      <c r="D996" s="68"/>
      <c r="E996" s="68"/>
      <c r="F996" s="68"/>
      <c r="G996" s="68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30"/>
      <c r="AO996" s="25"/>
      <c r="AP996" s="120"/>
      <c r="AQ996" s="120"/>
      <c r="AR996" s="121"/>
      <c r="AS996" s="96"/>
      <c r="AT996" s="122"/>
      <c r="AU996" s="123"/>
      <c r="AV996" s="122"/>
      <c r="AW996" s="122"/>
      <c r="AX996" s="30"/>
      <c r="AY996" s="30"/>
      <c r="AZ996" s="30"/>
      <c r="BA996" s="30"/>
      <c r="BB996" s="26"/>
      <c r="BC996" s="26"/>
      <c r="BD996" s="26"/>
      <c r="BE996" s="26"/>
      <c r="BF996" s="26"/>
    </row>
    <row r="997" spans="1:58" ht="15.75" customHeight="1">
      <c r="A997" s="67"/>
      <c r="B997" s="67"/>
      <c r="C997" s="67"/>
      <c r="D997" s="68"/>
      <c r="E997" s="68"/>
      <c r="F997" s="68"/>
      <c r="G997" s="68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30"/>
      <c r="AO997" s="25"/>
      <c r="AP997" s="120"/>
      <c r="AQ997" s="120"/>
      <c r="AR997" s="121"/>
      <c r="AS997" s="96"/>
      <c r="AT997" s="122"/>
      <c r="AU997" s="123"/>
      <c r="AV997" s="122"/>
      <c r="AW997" s="122"/>
      <c r="AX997" s="30"/>
      <c r="AY997" s="30"/>
      <c r="AZ997" s="30"/>
      <c r="BA997" s="30"/>
      <c r="BB997" s="26"/>
      <c r="BC997" s="26"/>
      <c r="BD997" s="26"/>
      <c r="BE997" s="26"/>
      <c r="BF997" s="26"/>
    </row>
    <row r="998" spans="1:58" ht="15.75" customHeight="1">
      <c r="A998" s="67"/>
      <c r="B998" s="67"/>
      <c r="C998" s="67"/>
      <c r="D998" s="68"/>
      <c r="E998" s="68"/>
      <c r="F998" s="68"/>
      <c r="G998" s="68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30"/>
      <c r="AO998" s="25"/>
      <c r="AP998" s="120"/>
      <c r="AQ998" s="120"/>
      <c r="AR998" s="121"/>
      <c r="AS998" s="96"/>
      <c r="AT998" s="122"/>
      <c r="AU998" s="123"/>
      <c r="AV998" s="122"/>
      <c r="AW998" s="122"/>
      <c r="AX998" s="30"/>
      <c r="AY998" s="30"/>
      <c r="AZ998" s="30"/>
      <c r="BA998" s="30"/>
      <c r="BB998" s="26"/>
      <c r="BC998" s="26"/>
      <c r="BD998" s="26"/>
      <c r="BE998" s="26"/>
      <c r="BF998" s="26"/>
    </row>
    <row r="999" spans="1:58" ht="15.75" customHeight="1">
      <c r="A999" s="67"/>
      <c r="B999" s="67"/>
      <c r="C999" s="67"/>
      <c r="D999" s="68"/>
      <c r="E999" s="68"/>
      <c r="F999" s="68"/>
      <c r="G999" s="68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30"/>
      <c r="AO999" s="25"/>
      <c r="AP999" s="120"/>
      <c r="AQ999" s="120"/>
      <c r="AR999" s="121"/>
      <c r="AS999" s="96"/>
      <c r="AT999" s="122"/>
      <c r="AU999" s="123"/>
      <c r="AV999" s="122"/>
      <c r="AW999" s="122"/>
      <c r="AX999" s="30"/>
      <c r="AY999" s="30"/>
      <c r="AZ999" s="30"/>
      <c r="BA999" s="30"/>
      <c r="BB999" s="26"/>
      <c r="BC999" s="26"/>
      <c r="BD999" s="26"/>
      <c r="BE999" s="26"/>
      <c r="BF999" s="26"/>
    </row>
    <row r="1000" spans="1:58" ht="15.75" customHeight="1">
      <c r="A1000" s="67"/>
      <c r="B1000" s="67"/>
      <c r="C1000" s="67"/>
      <c r="D1000" s="68"/>
      <c r="E1000" s="68"/>
      <c r="F1000" s="68"/>
      <c r="G1000" s="68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30"/>
      <c r="AO1000" s="25"/>
      <c r="AP1000" s="120"/>
      <c r="AQ1000" s="120"/>
      <c r="AR1000" s="121"/>
      <c r="AS1000" s="96"/>
      <c r="AT1000" s="122"/>
      <c r="AU1000" s="123"/>
      <c r="AV1000" s="122"/>
      <c r="AW1000" s="122"/>
      <c r="AX1000" s="30"/>
      <c r="AY1000" s="30"/>
      <c r="AZ1000" s="30"/>
      <c r="BA1000" s="30"/>
      <c r="BB1000" s="26"/>
      <c r="BC1000" s="26"/>
      <c r="BD1000" s="26"/>
      <c r="BE1000" s="26"/>
      <c r="BF1000" s="26"/>
    </row>
    <row r="1001" spans="1:58" ht="15.75" customHeight="1">
      <c r="A1001" s="67"/>
      <c r="B1001" s="67"/>
      <c r="C1001" s="67"/>
      <c r="D1001" s="68"/>
      <c r="E1001" s="68"/>
      <c r="F1001" s="68"/>
      <c r="G1001" s="68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30"/>
      <c r="AO1001" s="25"/>
      <c r="AP1001" s="120"/>
      <c r="AQ1001" s="120"/>
      <c r="AR1001" s="121"/>
      <c r="AS1001" s="96"/>
      <c r="AT1001" s="122"/>
      <c r="AU1001" s="123"/>
      <c r="AV1001" s="122"/>
      <c r="AW1001" s="122"/>
      <c r="AX1001" s="30"/>
      <c r="AY1001" s="30"/>
      <c r="AZ1001" s="30"/>
      <c r="BA1001" s="30"/>
      <c r="BB1001" s="26"/>
      <c r="BC1001" s="26"/>
      <c r="BD1001" s="26"/>
      <c r="BE1001" s="26"/>
      <c r="BF1001" s="26"/>
    </row>
    <row r="1002" spans="1:58" ht="15.75" customHeight="1">
      <c r="A1002" s="67"/>
      <c r="B1002" s="67"/>
      <c r="C1002" s="67"/>
      <c r="D1002" s="68"/>
      <c r="E1002" s="68"/>
      <c r="F1002" s="68"/>
      <c r="G1002" s="68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30"/>
      <c r="AO1002" s="25"/>
      <c r="AP1002" s="120"/>
      <c r="AQ1002" s="120"/>
      <c r="AR1002" s="121"/>
      <c r="AS1002" s="96"/>
      <c r="AT1002" s="122"/>
      <c r="AU1002" s="123"/>
      <c r="AV1002" s="122"/>
      <c r="AW1002" s="122"/>
      <c r="AX1002" s="30"/>
      <c r="AY1002" s="30"/>
      <c r="AZ1002" s="30"/>
      <c r="BA1002" s="30"/>
      <c r="BB1002" s="26"/>
      <c r="BC1002" s="26"/>
      <c r="BD1002" s="26"/>
      <c r="BE1002" s="26"/>
      <c r="BF1002" s="26"/>
    </row>
    <row r="1003" spans="1:58" ht="15.75" customHeight="1">
      <c r="A1003" s="67"/>
      <c r="B1003" s="67"/>
      <c r="C1003" s="67"/>
      <c r="D1003" s="68"/>
      <c r="E1003" s="68"/>
      <c r="F1003" s="68"/>
      <c r="G1003" s="68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30"/>
      <c r="AO1003" s="25"/>
      <c r="AP1003" s="120"/>
      <c r="AQ1003" s="120"/>
      <c r="AR1003" s="121"/>
      <c r="AS1003" s="96"/>
      <c r="AT1003" s="122"/>
      <c r="AU1003" s="123"/>
      <c r="AV1003" s="122"/>
      <c r="AW1003" s="122"/>
      <c r="AX1003" s="30"/>
      <c r="AY1003" s="30"/>
      <c r="AZ1003" s="30"/>
      <c r="BA1003" s="30"/>
      <c r="BB1003" s="26"/>
      <c r="BC1003" s="26"/>
      <c r="BD1003" s="26"/>
      <c r="BE1003" s="26"/>
      <c r="BF1003" s="26"/>
    </row>
    <row r="1004" spans="1:58" ht="15.75" customHeight="1">
      <c r="A1004" s="67"/>
      <c r="B1004" s="67"/>
      <c r="C1004" s="67"/>
      <c r="D1004" s="68"/>
      <c r="E1004" s="68"/>
      <c r="F1004" s="68"/>
      <c r="G1004" s="68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30"/>
      <c r="AO1004" s="25"/>
      <c r="AP1004" s="120"/>
      <c r="AQ1004" s="120"/>
      <c r="AR1004" s="121"/>
      <c r="AS1004" s="96"/>
      <c r="AT1004" s="122"/>
      <c r="AU1004" s="123"/>
      <c r="AV1004" s="122"/>
      <c r="AW1004" s="122"/>
      <c r="AX1004" s="30"/>
      <c r="AY1004" s="30"/>
      <c r="AZ1004" s="30"/>
      <c r="BA1004" s="30"/>
      <c r="BB1004" s="26"/>
      <c r="BC1004" s="26"/>
      <c r="BD1004" s="26"/>
      <c r="BE1004" s="26"/>
      <c r="BF1004" s="26"/>
    </row>
    <row r="1005" spans="1:58" ht="15.75" customHeight="1">
      <c r="A1005" s="67"/>
      <c r="B1005" s="67"/>
      <c r="C1005" s="67"/>
      <c r="D1005" s="68"/>
      <c r="E1005" s="68"/>
      <c r="F1005" s="68"/>
      <c r="G1005" s="68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30"/>
      <c r="AO1005" s="25"/>
      <c r="AP1005" s="120"/>
      <c r="AQ1005" s="120"/>
      <c r="AR1005" s="121"/>
      <c r="AS1005" s="96"/>
      <c r="AT1005" s="122"/>
      <c r="AU1005" s="123"/>
      <c r="AV1005" s="122"/>
      <c r="AW1005" s="122"/>
      <c r="AX1005" s="30"/>
      <c r="AY1005" s="30"/>
      <c r="AZ1005" s="30"/>
      <c r="BA1005" s="30"/>
      <c r="BB1005" s="26"/>
      <c r="BC1005" s="26"/>
      <c r="BD1005" s="26"/>
      <c r="BE1005" s="26"/>
      <c r="BF1005" s="26"/>
    </row>
    <row r="1006" spans="1:58" ht="15.75" customHeight="1">
      <c r="A1006" s="67"/>
      <c r="B1006" s="67"/>
      <c r="C1006" s="67"/>
      <c r="D1006" s="68"/>
      <c r="E1006" s="68"/>
      <c r="F1006" s="68"/>
      <c r="G1006" s="68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30"/>
      <c r="AO1006" s="25"/>
      <c r="AP1006" s="120"/>
      <c r="AQ1006" s="120"/>
      <c r="AR1006" s="121"/>
      <c r="AS1006" s="96"/>
      <c r="AT1006" s="122"/>
      <c r="AU1006" s="123"/>
      <c r="AV1006" s="122"/>
      <c r="AW1006" s="122"/>
      <c r="AX1006" s="30"/>
      <c r="AY1006" s="30"/>
      <c r="AZ1006" s="30"/>
      <c r="BA1006" s="30"/>
      <c r="BB1006" s="26"/>
      <c r="BC1006" s="26"/>
      <c r="BD1006" s="26"/>
      <c r="BE1006" s="26"/>
      <c r="BF1006" s="26"/>
    </row>
    <row r="1007" spans="1:58" ht="15.75" customHeight="1">
      <c r="A1007" s="67"/>
      <c r="B1007" s="67"/>
      <c r="C1007" s="67"/>
      <c r="D1007" s="68"/>
      <c r="E1007" s="68"/>
      <c r="F1007" s="68"/>
      <c r="G1007" s="68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30"/>
      <c r="AO1007" s="25"/>
      <c r="AP1007" s="120"/>
      <c r="AQ1007" s="120"/>
      <c r="AR1007" s="121"/>
      <c r="AS1007" s="96"/>
      <c r="AT1007" s="122"/>
      <c r="AU1007" s="123"/>
      <c r="AV1007" s="122"/>
      <c r="AW1007" s="122"/>
      <c r="AX1007" s="30"/>
      <c r="AY1007" s="30"/>
      <c r="AZ1007" s="30"/>
      <c r="BA1007" s="30"/>
      <c r="BB1007" s="26"/>
      <c r="BC1007" s="26"/>
      <c r="BD1007" s="26"/>
      <c r="BE1007" s="26"/>
      <c r="BF1007" s="26"/>
    </row>
    <row r="1008" spans="1:58" ht="15.75" customHeight="1">
      <c r="A1008" s="67"/>
      <c r="B1008" s="67"/>
      <c r="C1008" s="67"/>
      <c r="D1008" s="68"/>
      <c r="E1008" s="68"/>
      <c r="F1008" s="68"/>
      <c r="G1008" s="68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30"/>
      <c r="AO1008" s="25"/>
      <c r="AP1008" s="120"/>
      <c r="AQ1008" s="120"/>
      <c r="AR1008" s="121"/>
      <c r="AS1008" s="96"/>
      <c r="AT1008" s="122"/>
      <c r="AU1008" s="123"/>
      <c r="AV1008" s="122"/>
      <c r="AW1008" s="122"/>
      <c r="AX1008" s="30"/>
      <c r="AY1008" s="30"/>
      <c r="AZ1008" s="30"/>
      <c r="BA1008" s="30"/>
      <c r="BB1008" s="26"/>
      <c r="BC1008" s="26"/>
      <c r="BD1008" s="26"/>
      <c r="BE1008" s="26"/>
      <c r="BF1008" s="26"/>
    </row>
    <row r="1009" spans="1:58" ht="15.75" customHeight="1">
      <c r="A1009" s="67"/>
      <c r="B1009" s="67"/>
      <c r="C1009" s="67"/>
      <c r="D1009" s="68"/>
      <c r="E1009" s="68"/>
      <c r="F1009" s="68"/>
      <c r="G1009" s="68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30"/>
      <c r="AO1009" s="25"/>
      <c r="AP1009" s="120"/>
      <c r="AQ1009" s="120"/>
      <c r="AR1009" s="121"/>
      <c r="AS1009" s="96"/>
      <c r="AT1009" s="122"/>
      <c r="AU1009" s="123"/>
      <c r="AV1009" s="122"/>
      <c r="AW1009" s="122"/>
      <c r="AX1009" s="30"/>
      <c r="AY1009" s="30"/>
      <c r="AZ1009" s="30"/>
      <c r="BA1009" s="30"/>
      <c r="BB1009" s="26"/>
      <c r="BC1009" s="26"/>
      <c r="BD1009" s="26"/>
      <c r="BE1009" s="26"/>
      <c r="BF1009" s="26"/>
    </row>
    <row r="1010" spans="1:58" ht="15.75" customHeight="1">
      <c r="A1010" s="67"/>
      <c r="B1010" s="67"/>
      <c r="C1010" s="67"/>
      <c r="D1010" s="68"/>
      <c r="E1010" s="68"/>
      <c r="F1010" s="68"/>
      <c r="G1010" s="68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30"/>
      <c r="AO1010" s="25"/>
      <c r="AP1010" s="120"/>
      <c r="AQ1010" s="120"/>
      <c r="AR1010" s="121"/>
      <c r="AS1010" s="96"/>
      <c r="AT1010" s="122"/>
      <c r="AU1010" s="123"/>
      <c r="AV1010" s="122"/>
      <c r="AW1010" s="122"/>
      <c r="AX1010" s="30"/>
      <c r="AY1010" s="30"/>
      <c r="AZ1010" s="30"/>
      <c r="BA1010" s="30"/>
      <c r="BB1010" s="26"/>
      <c r="BC1010" s="26"/>
      <c r="BD1010" s="26"/>
      <c r="BE1010" s="26"/>
      <c r="BF1010" s="26"/>
    </row>
    <row r="1011" spans="1:58" ht="15.75" customHeight="1">
      <c r="A1011" s="67"/>
      <c r="B1011" s="67"/>
      <c r="C1011" s="67"/>
      <c r="D1011" s="68"/>
      <c r="E1011" s="68"/>
      <c r="F1011" s="68"/>
      <c r="G1011" s="68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30"/>
      <c r="AO1011" s="25"/>
      <c r="AP1011" s="120"/>
      <c r="AQ1011" s="120"/>
      <c r="AR1011" s="121"/>
      <c r="AS1011" s="96"/>
      <c r="AT1011" s="122"/>
      <c r="AU1011" s="123"/>
      <c r="AV1011" s="122"/>
      <c r="AW1011" s="122"/>
      <c r="AX1011" s="30"/>
      <c r="AY1011" s="30"/>
      <c r="AZ1011" s="30"/>
      <c r="BA1011" s="30"/>
      <c r="BB1011" s="26"/>
      <c r="BC1011" s="26"/>
      <c r="BD1011" s="26"/>
      <c r="BE1011" s="26"/>
      <c r="BF1011" s="26"/>
    </row>
    <row r="1012" spans="1:58" ht="15.75" customHeight="1">
      <c r="A1012" s="67"/>
      <c r="B1012" s="67"/>
      <c r="C1012" s="67"/>
      <c r="D1012" s="68"/>
      <c r="E1012" s="68"/>
      <c r="F1012" s="68"/>
      <c r="G1012" s="68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30"/>
      <c r="AO1012" s="25"/>
      <c r="AP1012" s="120"/>
      <c r="AQ1012" s="120"/>
      <c r="AR1012" s="121"/>
      <c r="AS1012" s="96"/>
      <c r="AT1012" s="122"/>
      <c r="AU1012" s="123"/>
      <c r="AV1012" s="122"/>
      <c r="AW1012" s="122"/>
      <c r="AX1012" s="30"/>
      <c r="AY1012" s="30"/>
      <c r="AZ1012" s="30"/>
      <c r="BA1012" s="30"/>
      <c r="BB1012" s="26"/>
      <c r="BC1012" s="26"/>
      <c r="BD1012" s="26"/>
      <c r="BE1012" s="26"/>
      <c r="BF1012" s="26"/>
    </row>
    <row r="1013" spans="1:58" ht="15.75" customHeight="1">
      <c r="A1013" s="67"/>
      <c r="B1013" s="67"/>
      <c r="C1013" s="67"/>
      <c r="D1013" s="68"/>
      <c r="E1013" s="68"/>
      <c r="F1013" s="68"/>
      <c r="G1013" s="68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30"/>
      <c r="AO1013" s="25"/>
      <c r="AP1013" s="120"/>
      <c r="AQ1013" s="120"/>
      <c r="AR1013" s="121"/>
      <c r="AS1013" s="96"/>
      <c r="AT1013" s="122"/>
      <c r="AU1013" s="123"/>
      <c r="AV1013" s="122"/>
      <c r="AW1013" s="122"/>
      <c r="AX1013" s="30"/>
      <c r="AY1013" s="30"/>
      <c r="AZ1013" s="30"/>
      <c r="BA1013" s="30"/>
      <c r="BB1013" s="26"/>
      <c r="BC1013" s="26"/>
      <c r="BD1013" s="26"/>
      <c r="BE1013" s="26"/>
      <c r="BF1013" s="26"/>
    </row>
    <row r="1014" spans="1:58" ht="15.75" customHeight="1">
      <c r="A1014" s="67"/>
      <c r="B1014" s="67"/>
      <c r="C1014" s="67"/>
      <c r="D1014" s="68"/>
      <c r="E1014" s="68"/>
      <c r="F1014" s="68"/>
      <c r="G1014" s="68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30"/>
      <c r="AO1014" s="25"/>
      <c r="AP1014" s="120"/>
      <c r="AQ1014" s="120"/>
      <c r="AR1014" s="121"/>
      <c r="AS1014" s="96"/>
      <c r="AT1014" s="122"/>
      <c r="AU1014" s="123"/>
      <c r="AV1014" s="122"/>
      <c r="AW1014" s="122"/>
      <c r="AX1014" s="30"/>
      <c r="AY1014" s="30"/>
      <c r="AZ1014" s="30"/>
      <c r="BA1014" s="30"/>
      <c r="BB1014" s="26"/>
      <c r="BC1014" s="26"/>
      <c r="BD1014" s="26"/>
      <c r="BE1014" s="26"/>
      <c r="BF1014" s="26"/>
    </row>
    <row r="1015" spans="1:58" ht="15.75" customHeight="1">
      <c r="A1015" s="67"/>
      <c r="B1015" s="67"/>
      <c r="C1015" s="67"/>
      <c r="D1015" s="68"/>
      <c r="E1015" s="68"/>
      <c r="F1015" s="68"/>
      <c r="G1015" s="68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30"/>
      <c r="AO1015" s="25"/>
      <c r="AP1015" s="120"/>
      <c r="AQ1015" s="120"/>
      <c r="AR1015" s="121"/>
      <c r="AS1015" s="96"/>
      <c r="AT1015" s="122"/>
      <c r="AU1015" s="123"/>
      <c r="AV1015" s="122"/>
      <c r="AW1015" s="122"/>
      <c r="AX1015" s="30"/>
      <c r="AY1015" s="30"/>
      <c r="AZ1015" s="30"/>
      <c r="BA1015" s="30"/>
      <c r="BB1015" s="26"/>
      <c r="BC1015" s="26"/>
      <c r="BD1015" s="26"/>
      <c r="BE1015" s="26"/>
      <c r="BF1015" s="26"/>
    </row>
    <row r="1016" spans="1:58" ht="15.75" customHeight="1">
      <c r="A1016" s="67"/>
      <c r="B1016" s="67"/>
      <c r="C1016" s="67"/>
      <c r="D1016" s="68"/>
      <c r="E1016" s="68"/>
      <c r="F1016" s="68"/>
      <c r="G1016" s="68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30"/>
      <c r="AO1016" s="25"/>
      <c r="AP1016" s="120"/>
      <c r="AQ1016" s="120"/>
      <c r="AR1016" s="121"/>
      <c r="AS1016" s="96"/>
      <c r="AT1016" s="122"/>
      <c r="AU1016" s="123"/>
      <c r="AV1016" s="122"/>
      <c r="AW1016" s="122"/>
      <c r="AX1016" s="30"/>
      <c r="AY1016" s="30"/>
      <c r="AZ1016" s="30"/>
      <c r="BA1016" s="30"/>
      <c r="BB1016" s="26"/>
      <c r="BC1016" s="26"/>
      <c r="BD1016" s="26"/>
      <c r="BE1016" s="26"/>
      <c r="BF1016" s="26"/>
    </row>
    <row r="1017" spans="1:58" ht="15.75" customHeight="1">
      <c r="A1017" s="67"/>
      <c r="B1017" s="67"/>
      <c r="C1017" s="67"/>
      <c r="D1017" s="68"/>
      <c r="E1017" s="68"/>
      <c r="F1017" s="68"/>
      <c r="G1017" s="68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30"/>
      <c r="AO1017" s="25"/>
      <c r="AP1017" s="120"/>
      <c r="AQ1017" s="120"/>
      <c r="AR1017" s="121"/>
      <c r="AS1017" s="96"/>
      <c r="AT1017" s="122"/>
      <c r="AU1017" s="123"/>
      <c r="AV1017" s="122"/>
      <c r="AW1017" s="122"/>
      <c r="AX1017" s="30"/>
      <c r="AY1017" s="30"/>
      <c r="AZ1017" s="30"/>
      <c r="BA1017" s="30"/>
      <c r="BB1017" s="26"/>
      <c r="BC1017" s="26"/>
      <c r="BD1017" s="26"/>
      <c r="BE1017" s="26"/>
      <c r="BF1017" s="26"/>
    </row>
    <row r="1018" spans="1:58" ht="15.75" customHeight="1">
      <c r="A1018" s="67"/>
      <c r="B1018" s="67"/>
      <c r="C1018" s="67"/>
      <c r="D1018" s="68"/>
      <c r="E1018" s="68"/>
      <c r="F1018" s="68"/>
      <c r="G1018" s="68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30"/>
      <c r="AO1018" s="25"/>
      <c r="AP1018" s="120"/>
      <c r="AQ1018" s="120"/>
      <c r="AR1018" s="121"/>
      <c r="AS1018" s="96"/>
      <c r="AT1018" s="122"/>
      <c r="AU1018" s="123"/>
      <c r="AV1018" s="122"/>
      <c r="AW1018" s="122"/>
      <c r="AX1018" s="30"/>
      <c r="AY1018" s="30"/>
      <c r="AZ1018" s="30"/>
      <c r="BA1018" s="30"/>
      <c r="BB1018" s="26"/>
      <c r="BC1018" s="26"/>
      <c r="BD1018" s="26"/>
      <c r="BE1018" s="26"/>
      <c r="BF1018" s="26"/>
    </row>
    <row r="1019" spans="1:58" ht="15.75" customHeight="1">
      <c r="A1019" s="67"/>
      <c r="B1019" s="67"/>
      <c r="C1019" s="67"/>
      <c r="D1019" s="68"/>
      <c r="E1019" s="68"/>
      <c r="F1019" s="68"/>
      <c r="G1019" s="68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30"/>
      <c r="AO1019" s="25"/>
      <c r="AP1019" s="120"/>
      <c r="AQ1019" s="120"/>
      <c r="AR1019" s="121"/>
      <c r="AS1019" s="96"/>
      <c r="AT1019" s="122"/>
      <c r="AU1019" s="123"/>
      <c r="AV1019" s="122"/>
      <c r="AW1019" s="122"/>
      <c r="AX1019" s="30"/>
      <c r="AY1019" s="30"/>
      <c r="AZ1019" s="30"/>
      <c r="BA1019" s="30"/>
      <c r="BB1019" s="26"/>
      <c r="BC1019" s="26"/>
      <c r="BD1019" s="26"/>
      <c r="BE1019" s="26"/>
      <c r="BF1019" s="26"/>
    </row>
    <row r="1020" spans="1:58" ht="15.75" customHeight="1">
      <c r="A1020" s="67"/>
      <c r="B1020" s="67"/>
      <c r="C1020" s="67"/>
      <c r="D1020" s="68"/>
      <c r="E1020" s="68"/>
      <c r="F1020" s="68"/>
      <c r="G1020" s="68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30"/>
      <c r="AO1020" s="25"/>
      <c r="AP1020" s="120"/>
      <c r="AQ1020" s="120"/>
      <c r="AR1020" s="121"/>
      <c r="AS1020" s="96"/>
      <c r="AT1020" s="122"/>
      <c r="AU1020" s="123"/>
      <c r="AV1020" s="122"/>
      <c r="AW1020" s="122"/>
      <c r="AX1020" s="30"/>
      <c r="AY1020" s="30"/>
      <c r="AZ1020" s="30"/>
      <c r="BA1020" s="30"/>
      <c r="BB1020" s="26"/>
      <c r="BC1020" s="26"/>
      <c r="BD1020" s="26"/>
      <c r="BE1020" s="26"/>
      <c r="BF1020" s="26"/>
    </row>
    <row r="1021" spans="1:58" ht="15.75" customHeight="1">
      <c r="A1021" s="67"/>
      <c r="B1021" s="67"/>
      <c r="C1021" s="67"/>
      <c r="D1021" s="68"/>
      <c r="E1021" s="68"/>
      <c r="F1021" s="68"/>
      <c r="G1021" s="68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30"/>
      <c r="AO1021" s="25"/>
      <c r="AP1021" s="120"/>
      <c r="AQ1021" s="120"/>
      <c r="AR1021" s="121"/>
      <c r="AS1021" s="96"/>
      <c r="AT1021" s="122"/>
      <c r="AU1021" s="123"/>
      <c r="AV1021" s="122"/>
      <c r="AW1021" s="122"/>
      <c r="AX1021" s="30"/>
      <c r="AY1021" s="30"/>
      <c r="AZ1021" s="30"/>
      <c r="BA1021" s="30"/>
      <c r="BB1021" s="26"/>
      <c r="BC1021" s="26"/>
      <c r="BD1021" s="26"/>
      <c r="BE1021" s="26"/>
      <c r="BF1021" s="26"/>
    </row>
    <row r="1022" spans="1:58" ht="15.75" customHeight="1">
      <c r="A1022" s="67"/>
      <c r="B1022" s="67"/>
      <c r="C1022" s="67"/>
      <c r="D1022" s="68"/>
      <c r="E1022" s="68"/>
      <c r="F1022" s="68"/>
      <c r="G1022" s="68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30"/>
      <c r="AO1022" s="25"/>
      <c r="AP1022" s="120"/>
      <c r="AQ1022" s="120"/>
      <c r="AR1022" s="121"/>
      <c r="AS1022" s="96"/>
      <c r="AT1022" s="122"/>
      <c r="AU1022" s="123"/>
      <c r="AV1022" s="122"/>
      <c r="AW1022" s="122"/>
      <c r="AX1022" s="30"/>
      <c r="AY1022" s="30"/>
      <c r="AZ1022" s="30"/>
      <c r="BA1022" s="30"/>
      <c r="BB1022" s="26"/>
      <c r="BC1022" s="26"/>
      <c r="BD1022" s="26"/>
      <c r="BE1022" s="26"/>
      <c r="BF1022" s="26"/>
    </row>
    <row r="1023" spans="1:58" ht="15.75" customHeight="1">
      <c r="A1023" s="67"/>
      <c r="B1023" s="67"/>
      <c r="C1023" s="67"/>
      <c r="D1023" s="68"/>
      <c r="E1023" s="68"/>
      <c r="F1023" s="68"/>
      <c r="G1023" s="68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30"/>
      <c r="AO1023" s="25"/>
      <c r="AP1023" s="120"/>
      <c r="AQ1023" s="120"/>
      <c r="AR1023" s="121"/>
      <c r="AS1023" s="96"/>
      <c r="AT1023" s="122"/>
      <c r="AU1023" s="123"/>
      <c r="AV1023" s="122"/>
      <c r="AW1023" s="122"/>
      <c r="AX1023" s="30"/>
      <c r="AY1023" s="30"/>
      <c r="AZ1023" s="30"/>
      <c r="BA1023" s="30"/>
      <c r="BB1023" s="26"/>
      <c r="BC1023" s="26"/>
      <c r="BD1023" s="26"/>
      <c r="BE1023" s="26"/>
      <c r="BF1023" s="26"/>
    </row>
    <row r="1024" spans="1:58" ht="15.75" customHeight="1">
      <c r="A1024" s="67"/>
      <c r="B1024" s="67"/>
      <c r="C1024" s="67"/>
      <c r="D1024" s="68"/>
      <c r="E1024" s="68"/>
      <c r="F1024" s="68"/>
      <c r="G1024" s="68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30"/>
      <c r="AO1024" s="25"/>
      <c r="AP1024" s="120"/>
      <c r="AQ1024" s="120"/>
      <c r="AR1024" s="121"/>
      <c r="AS1024" s="96"/>
      <c r="AT1024" s="122"/>
      <c r="AU1024" s="123"/>
      <c r="AV1024" s="122"/>
      <c r="AW1024" s="122"/>
      <c r="AX1024" s="30"/>
      <c r="AY1024" s="30"/>
      <c r="AZ1024" s="30"/>
      <c r="BA1024" s="30"/>
      <c r="BB1024" s="26"/>
      <c r="BC1024" s="26"/>
      <c r="BD1024" s="26"/>
      <c r="BE1024" s="26"/>
      <c r="BF1024" s="26"/>
    </row>
    <row r="1025" spans="1:58" ht="15.75" customHeight="1">
      <c r="A1025" s="67"/>
      <c r="B1025" s="67"/>
      <c r="C1025" s="67"/>
      <c r="D1025" s="68"/>
      <c r="E1025" s="68"/>
      <c r="F1025" s="68"/>
      <c r="G1025" s="68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30"/>
      <c r="AO1025" s="25"/>
      <c r="AP1025" s="120"/>
      <c r="AQ1025" s="120"/>
      <c r="AR1025" s="121"/>
      <c r="AS1025" s="96"/>
      <c r="AT1025" s="122"/>
      <c r="AU1025" s="123"/>
      <c r="AV1025" s="122"/>
      <c r="AW1025" s="122"/>
      <c r="AX1025" s="30"/>
      <c r="AY1025" s="30"/>
      <c r="AZ1025" s="30"/>
      <c r="BA1025" s="30"/>
      <c r="BB1025" s="26"/>
      <c r="BC1025" s="26"/>
      <c r="BD1025" s="26"/>
      <c r="BE1025" s="26"/>
      <c r="BF1025" s="26"/>
    </row>
    <row r="1026" spans="1:58" ht="15.75" customHeight="1">
      <c r="A1026" s="67"/>
      <c r="B1026" s="67"/>
      <c r="C1026" s="67"/>
      <c r="D1026" s="68"/>
      <c r="E1026" s="68"/>
      <c r="F1026" s="68"/>
      <c r="G1026" s="68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30"/>
      <c r="AO1026" s="25"/>
      <c r="AP1026" s="120"/>
      <c r="AQ1026" s="120"/>
      <c r="AR1026" s="121"/>
      <c r="AS1026" s="96"/>
      <c r="AT1026" s="122"/>
      <c r="AU1026" s="123"/>
      <c r="AV1026" s="122"/>
      <c r="AW1026" s="122"/>
      <c r="AX1026" s="30"/>
      <c r="AY1026" s="30"/>
      <c r="AZ1026" s="30"/>
      <c r="BA1026" s="30"/>
      <c r="BB1026" s="26"/>
      <c r="BC1026" s="26"/>
      <c r="BD1026" s="26"/>
      <c r="BE1026" s="26"/>
      <c r="BF1026" s="26"/>
    </row>
    <row r="1027" spans="1:58" ht="15.75" customHeight="1">
      <c r="A1027" s="67"/>
      <c r="B1027" s="67"/>
      <c r="C1027" s="67"/>
      <c r="D1027" s="68"/>
      <c r="E1027" s="68"/>
      <c r="F1027" s="68"/>
      <c r="G1027" s="68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30"/>
      <c r="AO1027" s="25"/>
      <c r="AP1027" s="120"/>
      <c r="AQ1027" s="120"/>
      <c r="AR1027" s="121"/>
      <c r="AS1027" s="96"/>
      <c r="AT1027" s="122"/>
      <c r="AU1027" s="123"/>
      <c r="AV1027" s="122"/>
      <c r="AW1027" s="122"/>
      <c r="AX1027" s="30"/>
      <c r="AY1027" s="30"/>
      <c r="AZ1027" s="30"/>
      <c r="BA1027" s="30"/>
      <c r="BB1027" s="26"/>
      <c r="BC1027" s="26"/>
      <c r="BD1027" s="26"/>
      <c r="BE1027" s="26"/>
      <c r="BF1027" s="26"/>
    </row>
    <row r="1028" spans="1:58" ht="15.75" customHeight="1">
      <c r="A1028" s="67"/>
      <c r="B1028" s="67"/>
      <c r="C1028" s="67"/>
      <c r="D1028" s="68"/>
      <c r="E1028" s="68"/>
      <c r="F1028" s="68"/>
      <c r="G1028" s="68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30"/>
      <c r="AO1028" s="25"/>
      <c r="AP1028" s="120"/>
      <c r="AQ1028" s="120"/>
      <c r="AR1028" s="121"/>
      <c r="AS1028" s="96"/>
      <c r="AT1028" s="122"/>
      <c r="AU1028" s="123"/>
      <c r="AV1028" s="122"/>
      <c r="AW1028" s="122"/>
      <c r="AX1028" s="30"/>
      <c r="AY1028" s="30"/>
      <c r="AZ1028" s="30"/>
      <c r="BA1028" s="30"/>
      <c r="BB1028" s="26"/>
      <c r="BC1028" s="26"/>
      <c r="BD1028" s="26"/>
      <c r="BE1028" s="26"/>
      <c r="BF1028" s="26"/>
    </row>
    <row r="1029" spans="1:58" ht="15.75" customHeight="1">
      <c r="A1029" s="67"/>
      <c r="B1029" s="67"/>
      <c r="C1029" s="67"/>
      <c r="D1029" s="68"/>
      <c r="E1029" s="68"/>
      <c r="F1029" s="68"/>
      <c r="G1029" s="68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30"/>
      <c r="AO1029" s="25"/>
      <c r="AP1029" s="120"/>
      <c r="AQ1029" s="120"/>
      <c r="AR1029" s="121"/>
      <c r="AS1029" s="96"/>
      <c r="AT1029" s="122"/>
      <c r="AU1029" s="123"/>
      <c r="AV1029" s="122"/>
      <c r="AW1029" s="122"/>
      <c r="AX1029" s="30"/>
      <c r="AY1029" s="30"/>
      <c r="AZ1029" s="30"/>
      <c r="BA1029" s="30"/>
      <c r="BB1029" s="26"/>
      <c r="BC1029" s="26"/>
      <c r="BD1029" s="26"/>
      <c r="BE1029" s="26"/>
      <c r="BF1029" s="26"/>
    </row>
    <row r="1030" spans="1:58" ht="15.75" customHeight="1">
      <c r="A1030" s="67"/>
      <c r="B1030" s="67"/>
      <c r="C1030" s="67"/>
      <c r="D1030" s="68"/>
      <c r="E1030" s="68"/>
      <c r="F1030" s="68"/>
      <c r="G1030" s="68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30"/>
      <c r="AO1030" s="25"/>
      <c r="AP1030" s="120"/>
      <c r="AQ1030" s="120"/>
      <c r="AR1030" s="121"/>
      <c r="AS1030" s="96"/>
      <c r="AT1030" s="122"/>
      <c r="AU1030" s="123"/>
      <c r="AV1030" s="122"/>
      <c r="AW1030" s="122"/>
      <c r="AX1030" s="30"/>
      <c r="AY1030" s="30"/>
      <c r="AZ1030" s="30"/>
      <c r="BA1030" s="30"/>
      <c r="BB1030" s="26"/>
      <c r="BC1030" s="26"/>
      <c r="BD1030" s="26"/>
      <c r="BE1030" s="26"/>
      <c r="BF1030" s="26"/>
    </row>
    <row r="1031" spans="1:58" ht="15.75" customHeight="1">
      <c r="A1031" s="67"/>
      <c r="B1031" s="67"/>
      <c r="C1031" s="67"/>
      <c r="D1031" s="68"/>
      <c r="E1031" s="68"/>
      <c r="F1031" s="68"/>
      <c r="G1031" s="68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30"/>
      <c r="AO1031" s="25"/>
      <c r="AP1031" s="120"/>
      <c r="AQ1031" s="120"/>
      <c r="AR1031" s="121"/>
      <c r="AS1031" s="96"/>
      <c r="AT1031" s="122"/>
      <c r="AU1031" s="123"/>
      <c r="AV1031" s="122"/>
      <c r="AW1031" s="122"/>
      <c r="AX1031" s="30"/>
      <c r="AY1031" s="30"/>
      <c r="AZ1031" s="30"/>
      <c r="BA1031" s="30"/>
      <c r="BB1031" s="26"/>
      <c r="BC1031" s="26"/>
      <c r="BD1031" s="26"/>
      <c r="BE1031" s="26"/>
      <c r="BF1031" s="26"/>
    </row>
    <row r="1032" spans="1:58" ht="15.75" customHeight="1">
      <c r="A1032" s="67"/>
      <c r="B1032" s="67"/>
      <c r="C1032" s="67"/>
      <c r="D1032" s="68"/>
      <c r="E1032" s="68"/>
      <c r="F1032" s="68"/>
      <c r="G1032" s="68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30"/>
      <c r="AO1032" s="25"/>
      <c r="AP1032" s="120"/>
      <c r="AQ1032" s="120"/>
      <c r="AR1032" s="121"/>
      <c r="AS1032" s="96"/>
      <c r="AT1032" s="122"/>
      <c r="AU1032" s="123"/>
      <c r="AV1032" s="122"/>
      <c r="AW1032" s="122"/>
      <c r="AX1032" s="30"/>
      <c r="AY1032" s="30"/>
      <c r="AZ1032" s="30"/>
      <c r="BA1032" s="30"/>
      <c r="BB1032" s="26"/>
      <c r="BC1032" s="26"/>
      <c r="BD1032" s="26"/>
      <c r="BE1032" s="26"/>
      <c r="BF1032" s="26"/>
    </row>
    <row r="1033" spans="1:58" ht="15.75" customHeight="1">
      <c r="A1033" s="67"/>
      <c r="B1033" s="67"/>
      <c r="C1033" s="67"/>
      <c r="D1033" s="68"/>
      <c r="E1033" s="68"/>
      <c r="F1033" s="68"/>
      <c r="G1033" s="68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30"/>
      <c r="AO1033" s="25"/>
      <c r="AP1033" s="120"/>
      <c r="AQ1033" s="120"/>
      <c r="AR1033" s="121"/>
      <c r="AS1033" s="96"/>
      <c r="AT1033" s="122"/>
      <c r="AU1033" s="123"/>
      <c r="AV1033" s="122"/>
      <c r="AW1033" s="122"/>
      <c r="AX1033" s="30"/>
      <c r="AY1033" s="30"/>
      <c r="AZ1033" s="30"/>
      <c r="BA1033" s="30"/>
      <c r="BB1033" s="26"/>
      <c r="BC1033" s="26"/>
      <c r="BD1033" s="26"/>
      <c r="BE1033" s="26"/>
      <c r="BF1033" s="26"/>
    </row>
    <row r="1034" spans="1:58" ht="15.75" customHeight="1">
      <c r="A1034" s="67"/>
      <c r="B1034" s="67"/>
      <c r="C1034" s="67"/>
      <c r="D1034" s="68"/>
      <c r="E1034" s="68"/>
      <c r="F1034" s="68"/>
      <c r="G1034" s="68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30"/>
      <c r="AO1034" s="25"/>
      <c r="AP1034" s="120"/>
      <c r="AQ1034" s="120"/>
      <c r="AR1034" s="121"/>
      <c r="AS1034" s="96"/>
      <c r="AT1034" s="122"/>
      <c r="AU1034" s="123"/>
      <c r="AV1034" s="122"/>
      <c r="AW1034" s="122"/>
      <c r="AX1034" s="30"/>
      <c r="AY1034" s="30"/>
      <c r="AZ1034" s="30"/>
      <c r="BA1034" s="30"/>
      <c r="BB1034" s="26"/>
      <c r="BC1034" s="26"/>
      <c r="BD1034" s="26"/>
      <c r="BE1034" s="26"/>
      <c r="BF1034" s="26"/>
    </row>
    <row r="1035" spans="1:58" ht="15.75" customHeight="1">
      <c r="A1035" s="67"/>
      <c r="B1035" s="67"/>
      <c r="C1035" s="67"/>
      <c r="D1035" s="68"/>
      <c r="E1035" s="68"/>
      <c r="F1035" s="68"/>
      <c r="G1035" s="68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30"/>
      <c r="AO1035" s="25"/>
      <c r="AP1035" s="120"/>
      <c r="AQ1035" s="120"/>
      <c r="AR1035" s="121"/>
      <c r="AS1035" s="96"/>
      <c r="AT1035" s="122"/>
      <c r="AU1035" s="123"/>
      <c r="AV1035" s="122"/>
      <c r="AW1035" s="122"/>
      <c r="AX1035" s="30"/>
      <c r="AY1035" s="30"/>
      <c r="AZ1035" s="30"/>
      <c r="BA1035" s="30"/>
      <c r="BB1035" s="26"/>
      <c r="BC1035" s="26"/>
      <c r="BD1035" s="26"/>
      <c r="BE1035" s="26"/>
      <c r="BF1035" s="26"/>
    </row>
    <row r="1036" spans="1:58" ht="15.75" customHeight="1">
      <c r="A1036" s="67"/>
      <c r="B1036" s="67"/>
      <c r="C1036" s="67"/>
      <c r="D1036" s="68"/>
      <c r="E1036" s="68"/>
      <c r="F1036" s="68"/>
      <c r="G1036" s="68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30"/>
      <c r="AO1036" s="25"/>
      <c r="AP1036" s="120"/>
      <c r="AQ1036" s="120"/>
      <c r="AR1036" s="121"/>
      <c r="AS1036" s="96"/>
      <c r="AT1036" s="122"/>
      <c r="AU1036" s="123"/>
      <c r="AV1036" s="122"/>
      <c r="AW1036" s="122"/>
      <c r="AX1036" s="30"/>
      <c r="AY1036" s="30"/>
      <c r="AZ1036" s="30"/>
      <c r="BA1036" s="30"/>
      <c r="BB1036" s="26"/>
      <c r="BC1036" s="26"/>
      <c r="BD1036" s="26"/>
      <c r="BE1036" s="26"/>
      <c r="BF1036" s="26"/>
    </row>
    <row r="1037" spans="1:58" ht="15.75" customHeight="1">
      <c r="A1037" s="67"/>
      <c r="B1037" s="67"/>
      <c r="C1037" s="67"/>
      <c r="D1037" s="68"/>
      <c r="E1037" s="68"/>
      <c r="F1037" s="68"/>
      <c r="G1037" s="68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30"/>
      <c r="AO1037" s="25"/>
      <c r="AP1037" s="120"/>
      <c r="AQ1037" s="120"/>
      <c r="AR1037" s="121"/>
      <c r="AS1037" s="96"/>
      <c r="AT1037" s="122"/>
      <c r="AU1037" s="123"/>
      <c r="AV1037" s="122"/>
      <c r="AW1037" s="122"/>
      <c r="AX1037" s="30"/>
      <c r="AY1037" s="30"/>
      <c r="AZ1037" s="30"/>
      <c r="BA1037" s="30"/>
      <c r="BB1037" s="26"/>
      <c r="BC1037" s="26"/>
      <c r="BD1037" s="26"/>
      <c r="BE1037" s="26"/>
      <c r="BF1037" s="26"/>
    </row>
    <row r="1038" spans="1:58" ht="15.75" customHeight="1">
      <c r="A1038" s="67"/>
      <c r="B1038" s="67"/>
      <c r="C1038" s="67"/>
      <c r="D1038" s="68"/>
      <c r="E1038" s="68"/>
      <c r="F1038" s="68"/>
      <c r="G1038" s="68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30"/>
      <c r="AO1038" s="25"/>
      <c r="AP1038" s="120"/>
      <c r="AQ1038" s="120"/>
      <c r="AR1038" s="121"/>
      <c r="AS1038" s="96"/>
      <c r="AT1038" s="122"/>
      <c r="AU1038" s="123"/>
      <c r="AV1038" s="122"/>
      <c r="AW1038" s="122"/>
      <c r="AX1038" s="30"/>
      <c r="AY1038" s="30"/>
      <c r="AZ1038" s="30"/>
      <c r="BA1038" s="30"/>
      <c r="BB1038" s="26"/>
      <c r="BC1038" s="26"/>
      <c r="BD1038" s="26"/>
      <c r="BE1038" s="26"/>
      <c r="BF1038" s="26"/>
    </row>
    <row r="1039" spans="1:58" ht="15.75" customHeight="1">
      <c r="A1039" s="67"/>
      <c r="B1039" s="67"/>
      <c r="C1039" s="67"/>
      <c r="D1039" s="68"/>
      <c r="E1039" s="68"/>
      <c r="F1039" s="68"/>
      <c r="G1039" s="68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30"/>
      <c r="AO1039" s="25"/>
      <c r="AP1039" s="120"/>
      <c r="AQ1039" s="120"/>
      <c r="AR1039" s="121"/>
      <c r="AS1039" s="96"/>
      <c r="AT1039" s="122"/>
      <c r="AU1039" s="123"/>
      <c r="AV1039" s="122"/>
      <c r="AW1039" s="122"/>
      <c r="AX1039" s="30"/>
      <c r="AY1039" s="30"/>
      <c r="AZ1039" s="30"/>
      <c r="BA1039" s="30"/>
      <c r="BB1039" s="26"/>
      <c r="BC1039" s="26"/>
      <c r="BD1039" s="26"/>
      <c r="BE1039" s="26"/>
      <c r="BF1039" s="26"/>
    </row>
    <row r="1040" spans="1:58" ht="15.75" customHeight="1">
      <c r="A1040" s="67"/>
      <c r="B1040" s="67"/>
      <c r="C1040" s="67"/>
      <c r="D1040" s="68"/>
      <c r="E1040" s="68"/>
      <c r="F1040" s="68"/>
      <c r="G1040" s="68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30"/>
      <c r="AO1040" s="25"/>
      <c r="AP1040" s="120"/>
      <c r="AQ1040" s="120"/>
      <c r="AR1040" s="121"/>
      <c r="AS1040" s="96"/>
      <c r="AT1040" s="122"/>
      <c r="AU1040" s="123"/>
      <c r="AV1040" s="122"/>
      <c r="AW1040" s="122"/>
      <c r="AX1040" s="30"/>
      <c r="AY1040" s="30"/>
      <c r="AZ1040" s="30"/>
      <c r="BA1040" s="30"/>
      <c r="BB1040" s="26"/>
      <c r="BC1040" s="26"/>
      <c r="BD1040" s="26"/>
      <c r="BE1040" s="26"/>
      <c r="BF1040" s="26"/>
    </row>
    <row r="1041" spans="1:58" ht="15.75" customHeight="1">
      <c r="A1041" s="67"/>
      <c r="B1041" s="67"/>
      <c r="C1041" s="67"/>
      <c r="D1041" s="68"/>
      <c r="E1041" s="68"/>
      <c r="F1041" s="68"/>
      <c r="G1041" s="68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30"/>
      <c r="AO1041" s="25"/>
      <c r="AP1041" s="120"/>
      <c r="AQ1041" s="120"/>
      <c r="AR1041" s="121"/>
      <c r="AS1041" s="96"/>
      <c r="AT1041" s="122"/>
      <c r="AU1041" s="123"/>
      <c r="AV1041" s="122"/>
      <c r="AW1041" s="122"/>
      <c r="AX1041" s="30"/>
      <c r="AY1041" s="30"/>
      <c r="AZ1041" s="30"/>
      <c r="BA1041" s="30"/>
      <c r="BB1041" s="26"/>
      <c r="BC1041" s="26"/>
      <c r="BD1041" s="26"/>
      <c r="BE1041" s="26"/>
      <c r="BF1041" s="26"/>
    </row>
    <row r="1042" spans="1:58" ht="15.75" customHeight="1">
      <c r="A1042" s="67"/>
      <c r="B1042" s="67"/>
      <c r="C1042" s="67"/>
      <c r="D1042" s="68"/>
      <c r="E1042" s="68"/>
      <c r="F1042" s="68"/>
      <c r="G1042" s="68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30"/>
      <c r="AO1042" s="25"/>
      <c r="AP1042" s="120"/>
      <c r="AQ1042" s="120"/>
      <c r="AR1042" s="121"/>
      <c r="AS1042" s="96"/>
      <c r="AT1042" s="122"/>
      <c r="AU1042" s="123"/>
      <c r="AV1042" s="122"/>
      <c r="AW1042" s="122"/>
      <c r="AX1042" s="30"/>
      <c r="AY1042" s="30"/>
      <c r="AZ1042" s="30"/>
      <c r="BA1042" s="30"/>
      <c r="BB1042" s="26"/>
      <c r="BC1042" s="26"/>
      <c r="BD1042" s="26"/>
      <c r="BE1042" s="26"/>
      <c r="BF1042" s="26"/>
    </row>
    <row r="1043" spans="1:58" ht="15.75" customHeight="1">
      <c r="A1043" s="67"/>
      <c r="B1043" s="67"/>
      <c r="C1043" s="67"/>
      <c r="D1043" s="68"/>
      <c r="E1043" s="68"/>
      <c r="F1043" s="68"/>
      <c r="G1043" s="68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30"/>
      <c r="AO1043" s="25"/>
      <c r="AP1043" s="120"/>
      <c r="AQ1043" s="120"/>
      <c r="AR1043" s="121"/>
      <c r="AS1043" s="96"/>
      <c r="AT1043" s="122"/>
      <c r="AU1043" s="123"/>
      <c r="AV1043" s="122"/>
      <c r="AW1043" s="122"/>
      <c r="AX1043" s="30"/>
      <c r="AY1043" s="30"/>
      <c r="AZ1043" s="30"/>
      <c r="BA1043" s="30"/>
      <c r="BB1043" s="26"/>
      <c r="BC1043" s="26"/>
      <c r="BD1043" s="26"/>
      <c r="BE1043" s="26"/>
      <c r="BF1043" s="26"/>
    </row>
    <row r="1044" spans="1:58" ht="15.75" customHeight="1">
      <c r="A1044" s="67"/>
      <c r="B1044" s="67"/>
      <c r="C1044" s="67"/>
      <c r="D1044" s="68"/>
      <c r="E1044" s="68"/>
      <c r="F1044" s="68"/>
      <c r="G1044" s="68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30"/>
      <c r="AO1044" s="25"/>
      <c r="AP1044" s="120"/>
      <c r="AQ1044" s="120"/>
      <c r="AR1044" s="121"/>
      <c r="AS1044" s="96"/>
      <c r="AT1044" s="122"/>
      <c r="AU1044" s="123"/>
      <c r="AV1044" s="122"/>
      <c r="AW1044" s="122"/>
      <c r="AX1044" s="30"/>
      <c r="AY1044" s="30"/>
      <c r="AZ1044" s="30"/>
      <c r="BA1044" s="30"/>
      <c r="BB1044" s="26"/>
      <c r="BC1044" s="26"/>
      <c r="BD1044" s="26"/>
      <c r="BE1044" s="26"/>
      <c r="BF1044" s="26"/>
    </row>
    <row r="1045" spans="1:58" ht="15.75" customHeight="1">
      <c r="A1045" s="67"/>
      <c r="B1045" s="67"/>
      <c r="C1045" s="67"/>
      <c r="D1045" s="68"/>
      <c r="E1045" s="68"/>
      <c r="F1045" s="68"/>
      <c r="G1045" s="68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30"/>
      <c r="AO1045" s="25"/>
      <c r="AP1045" s="120"/>
      <c r="AQ1045" s="120"/>
      <c r="AR1045" s="121"/>
      <c r="AS1045" s="96"/>
      <c r="AT1045" s="122"/>
      <c r="AU1045" s="123"/>
      <c r="AV1045" s="122"/>
      <c r="AW1045" s="122"/>
      <c r="AX1045" s="30"/>
      <c r="AY1045" s="30"/>
      <c r="AZ1045" s="30"/>
      <c r="BA1045" s="30"/>
      <c r="BB1045" s="26"/>
      <c r="BC1045" s="26"/>
      <c r="BD1045" s="26"/>
      <c r="BE1045" s="26"/>
      <c r="BF1045" s="26"/>
    </row>
    <row r="1046" spans="1:58" ht="15.75" customHeight="1">
      <c r="A1046" s="67"/>
      <c r="B1046" s="67"/>
      <c r="C1046" s="67"/>
      <c r="D1046" s="68"/>
      <c r="E1046" s="68"/>
      <c r="F1046" s="68"/>
      <c r="G1046" s="68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30"/>
      <c r="AO1046" s="25"/>
      <c r="AP1046" s="120"/>
      <c r="AQ1046" s="120"/>
      <c r="AR1046" s="121"/>
      <c r="AS1046" s="96"/>
      <c r="AT1046" s="122"/>
      <c r="AU1046" s="123"/>
      <c r="AV1046" s="122"/>
      <c r="AW1046" s="122"/>
      <c r="AX1046" s="30"/>
      <c r="AY1046" s="30"/>
      <c r="AZ1046" s="30"/>
      <c r="BA1046" s="30"/>
      <c r="BB1046" s="26"/>
      <c r="BC1046" s="26"/>
      <c r="BD1046" s="26"/>
      <c r="BE1046" s="26"/>
      <c r="BF1046" s="26"/>
    </row>
    <row r="1047" spans="1:58" ht="15.75" customHeight="1">
      <c r="A1047" s="67"/>
      <c r="B1047" s="67"/>
      <c r="C1047" s="67"/>
      <c r="D1047" s="68"/>
      <c r="E1047" s="68"/>
      <c r="F1047" s="68"/>
      <c r="G1047" s="68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30"/>
      <c r="AO1047" s="25"/>
      <c r="AP1047" s="120"/>
      <c r="AQ1047" s="120"/>
      <c r="AR1047" s="121"/>
      <c r="AS1047" s="96"/>
      <c r="AT1047" s="122"/>
      <c r="AU1047" s="123"/>
      <c r="AV1047" s="122"/>
      <c r="AW1047" s="122"/>
      <c r="AX1047" s="30"/>
      <c r="AY1047" s="30"/>
      <c r="AZ1047" s="30"/>
      <c r="BA1047" s="30"/>
      <c r="BB1047" s="26"/>
      <c r="BC1047" s="26"/>
      <c r="BD1047" s="26"/>
      <c r="BE1047" s="26"/>
      <c r="BF1047" s="26"/>
    </row>
    <row r="1048" spans="1:58" ht="15.75" customHeight="1">
      <c r="A1048" s="67"/>
      <c r="B1048" s="67"/>
      <c r="C1048" s="67"/>
      <c r="D1048" s="68"/>
      <c r="E1048" s="68"/>
      <c r="F1048" s="68"/>
      <c r="G1048" s="68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30"/>
      <c r="AO1048" s="25"/>
      <c r="AP1048" s="120"/>
      <c r="AQ1048" s="120"/>
      <c r="AR1048" s="121"/>
      <c r="AS1048" s="96"/>
      <c r="AT1048" s="122"/>
      <c r="AU1048" s="123"/>
      <c r="AV1048" s="122"/>
      <c r="AW1048" s="122"/>
      <c r="AX1048" s="30"/>
      <c r="AY1048" s="30"/>
      <c r="AZ1048" s="30"/>
      <c r="BA1048" s="30"/>
      <c r="BB1048" s="26"/>
      <c r="BC1048" s="26"/>
      <c r="BD1048" s="26"/>
      <c r="BE1048" s="26"/>
      <c r="BF1048" s="26"/>
    </row>
    <row r="1049" spans="1:58" ht="15.75" customHeight="1">
      <c r="A1049" s="67"/>
      <c r="B1049" s="67"/>
      <c r="C1049" s="67"/>
      <c r="D1049" s="68"/>
      <c r="E1049" s="68"/>
      <c r="F1049" s="68"/>
      <c r="G1049" s="68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30"/>
      <c r="AO1049" s="25"/>
      <c r="AP1049" s="120"/>
      <c r="AQ1049" s="120"/>
      <c r="AR1049" s="121"/>
      <c r="AS1049" s="96"/>
      <c r="AT1049" s="122"/>
      <c r="AU1049" s="123"/>
      <c r="AV1049" s="122"/>
      <c r="AW1049" s="122"/>
      <c r="AX1049" s="30"/>
      <c r="AY1049" s="30"/>
      <c r="AZ1049" s="30"/>
      <c r="BA1049" s="30"/>
      <c r="BB1049" s="26"/>
      <c r="BC1049" s="26"/>
      <c r="BD1049" s="26"/>
      <c r="BE1049" s="26"/>
      <c r="BF1049" s="26"/>
    </row>
    <row r="1050" spans="1:58" ht="15.75" customHeight="1">
      <c r="A1050" s="67"/>
      <c r="B1050" s="67"/>
      <c r="C1050" s="67"/>
      <c r="D1050" s="68"/>
      <c r="E1050" s="68"/>
      <c r="F1050" s="68"/>
      <c r="G1050" s="68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30"/>
      <c r="AO1050" s="25"/>
      <c r="AP1050" s="120"/>
      <c r="AQ1050" s="120"/>
      <c r="AR1050" s="121"/>
      <c r="AS1050" s="96"/>
      <c r="AT1050" s="122"/>
      <c r="AU1050" s="123"/>
      <c r="AV1050" s="122"/>
      <c r="AW1050" s="122"/>
      <c r="AX1050" s="30"/>
      <c r="AY1050" s="30"/>
      <c r="AZ1050" s="30"/>
      <c r="BA1050" s="30"/>
      <c r="BB1050" s="26"/>
      <c r="BC1050" s="26"/>
      <c r="BD1050" s="26"/>
      <c r="BE1050" s="26"/>
      <c r="BF1050" s="26"/>
    </row>
    <row r="1051" spans="1:58" ht="15.75" customHeight="1">
      <c r="A1051" s="67"/>
      <c r="B1051" s="67"/>
      <c r="C1051" s="67"/>
      <c r="D1051" s="68"/>
      <c r="E1051" s="68"/>
      <c r="F1051" s="68"/>
      <c r="G1051" s="68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30"/>
      <c r="AO1051" s="25"/>
      <c r="AP1051" s="120"/>
      <c r="AQ1051" s="120"/>
      <c r="AR1051" s="121"/>
      <c r="AS1051" s="96"/>
      <c r="AT1051" s="122"/>
      <c r="AU1051" s="123"/>
      <c r="AV1051" s="122"/>
      <c r="AW1051" s="122"/>
      <c r="AX1051" s="30"/>
      <c r="AY1051" s="30"/>
      <c r="AZ1051" s="30"/>
      <c r="BA1051" s="30"/>
      <c r="BB1051" s="26"/>
      <c r="BC1051" s="26"/>
      <c r="BD1051" s="26"/>
      <c r="BE1051" s="26"/>
      <c r="BF1051" s="26"/>
    </row>
    <row r="1052" spans="1:58" ht="15.75" customHeight="1">
      <c r="A1052" s="67"/>
      <c r="B1052" s="67"/>
      <c r="C1052" s="67"/>
      <c r="D1052" s="68"/>
      <c r="E1052" s="68"/>
      <c r="F1052" s="68"/>
      <c r="G1052" s="68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30"/>
      <c r="AO1052" s="25"/>
      <c r="AP1052" s="120"/>
      <c r="AQ1052" s="120"/>
      <c r="AR1052" s="121"/>
      <c r="AS1052" s="96"/>
      <c r="AT1052" s="122"/>
      <c r="AU1052" s="123"/>
      <c r="AV1052" s="122"/>
      <c r="AW1052" s="122"/>
      <c r="AX1052" s="30"/>
      <c r="AY1052" s="30"/>
      <c r="AZ1052" s="30"/>
      <c r="BA1052" s="30"/>
      <c r="BB1052" s="26"/>
      <c r="BC1052" s="26"/>
      <c r="BD1052" s="26"/>
      <c r="BE1052" s="26"/>
      <c r="BF1052" s="26"/>
    </row>
    <row r="1053" spans="1:58" ht="15.75" customHeight="1">
      <c r="A1053" s="67"/>
      <c r="B1053" s="67"/>
      <c r="C1053" s="67"/>
      <c r="D1053" s="68"/>
      <c r="E1053" s="68"/>
      <c r="F1053" s="68"/>
      <c r="G1053" s="68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30"/>
      <c r="AO1053" s="25"/>
      <c r="AP1053" s="120"/>
      <c r="AQ1053" s="120"/>
      <c r="AR1053" s="121"/>
      <c r="AS1053" s="96"/>
      <c r="AT1053" s="122"/>
      <c r="AU1053" s="123"/>
      <c r="AV1053" s="122"/>
      <c r="AW1053" s="122"/>
      <c r="AX1053" s="30"/>
      <c r="AY1053" s="30"/>
      <c r="AZ1053" s="30"/>
      <c r="BA1053" s="30"/>
      <c r="BB1053" s="26"/>
      <c r="BC1053" s="26"/>
      <c r="BD1053" s="26"/>
      <c r="BE1053" s="26"/>
      <c r="BF1053" s="26"/>
    </row>
    <row r="1054" spans="1:58" ht="15.75" customHeight="1">
      <c r="A1054" s="67"/>
      <c r="B1054" s="67"/>
      <c r="C1054" s="67"/>
      <c r="D1054" s="68"/>
      <c r="E1054" s="68"/>
      <c r="F1054" s="68"/>
      <c r="G1054" s="68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30"/>
      <c r="AO1054" s="25"/>
      <c r="AP1054" s="120"/>
      <c r="AQ1054" s="120"/>
      <c r="AR1054" s="121"/>
      <c r="AS1054" s="96"/>
      <c r="AT1054" s="122"/>
      <c r="AU1054" s="123"/>
      <c r="AV1054" s="122"/>
      <c r="AW1054" s="122"/>
      <c r="AX1054" s="30"/>
      <c r="AY1054" s="30"/>
      <c r="AZ1054" s="30"/>
      <c r="BA1054" s="30"/>
      <c r="BB1054" s="26"/>
      <c r="BC1054" s="26"/>
      <c r="BD1054" s="26"/>
      <c r="BE1054" s="26"/>
      <c r="BF1054" s="26"/>
    </row>
    <row r="1055" spans="1:58" ht="15.75" customHeight="1">
      <c r="A1055" s="67"/>
      <c r="B1055" s="67"/>
      <c r="C1055" s="67"/>
      <c r="D1055" s="68"/>
      <c r="E1055" s="68"/>
      <c r="F1055" s="68"/>
      <c r="G1055" s="68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30"/>
      <c r="AO1055" s="25"/>
      <c r="AP1055" s="120"/>
      <c r="AQ1055" s="120"/>
      <c r="AR1055" s="121"/>
      <c r="AS1055" s="96"/>
      <c r="AT1055" s="122"/>
      <c r="AU1055" s="123"/>
      <c r="AV1055" s="122"/>
      <c r="AW1055" s="122"/>
      <c r="AX1055" s="30"/>
      <c r="AY1055" s="30"/>
      <c r="AZ1055" s="30"/>
      <c r="BA1055" s="30"/>
      <c r="BB1055" s="26"/>
      <c r="BC1055" s="26"/>
      <c r="BD1055" s="26"/>
      <c r="BE1055" s="26"/>
      <c r="BF1055" s="26"/>
    </row>
    <row r="1056" spans="1:58" ht="15.75" customHeight="1">
      <c r="A1056" s="67"/>
      <c r="B1056" s="67"/>
      <c r="C1056" s="67"/>
      <c r="D1056" s="68"/>
      <c r="E1056" s="68"/>
      <c r="F1056" s="68"/>
      <c r="G1056" s="68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30"/>
      <c r="AO1056" s="25"/>
      <c r="AP1056" s="120"/>
      <c r="AQ1056" s="120"/>
      <c r="AR1056" s="121"/>
      <c r="AS1056" s="96"/>
      <c r="AT1056" s="122"/>
      <c r="AU1056" s="123"/>
      <c r="AV1056" s="122"/>
      <c r="AW1056" s="122"/>
      <c r="AX1056" s="30"/>
      <c r="AY1056" s="30"/>
      <c r="AZ1056" s="30"/>
      <c r="BA1056" s="30"/>
      <c r="BB1056" s="26"/>
      <c r="BC1056" s="26"/>
      <c r="BD1056" s="26"/>
      <c r="BE1056" s="26"/>
      <c r="BF1056" s="26"/>
    </row>
    <row r="1057" spans="1:58" ht="15.75" customHeight="1">
      <c r="A1057" s="67"/>
      <c r="B1057" s="67"/>
      <c r="C1057" s="67"/>
      <c r="D1057" s="68"/>
      <c r="E1057" s="68"/>
      <c r="F1057" s="68"/>
      <c r="G1057" s="68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30"/>
      <c r="AO1057" s="25"/>
      <c r="AP1057" s="120"/>
      <c r="AQ1057" s="120"/>
      <c r="AR1057" s="121"/>
      <c r="AS1057" s="96"/>
      <c r="AT1057" s="122"/>
      <c r="AU1057" s="123"/>
      <c r="AV1057" s="122"/>
      <c r="AW1057" s="122"/>
      <c r="AX1057" s="30"/>
      <c r="AY1057" s="30"/>
      <c r="AZ1057" s="30"/>
      <c r="BA1057" s="30"/>
      <c r="BB1057" s="26"/>
      <c r="BC1057" s="26"/>
      <c r="BD1057" s="26"/>
      <c r="BE1057" s="26"/>
      <c r="BF1057" s="26"/>
    </row>
    <row r="1058" spans="1:58" ht="15.75" customHeight="1">
      <c r="A1058" s="67"/>
      <c r="B1058" s="67"/>
      <c r="C1058" s="67"/>
      <c r="D1058" s="68"/>
      <c r="E1058" s="68"/>
      <c r="F1058" s="68"/>
      <c r="G1058" s="68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30"/>
      <c r="AO1058" s="25"/>
      <c r="AP1058" s="120"/>
      <c r="AQ1058" s="120"/>
      <c r="AR1058" s="121"/>
      <c r="AS1058" s="96"/>
      <c r="AT1058" s="122"/>
      <c r="AU1058" s="123"/>
      <c r="AV1058" s="122"/>
      <c r="AW1058" s="122"/>
      <c r="AX1058" s="30"/>
      <c r="AY1058" s="30"/>
      <c r="AZ1058" s="30"/>
      <c r="BA1058" s="30"/>
      <c r="BB1058" s="26"/>
      <c r="BC1058" s="26"/>
      <c r="BD1058" s="26"/>
      <c r="BE1058" s="26"/>
      <c r="BF1058" s="26"/>
    </row>
    <row r="1059" spans="1:58" ht="15.75" customHeight="1">
      <c r="A1059" s="67"/>
      <c r="B1059" s="67"/>
      <c r="C1059" s="67"/>
      <c r="D1059" s="68"/>
      <c r="E1059" s="68"/>
      <c r="F1059" s="68"/>
      <c r="G1059" s="68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30"/>
      <c r="AO1059" s="25"/>
      <c r="AP1059" s="120"/>
      <c r="AQ1059" s="120"/>
      <c r="AR1059" s="121"/>
      <c r="AS1059" s="96"/>
      <c r="AT1059" s="122"/>
      <c r="AU1059" s="123"/>
      <c r="AV1059" s="122"/>
      <c r="AW1059" s="122"/>
      <c r="AX1059" s="30"/>
      <c r="AY1059" s="30"/>
      <c r="AZ1059" s="30"/>
      <c r="BA1059" s="30"/>
      <c r="BB1059" s="26"/>
      <c r="BC1059" s="26"/>
      <c r="BD1059" s="26"/>
      <c r="BE1059" s="26"/>
      <c r="BF1059" s="26"/>
    </row>
    <row r="1060" spans="1:58" ht="15.75" customHeight="1">
      <c r="A1060" s="67"/>
      <c r="B1060" s="67"/>
      <c r="C1060" s="67"/>
      <c r="D1060" s="68"/>
      <c r="E1060" s="68"/>
      <c r="F1060" s="68"/>
      <c r="G1060" s="68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30"/>
      <c r="AO1060" s="25"/>
      <c r="AP1060" s="120"/>
      <c r="AQ1060" s="120"/>
      <c r="AR1060" s="121"/>
      <c r="AS1060" s="96"/>
      <c r="AT1060" s="122"/>
      <c r="AU1060" s="123"/>
      <c r="AV1060" s="122"/>
      <c r="AW1060" s="122"/>
      <c r="AX1060" s="30"/>
      <c r="AY1060" s="30"/>
      <c r="AZ1060" s="30"/>
      <c r="BA1060" s="30"/>
      <c r="BB1060" s="26"/>
      <c r="BC1060" s="26"/>
      <c r="BD1060" s="26"/>
      <c r="BE1060" s="26"/>
      <c r="BF1060" s="26"/>
    </row>
    <row r="1061" spans="1:58" ht="15.75" customHeight="1">
      <c r="A1061" s="67"/>
      <c r="B1061" s="67"/>
      <c r="C1061" s="67"/>
      <c r="D1061" s="68"/>
      <c r="E1061" s="68"/>
      <c r="F1061" s="68"/>
      <c r="G1061" s="68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30"/>
      <c r="AO1061" s="25"/>
      <c r="AP1061" s="120"/>
      <c r="AQ1061" s="120"/>
      <c r="AR1061" s="121"/>
      <c r="AS1061" s="96"/>
      <c r="AT1061" s="122"/>
      <c r="AU1061" s="123"/>
      <c r="AV1061" s="122"/>
      <c r="AW1061" s="122"/>
      <c r="AX1061" s="30"/>
      <c r="AY1061" s="30"/>
      <c r="AZ1061" s="30"/>
      <c r="BA1061" s="30"/>
      <c r="BB1061" s="26"/>
      <c r="BC1061" s="26"/>
      <c r="BD1061" s="26"/>
      <c r="BE1061" s="26"/>
      <c r="BF1061" s="26"/>
    </row>
    <row r="1062" spans="1:58" ht="15.75" customHeight="1">
      <c r="A1062" s="67"/>
      <c r="B1062" s="67"/>
      <c r="C1062" s="67"/>
      <c r="D1062" s="68"/>
      <c r="E1062" s="68"/>
      <c r="F1062" s="68"/>
      <c r="G1062" s="68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30"/>
      <c r="AO1062" s="25"/>
      <c r="AP1062" s="120"/>
      <c r="AQ1062" s="120"/>
      <c r="AR1062" s="121"/>
      <c r="AS1062" s="96"/>
      <c r="AT1062" s="122"/>
      <c r="AU1062" s="123"/>
      <c r="AV1062" s="122"/>
      <c r="AW1062" s="122"/>
      <c r="AX1062" s="30"/>
      <c r="AY1062" s="30"/>
      <c r="AZ1062" s="30"/>
      <c r="BA1062" s="30"/>
      <c r="BB1062" s="26"/>
      <c r="BC1062" s="26"/>
      <c r="BD1062" s="26"/>
      <c r="BE1062" s="26"/>
      <c r="BF1062" s="26"/>
    </row>
    <row r="1063" spans="1:58" ht="15.75" customHeight="1">
      <c r="A1063" s="67"/>
      <c r="B1063" s="67"/>
      <c r="C1063" s="67"/>
      <c r="D1063" s="68"/>
      <c r="E1063" s="68"/>
      <c r="F1063" s="68"/>
      <c r="G1063" s="68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30"/>
      <c r="AO1063" s="25"/>
      <c r="AP1063" s="120"/>
      <c r="AQ1063" s="120"/>
      <c r="AR1063" s="121"/>
      <c r="AS1063" s="96"/>
      <c r="AT1063" s="122"/>
      <c r="AU1063" s="123"/>
      <c r="AV1063" s="122"/>
      <c r="AW1063" s="122"/>
      <c r="AX1063" s="30"/>
      <c r="AY1063" s="30"/>
      <c r="AZ1063" s="30"/>
      <c r="BA1063" s="30"/>
      <c r="BB1063" s="26"/>
      <c r="BC1063" s="26"/>
      <c r="BD1063" s="26"/>
      <c r="BE1063" s="26"/>
      <c r="BF1063" s="26"/>
    </row>
    <row r="1064" spans="1:58" ht="15.75" customHeight="1">
      <c r="A1064" s="67"/>
      <c r="B1064" s="67"/>
      <c r="C1064" s="67"/>
      <c r="D1064" s="68"/>
      <c r="E1064" s="68"/>
      <c r="F1064" s="68"/>
      <c r="G1064" s="68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30"/>
      <c r="AO1064" s="25"/>
      <c r="AP1064" s="120"/>
      <c r="AQ1064" s="120"/>
      <c r="AR1064" s="121"/>
      <c r="AS1064" s="96"/>
      <c r="AT1064" s="122"/>
      <c r="AU1064" s="123"/>
      <c r="AV1064" s="122"/>
      <c r="AW1064" s="122"/>
      <c r="AX1064" s="30"/>
      <c r="AY1064" s="30"/>
      <c r="AZ1064" s="30"/>
      <c r="BA1064" s="30"/>
      <c r="BB1064" s="26"/>
      <c r="BC1064" s="26"/>
      <c r="BD1064" s="26"/>
      <c r="BE1064" s="26"/>
      <c r="BF1064" s="26"/>
    </row>
    <row r="1065" spans="1:58" ht="15.75" customHeight="1">
      <c r="A1065" s="67"/>
      <c r="B1065" s="67"/>
      <c r="C1065" s="67"/>
      <c r="D1065" s="68"/>
      <c r="E1065" s="68"/>
      <c r="F1065" s="68"/>
      <c r="G1065" s="68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30"/>
      <c r="AO1065" s="25"/>
      <c r="AP1065" s="120"/>
      <c r="AQ1065" s="120"/>
      <c r="AR1065" s="121"/>
      <c r="AS1065" s="96"/>
      <c r="AT1065" s="122"/>
      <c r="AU1065" s="123"/>
      <c r="AV1065" s="122"/>
      <c r="AW1065" s="122"/>
      <c r="AX1065" s="30"/>
      <c r="AY1065" s="30"/>
      <c r="AZ1065" s="30"/>
      <c r="BA1065" s="30"/>
      <c r="BB1065" s="26"/>
      <c r="BC1065" s="26"/>
      <c r="BD1065" s="26"/>
      <c r="BE1065" s="26"/>
      <c r="BF1065" s="26"/>
    </row>
    <row r="1066" spans="1:58" ht="15.75" customHeight="1">
      <c r="A1066" s="67"/>
      <c r="B1066" s="67"/>
      <c r="C1066" s="67"/>
      <c r="D1066" s="68"/>
      <c r="E1066" s="68"/>
      <c r="F1066" s="68"/>
      <c r="G1066" s="68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30"/>
      <c r="AO1066" s="25"/>
      <c r="AP1066" s="120"/>
      <c r="AQ1066" s="120"/>
      <c r="AR1066" s="121"/>
      <c r="AS1066" s="96"/>
      <c r="AT1066" s="122"/>
      <c r="AU1066" s="123"/>
      <c r="AV1066" s="122"/>
      <c r="AW1066" s="122"/>
      <c r="AX1066" s="30"/>
      <c r="AY1066" s="30"/>
      <c r="AZ1066" s="30"/>
      <c r="BA1066" s="30"/>
      <c r="BB1066" s="26"/>
      <c r="BC1066" s="26"/>
      <c r="BD1066" s="26"/>
      <c r="BE1066" s="26"/>
      <c r="BF1066" s="26"/>
    </row>
    <row r="1067" spans="1:58" ht="15.75" customHeight="1">
      <c r="A1067" s="67"/>
      <c r="B1067" s="67"/>
      <c r="C1067" s="67"/>
      <c r="D1067" s="68"/>
      <c r="E1067" s="68"/>
      <c r="F1067" s="68"/>
      <c r="G1067" s="68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30"/>
      <c r="AO1067" s="25"/>
      <c r="AP1067" s="120"/>
      <c r="AQ1067" s="120"/>
      <c r="AR1067" s="121"/>
      <c r="AS1067" s="96"/>
      <c r="AT1067" s="122"/>
      <c r="AU1067" s="123"/>
      <c r="AV1067" s="122"/>
      <c r="AW1067" s="122"/>
      <c r="AX1067" s="30"/>
      <c r="AY1067" s="30"/>
      <c r="AZ1067" s="30"/>
      <c r="BA1067" s="30"/>
      <c r="BB1067" s="26"/>
      <c r="BC1067" s="26"/>
      <c r="BD1067" s="26"/>
      <c r="BE1067" s="26"/>
      <c r="BF1067" s="26"/>
    </row>
    <row r="1068" spans="1:58" ht="15.75" customHeight="1">
      <c r="A1068" s="67"/>
      <c r="B1068" s="67"/>
      <c r="C1068" s="67"/>
      <c r="D1068" s="68"/>
      <c r="E1068" s="68"/>
      <c r="F1068" s="68"/>
      <c r="G1068" s="68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30"/>
      <c r="AO1068" s="25"/>
      <c r="AP1068" s="120"/>
      <c r="AQ1068" s="120"/>
      <c r="AR1068" s="121"/>
      <c r="AS1068" s="96"/>
      <c r="AT1068" s="122"/>
      <c r="AU1068" s="123"/>
      <c r="AV1068" s="122"/>
      <c r="AW1068" s="122"/>
      <c r="AX1068" s="30"/>
      <c r="AY1068" s="30"/>
      <c r="AZ1068" s="30"/>
      <c r="BA1068" s="30"/>
      <c r="BB1068" s="26"/>
      <c r="BC1068" s="26"/>
      <c r="BD1068" s="26"/>
      <c r="BE1068" s="26"/>
      <c r="BF1068" s="26"/>
    </row>
    <row r="1069" spans="1:58" ht="15.75" customHeight="1">
      <c r="A1069" s="67"/>
      <c r="B1069" s="67"/>
      <c r="C1069" s="67"/>
      <c r="D1069" s="68"/>
      <c r="E1069" s="68"/>
      <c r="F1069" s="68"/>
      <c r="G1069" s="68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30"/>
      <c r="AO1069" s="25"/>
      <c r="AP1069" s="120"/>
      <c r="AQ1069" s="120"/>
      <c r="AR1069" s="121"/>
      <c r="AS1069" s="96"/>
      <c r="AT1069" s="122"/>
      <c r="AU1069" s="123"/>
      <c r="AV1069" s="122"/>
      <c r="AW1069" s="122"/>
      <c r="AX1069" s="30"/>
      <c r="AY1069" s="30"/>
      <c r="AZ1069" s="30"/>
      <c r="BA1069" s="30"/>
      <c r="BB1069" s="26"/>
      <c r="BC1069" s="26"/>
      <c r="BD1069" s="26"/>
      <c r="BE1069" s="26"/>
      <c r="BF1069" s="26"/>
    </row>
    <row r="1070" spans="1:58" ht="15.75" customHeight="1">
      <c r="A1070" s="67"/>
      <c r="B1070" s="67"/>
      <c r="C1070" s="67"/>
      <c r="D1070" s="68"/>
      <c r="E1070" s="68"/>
      <c r="F1070" s="68"/>
      <c r="G1070" s="68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30"/>
      <c r="AO1070" s="25"/>
      <c r="AP1070" s="120"/>
      <c r="AQ1070" s="120"/>
      <c r="AR1070" s="121"/>
      <c r="AS1070" s="96"/>
      <c r="AT1070" s="122"/>
      <c r="AU1070" s="123"/>
      <c r="AV1070" s="122"/>
      <c r="AW1070" s="122"/>
      <c r="AX1070" s="30"/>
      <c r="AY1070" s="30"/>
      <c r="AZ1070" s="30"/>
      <c r="BA1070" s="30"/>
      <c r="BB1070" s="26"/>
      <c r="BC1070" s="26"/>
      <c r="BD1070" s="26"/>
      <c r="BE1070" s="26"/>
      <c r="BF1070" s="26"/>
    </row>
    <row r="1071" spans="1:58" ht="15.75" customHeight="1">
      <c r="A1071" s="67"/>
      <c r="B1071" s="67"/>
      <c r="C1071" s="67"/>
      <c r="D1071" s="68"/>
      <c r="E1071" s="68"/>
      <c r="F1071" s="68"/>
      <c r="G1071" s="68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30"/>
      <c r="AO1071" s="25"/>
      <c r="AP1071" s="120"/>
      <c r="AQ1071" s="120"/>
      <c r="AR1071" s="121"/>
      <c r="AS1071" s="96"/>
      <c r="AT1071" s="122"/>
      <c r="AU1071" s="123"/>
      <c r="AV1071" s="122"/>
      <c r="AW1071" s="122"/>
      <c r="AX1071" s="30"/>
      <c r="AY1071" s="30"/>
      <c r="AZ1071" s="30"/>
      <c r="BA1071" s="30"/>
      <c r="BB1071" s="26"/>
      <c r="BC1071" s="26"/>
      <c r="BD1071" s="26"/>
      <c r="BE1071" s="26"/>
      <c r="BF1071" s="26"/>
    </row>
    <row r="1072" spans="1:58" ht="15.75" customHeight="1">
      <c r="A1072" s="67"/>
      <c r="B1072" s="67"/>
      <c r="C1072" s="67"/>
      <c r="D1072" s="68"/>
      <c r="E1072" s="68"/>
      <c r="F1072" s="68"/>
      <c r="G1072" s="68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30"/>
      <c r="AO1072" s="25"/>
      <c r="AP1072" s="120"/>
      <c r="AQ1072" s="120"/>
      <c r="AR1072" s="121"/>
      <c r="AS1072" s="96"/>
      <c r="AT1072" s="122"/>
      <c r="AU1072" s="123"/>
      <c r="AV1072" s="122"/>
      <c r="AW1072" s="122"/>
      <c r="AX1072" s="30"/>
      <c r="AY1072" s="30"/>
      <c r="AZ1072" s="30"/>
      <c r="BA1072" s="30"/>
      <c r="BB1072" s="26"/>
      <c r="BC1072" s="26"/>
      <c r="BD1072" s="26"/>
      <c r="BE1072" s="26"/>
      <c r="BF1072" s="26"/>
    </row>
    <row r="1073" spans="1:58" ht="15.75" customHeight="1">
      <c r="A1073" s="67"/>
      <c r="B1073" s="67"/>
      <c r="C1073" s="67"/>
      <c r="D1073" s="68"/>
      <c r="E1073" s="68"/>
      <c r="F1073" s="68"/>
      <c r="G1073" s="68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30"/>
      <c r="AO1073" s="25"/>
      <c r="AP1073" s="120"/>
      <c r="AQ1073" s="120"/>
      <c r="AR1073" s="121"/>
      <c r="AS1073" s="96"/>
      <c r="AT1073" s="122"/>
      <c r="AU1073" s="123"/>
      <c r="AV1073" s="122"/>
      <c r="AW1073" s="122"/>
      <c r="AX1073" s="30"/>
      <c r="AY1073" s="30"/>
      <c r="AZ1073" s="30"/>
      <c r="BA1073" s="30"/>
      <c r="BB1073" s="26"/>
      <c r="BC1073" s="26"/>
      <c r="BD1073" s="26"/>
      <c r="BE1073" s="26"/>
      <c r="BF1073" s="26"/>
    </row>
    <row r="1074" spans="1:58" ht="15.75" customHeight="1">
      <c r="A1074" s="67"/>
      <c r="B1074" s="67"/>
      <c r="C1074" s="67"/>
      <c r="D1074" s="68"/>
      <c r="E1074" s="68"/>
      <c r="F1074" s="68"/>
      <c r="G1074" s="68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30"/>
      <c r="AO1074" s="25"/>
      <c r="AP1074" s="120"/>
      <c r="AQ1074" s="120"/>
      <c r="AR1074" s="121"/>
      <c r="AS1074" s="96"/>
      <c r="AT1074" s="122"/>
      <c r="AU1074" s="123"/>
      <c r="AV1074" s="122"/>
      <c r="AW1074" s="122"/>
      <c r="AX1074" s="30"/>
      <c r="AY1074" s="30"/>
      <c r="AZ1074" s="30"/>
      <c r="BA1074" s="30"/>
      <c r="BB1074" s="26"/>
      <c r="BC1074" s="26"/>
      <c r="BD1074" s="26"/>
      <c r="BE1074" s="26"/>
      <c r="BF1074" s="26"/>
    </row>
    <row r="1075" spans="1:58" ht="15.75" customHeight="1">
      <c r="A1075" s="67"/>
      <c r="B1075" s="67"/>
      <c r="C1075" s="67"/>
      <c r="D1075" s="68"/>
      <c r="E1075" s="68"/>
      <c r="F1075" s="68"/>
      <c r="G1075" s="68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30"/>
      <c r="AO1075" s="25"/>
      <c r="AP1075" s="120"/>
      <c r="AQ1075" s="120"/>
      <c r="AR1075" s="121"/>
      <c r="AS1075" s="96"/>
      <c r="AT1075" s="122"/>
      <c r="AU1075" s="123"/>
      <c r="AV1075" s="122"/>
      <c r="AW1075" s="122"/>
      <c r="AX1075" s="30"/>
      <c r="AY1075" s="30"/>
      <c r="AZ1075" s="30"/>
      <c r="BA1075" s="30"/>
      <c r="BB1075" s="26"/>
      <c r="BC1075" s="26"/>
      <c r="BD1075" s="26"/>
      <c r="BE1075" s="26"/>
      <c r="BF1075" s="26"/>
    </row>
    <row r="1076" spans="1:58" ht="15.75" customHeight="1">
      <c r="A1076" s="67"/>
      <c r="B1076" s="67"/>
      <c r="C1076" s="67"/>
      <c r="D1076" s="68"/>
      <c r="E1076" s="68"/>
      <c r="F1076" s="68"/>
      <c r="G1076" s="68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30"/>
      <c r="AO1076" s="25"/>
      <c r="AP1076" s="120"/>
      <c r="AQ1076" s="120"/>
      <c r="AR1076" s="121"/>
      <c r="AS1076" s="96"/>
      <c r="AT1076" s="122"/>
      <c r="AU1076" s="123"/>
      <c r="AV1076" s="122"/>
      <c r="AW1076" s="122"/>
      <c r="AX1076" s="30"/>
      <c r="AY1076" s="30"/>
      <c r="AZ1076" s="30"/>
      <c r="BA1076" s="30"/>
      <c r="BB1076" s="26"/>
      <c r="BC1076" s="26"/>
      <c r="BD1076" s="26"/>
      <c r="BE1076" s="26"/>
      <c r="BF1076" s="26"/>
    </row>
    <row r="1077" spans="1:58" ht="15.75" customHeight="1">
      <c r="A1077" s="67"/>
      <c r="B1077" s="67"/>
      <c r="C1077" s="67"/>
      <c r="D1077" s="68"/>
      <c r="E1077" s="68"/>
      <c r="F1077" s="68"/>
      <c r="G1077" s="68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30"/>
      <c r="AO1077" s="25"/>
      <c r="AP1077" s="120"/>
      <c r="AQ1077" s="120"/>
      <c r="AR1077" s="121"/>
      <c r="AS1077" s="96"/>
      <c r="AT1077" s="122"/>
      <c r="AU1077" s="123"/>
      <c r="AV1077" s="122"/>
      <c r="AW1077" s="122"/>
      <c r="AX1077" s="30"/>
      <c r="AY1077" s="30"/>
      <c r="AZ1077" s="30"/>
      <c r="BA1077" s="30"/>
      <c r="BB1077" s="26"/>
      <c r="BC1077" s="26"/>
      <c r="BD1077" s="26"/>
      <c r="BE1077" s="26"/>
      <c r="BF1077" s="26"/>
    </row>
    <row r="1078" spans="1:58" ht="15.75" customHeight="1">
      <c r="A1078" s="67"/>
      <c r="B1078" s="67"/>
      <c r="C1078" s="67"/>
      <c r="D1078" s="68"/>
      <c r="E1078" s="68"/>
      <c r="F1078" s="68"/>
      <c r="G1078" s="68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30"/>
      <c r="AO1078" s="25"/>
      <c r="AP1078" s="120"/>
      <c r="AQ1078" s="120"/>
      <c r="AR1078" s="121"/>
      <c r="AS1078" s="96"/>
      <c r="AT1078" s="122"/>
      <c r="AU1078" s="123"/>
      <c r="AV1078" s="122"/>
      <c r="AW1078" s="122"/>
      <c r="AX1078" s="30"/>
      <c r="AY1078" s="30"/>
      <c r="AZ1078" s="30"/>
      <c r="BA1078" s="30"/>
      <c r="BB1078" s="26"/>
      <c r="BC1078" s="26"/>
      <c r="BD1078" s="26"/>
      <c r="BE1078" s="26"/>
      <c r="BF1078" s="26"/>
    </row>
    <row r="1079" spans="1:58" ht="15.75" customHeight="1">
      <c r="A1079" s="67"/>
      <c r="B1079" s="67"/>
      <c r="C1079" s="67"/>
      <c r="D1079" s="68"/>
      <c r="E1079" s="68"/>
      <c r="F1079" s="68"/>
      <c r="G1079" s="68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30"/>
      <c r="AO1079" s="25"/>
      <c r="AP1079" s="120"/>
      <c r="AQ1079" s="120"/>
      <c r="AR1079" s="121"/>
      <c r="AS1079" s="96"/>
      <c r="AT1079" s="122"/>
      <c r="AU1079" s="123"/>
      <c r="AV1079" s="122"/>
      <c r="AW1079" s="122"/>
      <c r="AX1079" s="30"/>
      <c r="AY1079" s="30"/>
      <c r="AZ1079" s="30"/>
      <c r="BA1079" s="30"/>
      <c r="BB1079" s="26"/>
      <c r="BC1079" s="26"/>
      <c r="BD1079" s="26"/>
      <c r="BE1079" s="26"/>
      <c r="BF1079" s="26"/>
    </row>
    <row r="1080" spans="1:58" ht="15.75" customHeight="1">
      <c r="A1080" s="67"/>
      <c r="B1080" s="67"/>
      <c r="C1080" s="67"/>
      <c r="D1080" s="68"/>
      <c r="E1080" s="68"/>
      <c r="F1080" s="68"/>
      <c r="G1080" s="68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30"/>
      <c r="AO1080" s="25"/>
      <c r="AP1080" s="120"/>
      <c r="AQ1080" s="120"/>
      <c r="AR1080" s="121"/>
      <c r="AS1080" s="96"/>
      <c r="AT1080" s="122"/>
      <c r="AU1080" s="123"/>
      <c r="AV1080" s="122"/>
      <c r="AW1080" s="122"/>
      <c r="AX1080" s="30"/>
      <c r="AY1080" s="30"/>
      <c r="AZ1080" s="30"/>
      <c r="BA1080" s="30"/>
      <c r="BB1080" s="26"/>
      <c r="BC1080" s="26"/>
      <c r="BD1080" s="26"/>
      <c r="BE1080" s="26"/>
      <c r="BF1080" s="26"/>
    </row>
    <row r="1081" spans="1:58" ht="15.75" customHeight="1">
      <c r="A1081" s="67"/>
      <c r="B1081" s="67"/>
      <c r="C1081" s="67"/>
      <c r="D1081" s="68"/>
      <c r="E1081" s="68"/>
      <c r="F1081" s="68"/>
      <c r="G1081" s="68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30"/>
      <c r="AO1081" s="25"/>
      <c r="AP1081" s="120"/>
      <c r="AQ1081" s="120"/>
      <c r="AR1081" s="121"/>
      <c r="AS1081" s="96"/>
      <c r="AT1081" s="122"/>
      <c r="AU1081" s="123"/>
      <c r="AV1081" s="122"/>
      <c r="AW1081" s="122"/>
      <c r="AX1081" s="30"/>
      <c r="AY1081" s="30"/>
      <c r="AZ1081" s="30"/>
      <c r="BA1081" s="30"/>
      <c r="BB1081" s="26"/>
      <c r="BC1081" s="26"/>
      <c r="BD1081" s="26"/>
      <c r="BE1081" s="26"/>
      <c r="BF1081" s="26"/>
    </row>
    <row r="1082" spans="1:58" ht="15.75" customHeight="1">
      <c r="A1082" s="67"/>
      <c r="B1082" s="67"/>
      <c r="C1082" s="67"/>
      <c r="D1082" s="68"/>
      <c r="E1082" s="68"/>
      <c r="F1082" s="68"/>
      <c r="G1082" s="68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30"/>
      <c r="AO1082" s="25"/>
      <c r="AP1082" s="120"/>
      <c r="AQ1082" s="120"/>
      <c r="AR1082" s="121"/>
      <c r="AS1082" s="96"/>
      <c r="AT1082" s="122"/>
      <c r="AU1082" s="123"/>
      <c r="AV1082" s="122"/>
      <c r="AW1082" s="122"/>
      <c r="AX1082" s="30"/>
      <c r="AY1082" s="30"/>
      <c r="AZ1082" s="30"/>
      <c r="BA1082" s="30"/>
      <c r="BB1082" s="26"/>
      <c r="BC1082" s="26"/>
      <c r="BD1082" s="26"/>
      <c r="BE1082" s="26"/>
      <c r="BF1082" s="26"/>
    </row>
    <row r="1083" spans="1:58" ht="15.75" customHeight="1">
      <c r="A1083" s="67"/>
      <c r="B1083" s="67"/>
      <c r="C1083" s="67"/>
      <c r="D1083" s="68"/>
      <c r="E1083" s="68"/>
      <c r="F1083" s="68"/>
      <c r="G1083" s="68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30"/>
      <c r="AO1083" s="25"/>
      <c r="AP1083" s="120"/>
      <c r="AQ1083" s="120"/>
      <c r="AR1083" s="121"/>
      <c r="AS1083" s="96"/>
      <c r="AT1083" s="122"/>
      <c r="AU1083" s="123"/>
      <c r="AV1083" s="122"/>
      <c r="AW1083" s="122"/>
      <c r="AX1083" s="30"/>
      <c r="AY1083" s="30"/>
      <c r="AZ1083" s="30"/>
      <c r="BA1083" s="30"/>
      <c r="BB1083" s="26"/>
      <c r="BC1083" s="26"/>
      <c r="BD1083" s="26"/>
      <c r="BE1083" s="26"/>
      <c r="BF1083" s="26"/>
    </row>
    <row r="1084" spans="1:58" ht="15.75" customHeight="1">
      <c r="A1084" s="67"/>
      <c r="B1084" s="67"/>
      <c r="C1084" s="67"/>
      <c r="D1084" s="68"/>
      <c r="E1084" s="68"/>
      <c r="F1084" s="68"/>
      <c r="G1084" s="68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30"/>
      <c r="AO1084" s="25"/>
      <c r="AP1084" s="120"/>
      <c r="AQ1084" s="120"/>
      <c r="AR1084" s="121"/>
      <c r="AS1084" s="96"/>
      <c r="AT1084" s="122"/>
      <c r="AU1084" s="123"/>
      <c r="AV1084" s="122"/>
      <c r="AW1084" s="122"/>
      <c r="AX1084" s="30"/>
      <c r="AY1084" s="30"/>
      <c r="AZ1084" s="30"/>
      <c r="BA1084" s="30"/>
      <c r="BB1084" s="26"/>
      <c r="BC1084" s="26"/>
      <c r="BD1084" s="26"/>
      <c r="BE1084" s="26"/>
      <c r="BF1084" s="26"/>
    </row>
    <row r="1085" spans="1:58" ht="15.75" customHeight="1">
      <c r="A1085" s="67"/>
      <c r="B1085" s="67"/>
      <c r="C1085" s="67"/>
      <c r="D1085" s="68"/>
      <c r="E1085" s="68"/>
      <c r="F1085" s="68"/>
      <c r="G1085" s="68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30"/>
      <c r="AO1085" s="25"/>
      <c r="AP1085" s="120"/>
      <c r="AQ1085" s="120"/>
      <c r="AR1085" s="121"/>
      <c r="AS1085" s="96"/>
      <c r="AT1085" s="122"/>
      <c r="AU1085" s="123"/>
      <c r="AV1085" s="122"/>
      <c r="AW1085" s="122"/>
      <c r="AX1085" s="30"/>
      <c r="AY1085" s="30"/>
      <c r="AZ1085" s="30"/>
      <c r="BA1085" s="30"/>
      <c r="BB1085" s="26"/>
      <c r="BC1085" s="26"/>
      <c r="BD1085" s="26"/>
      <c r="BE1085" s="26"/>
      <c r="BF1085" s="26"/>
    </row>
    <row r="1086" spans="1:58" ht="15.75" customHeight="1">
      <c r="A1086" s="67"/>
      <c r="B1086" s="67"/>
      <c r="C1086" s="67"/>
      <c r="D1086" s="68"/>
      <c r="E1086" s="68"/>
      <c r="F1086" s="68"/>
      <c r="G1086" s="68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30"/>
      <c r="AO1086" s="25"/>
      <c r="AP1086" s="120"/>
      <c r="AQ1086" s="120"/>
      <c r="AR1086" s="121"/>
      <c r="AS1086" s="96"/>
      <c r="AT1086" s="122"/>
      <c r="AU1086" s="123"/>
      <c r="AV1086" s="122"/>
      <c r="AW1086" s="122"/>
      <c r="AX1086" s="30"/>
      <c r="AY1086" s="30"/>
      <c r="AZ1086" s="30"/>
      <c r="BA1086" s="30"/>
      <c r="BB1086" s="26"/>
      <c r="BC1086" s="26"/>
      <c r="BD1086" s="26"/>
      <c r="BE1086" s="26"/>
      <c r="BF1086" s="26"/>
    </row>
    <row r="1087" spans="1:58" ht="15.75" customHeight="1">
      <c r="A1087" s="67"/>
      <c r="B1087" s="67"/>
      <c r="C1087" s="67"/>
      <c r="D1087" s="68"/>
      <c r="E1087" s="68"/>
      <c r="F1087" s="68"/>
      <c r="G1087" s="68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30"/>
      <c r="AO1087" s="25"/>
      <c r="AP1087" s="120"/>
      <c r="AQ1087" s="120"/>
      <c r="AR1087" s="121"/>
      <c r="AS1087" s="96"/>
      <c r="AT1087" s="122"/>
      <c r="AU1087" s="123"/>
      <c r="AV1087" s="122"/>
      <c r="AW1087" s="122"/>
      <c r="AX1087" s="30"/>
      <c r="AY1087" s="30"/>
      <c r="AZ1087" s="30"/>
      <c r="BA1087" s="30"/>
      <c r="BB1087" s="26"/>
      <c r="BC1087" s="26"/>
      <c r="BD1087" s="26"/>
      <c r="BE1087" s="26"/>
      <c r="BF1087" s="26"/>
    </row>
    <row r="1088" spans="1:58" ht="15.75" customHeight="1">
      <c r="A1088" s="67"/>
      <c r="B1088" s="67"/>
      <c r="C1088" s="67"/>
      <c r="D1088" s="68"/>
      <c r="E1088" s="68"/>
      <c r="F1088" s="68"/>
      <c r="G1088" s="68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30"/>
      <c r="AO1088" s="25"/>
      <c r="AP1088" s="120"/>
      <c r="AQ1088" s="120"/>
      <c r="AR1088" s="121"/>
      <c r="AS1088" s="96"/>
      <c r="AT1088" s="122"/>
      <c r="AU1088" s="123"/>
      <c r="AV1088" s="122"/>
      <c r="AW1088" s="122"/>
      <c r="AX1088" s="30"/>
      <c r="AY1088" s="30"/>
      <c r="AZ1088" s="30"/>
      <c r="BA1088" s="30"/>
      <c r="BB1088" s="26"/>
      <c r="BC1088" s="26"/>
      <c r="BD1088" s="26"/>
      <c r="BE1088" s="26"/>
      <c r="BF1088" s="26"/>
    </row>
    <row r="1089" spans="1:58" ht="15.75" customHeight="1">
      <c r="A1089" s="67"/>
      <c r="B1089" s="67"/>
      <c r="C1089" s="67"/>
      <c r="D1089" s="68"/>
      <c r="E1089" s="68"/>
      <c r="F1089" s="68"/>
      <c r="G1089" s="68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30"/>
      <c r="AO1089" s="25"/>
      <c r="AP1089" s="120"/>
      <c r="AQ1089" s="120"/>
      <c r="AR1089" s="121"/>
      <c r="AS1089" s="96"/>
      <c r="AT1089" s="122"/>
      <c r="AU1089" s="123"/>
      <c r="AV1089" s="122"/>
      <c r="AW1089" s="122"/>
      <c r="AX1089" s="30"/>
      <c r="AY1089" s="30"/>
      <c r="AZ1089" s="30"/>
      <c r="BA1089" s="30"/>
      <c r="BB1089" s="26"/>
      <c r="BC1089" s="26"/>
      <c r="BD1089" s="26"/>
      <c r="BE1089" s="26"/>
      <c r="BF1089" s="26"/>
    </row>
    <row r="1090" spans="1:58" ht="15.75" customHeight="1">
      <c r="A1090" s="67"/>
      <c r="B1090" s="67"/>
      <c r="C1090" s="67"/>
      <c r="D1090" s="68"/>
      <c r="E1090" s="68"/>
      <c r="F1090" s="68"/>
      <c r="G1090" s="68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30"/>
      <c r="AO1090" s="25"/>
      <c r="AP1090" s="120"/>
      <c r="AQ1090" s="120"/>
      <c r="AR1090" s="121"/>
      <c r="AS1090" s="96"/>
      <c r="AT1090" s="122"/>
      <c r="AU1090" s="123"/>
      <c r="AV1090" s="122"/>
      <c r="AW1090" s="122"/>
      <c r="AX1090" s="30"/>
      <c r="AY1090" s="30"/>
      <c r="AZ1090" s="30"/>
      <c r="BA1090" s="30"/>
      <c r="BB1090" s="26"/>
      <c r="BC1090" s="26"/>
      <c r="BD1090" s="26"/>
      <c r="BE1090" s="26"/>
      <c r="BF1090" s="26"/>
    </row>
    <row r="1091" spans="1:58" ht="15.75" customHeight="1">
      <c r="A1091" s="67"/>
      <c r="B1091" s="67"/>
      <c r="C1091" s="67"/>
      <c r="D1091" s="68"/>
      <c r="E1091" s="68"/>
      <c r="F1091" s="68"/>
      <c r="G1091" s="68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30"/>
      <c r="AO1091" s="25"/>
      <c r="AP1091" s="120"/>
      <c r="AQ1091" s="120"/>
      <c r="AR1091" s="121"/>
      <c r="AS1091" s="96"/>
      <c r="AT1091" s="122"/>
      <c r="AU1091" s="123"/>
      <c r="AV1091" s="122"/>
      <c r="AW1091" s="122"/>
      <c r="AX1091" s="30"/>
      <c r="AY1091" s="30"/>
      <c r="AZ1091" s="30"/>
      <c r="BA1091" s="30"/>
      <c r="BB1091" s="26"/>
      <c r="BC1091" s="26"/>
      <c r="BD1091" s="26"/>
      <c r="BE1091" s="26"/>
      <c r="BF1091" s="26"/>
    </row>
    <row r="1092" spans="1:58" ht="15.75" customHeight="1">
      <c r="A1092" s="67"/>
      <c r="B1092" s="67"/>
      <c r="C1092" s="67"/>
      <c r="D1092" s="68"/>
      <c r="E1092" s="68"/>
      <c r="F1092" s="68"/>
      <c r="G1092" s="68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30"/>
      <c r="AO1092" s="25"/>
      <c r="AP1092" s="120"/>
      <c r="AQ1092" s="120"/>
      <c r="AR1092" s="121"/>
      <c r="AS1092" s="96"/>
      <c r="AT1092" s="122"/>
      <c r="AU1092" s="123"/>
      <c r="AV1092" s="122"/>
      <c r="AW1092" s="122"/>
      <c r="AX1092" s="30"/>
      <c r="AY1092" s="30"/>
      <c r="AZ1092" s="30"/>
      <c r="BA1092" s="30"/>
      <c r="BB1092" s="26"/>
      <c r="BC1092" s="26"/>
      <c r="BD1092" s="26"/>
      <c r="BE1092" s="26"/>
      <c r="BF1092" s="26"/>
    </row>
    <row r="1093" spans="1:58" ht="15.75" customHeight="1">
      <c r="A1093" s="67"/>
      <c r="B1093" s="67"/>
      <c r="C1093" s="67"/>
      <c r="D1093" s="68"/>
      <c r="E1093" s="68"/>
      <c r="F1093" s="68"/>
      <c r="G1093" s="68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30"/>
      <c r="AO1093" s="25"/>
      <c r="AP1093" s="120"/>
      <c r="AQ1093" s="120"/>
      <c r="AR1093" s="121"/>
      <c r="AS1093" s="96"/>
      <c r="AT1093" s="122"/>
      <c r="AU1093" s="123"/>
      <c r="AV1093" s="122"/>
      <c r="AW1093" s="122"/>
      <c r="AX1093" s="30"/>
      <c r="AY1093" s="30"/>
      <c r="AZ1093" s="30"/>
      <c r="BA1093" s="30"/>
      <c r="BB1093" s="26"/>
      <c r="BC1093" s="26"/>
      <c r="BD1093" s="26"/>
      <c r="BE1093" s="26"/>
      <c r="BF1093" s="26"/>
    </row>
    <row r="1094" spans="1:58" ht="15.75" customHeight="1">
      <c r="A1094" s="67"/>
      <c r="B1094" s="67"/>
      <c r="C1094" s="67"/>
      <c r="D1094" s="68"/>
      <c r="E1094" s="68"/>
      <c r="F1094" s="68"/>
      <c r="G1094" s="68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30"/>
      <c r="AO1094" s="25"/>
      <c r="AP1094" s="120"/>
      <c r="AQ1094" s="120"/>
      <c r="AR1094" s="121"/>
      <c r="AS1094" s="96"/>
      <c r="AT1094" s="122"/>
      <c r="AU1094" s="123"/>
      <c r="AV1094" s="122"/>
      <c r="AW1094" s="122"/>
      <c r="AX1094" s="30"/>
      <c r="AY1094" s="30"/>
      <c r="AZ1094" s="30"/>
      <c r="BA1094" s="30"/>
      <c r="BB1094" s="26"/>
      <c r="BC1094" s="26"/>
      <c r="BD1094" s="26"/>
      <c r="BE1094" s="26"/>
      <c r="BF1094" s="26"/>
    </row>
    <row r="1095" spans="1:58" ht="15.75" customHeight="1">
      <c r="A1095" s="67"/>
      <c r="B1095" s="67"/>
      <c r="C1095" s="67"/>
      <c r="D1095" s="68"/>
      <c r="E1095" s="68"/>
      <c r="F1095" s="68"/>
      <c r="G1095" s="68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30"/>
      <c r="AO1095" s="25"/>
      <c r="AP1095" s="120"/>
      <c r="AQ1095" s="120"/>
      <c r="AR1095" s="121"/>
      <c r="AS1095" s="96"/>
      <c r="AT1095" s="122"/>
      <c r="AU1095" s="123"/>
      <c r="AV1095" s="122"/>
      <c r="AW1095" s="122"/>
      <c r="AX1095" s="30"/>
      <c r="AY1095" s="30"/>
      <c r="AZ1095" s="30"/>
      <c r="BA1095" s="30"/>
      <c r="BB1095" s="26"/>
      <c r="BC1095" s="26"/>
      <c r="BD1095" s="26"/>
      <c r="BE1095" s="26"/>
      <c r="BF1095" s="26"/>
    </row>
    <row r="1096" spans="1:58" ht="15.75" customHeight="1">
      <c r="A1096" s="67"/>
      <c r="B1096" s="67"/>
      <c r="C1096" s="67"/>
      <c r="D1096" s="68"/>
      <c r="E1096" s="68"/>
      <c r="F1096" s="68"/>
      <c r="G1096" s="68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5"/>
      <c r="AE1096" s="45"/>
      <c r="AF1096" s="45"/>
      <c r="AG1096" s="45"/>
      <c r="AH1096" s="45"/>
      <c r="AI1096" s="45"/>
      <c r="AJ1096" s="45"/>
      <c r="AK1096" s="45"/>
      <c r="AL1096" s="45"/>
      <c r="AM1096" s="45"/>
      <c r="AN1096" s="30"/>
      <c r="AO1096" s="25"/>
      <c r="AP1096" s="120"/>
      <c r="AQ1096" s="120"/>
      <c r="AR1096" s="121"/>
      <c r="AS1096" s="96"/>
      <c r="AT1096" s="122"/>
      <c r="AU1096" s="123"/>
      <c r="AV1096" s="122"/>
      <c r="AW1096" s="122"/>
      <c r="AX1096" s="30"/>
      <c r="AY1096" s="30"/>
      <c r="AZ1096" s="30"/>
      <c r="BA1096" s="30"/>
      <c r="BB1096" s="26"/>
      <c r="BC1096" s="26"/>
      <c r="BD1096" s="26"/>
      <c r="BE1096" s="26"/>
      <c r="BF1096" s="26"/>
    </row>
    <row r="1097" spans="1:58" ht="15.75" customHeight="1">
      <c r="A1097" s="67"/>
      <c r="B1097" s="67"/>
      <c r="C1097" s="67"/>
      <c r="D1097" s="68"/>
      <c r="E1097" s="68"/>
      <c r="F1097" s="68"/>
      <c r="G1097" s="68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30"/>
      <c r="AO1097" s="25"/>
      <c r="AP1097" s="120"/>
      <c r="AQ1097" s="120"/>
      <c r="AR1097" s="121"/>
      <c r="AS1097" s="96"/>
      <c r="AT1097" s="122"/>
      <c r="AU1097" s="123"/>
      <c r="AV1097" s="122"/>
      <c r="AW1097" s="122"/>
      <c r="AX1097" s="30"/>
      <c r="AY1097" s="30"/>
      <c r="AZ1097" s="30"/>
      <c r="BA1097" s="30"/>
      <c r="BB1097" s="26"/>
      <c r="BC1097" s="26"/>
      <c r="BD1097" s="26"/>
      <c r="BE1097" s="26"/>
      <c r="BF1097" s="26"/>
    </row>
    <row r="1098" spans="1:58" ht="15.75" customHeight="1">
      <c r="A1098" s="67"/>
      <c r="B1098" s="67"/>
      <c r="C1098" s="67"/>
      <c r="D1098" s="68"/>
      <c r="E1098" s="68"/>
      <c r="F1098" s="68"/>
      <c r="G1098" s="68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  <c r="AA1098" s="45"/>
      <c r="AB1098" s="45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30"/>
      <c r="AO1098" s="25"/>
      <c r="AP1098" s="120"/>
      <c r="AQ1098" s="120"/>
      <c r="AR1098" s="121"/>
      <c r="AS1098" s="96"/>
      <c r="AT1098" s="122"/>
      <c r="AU1098" s="123"/>
      <c r="AV1098" s="122"/>
      <c r="AW1098" s="122"/>
      <c r="AX1098" s="30"/>
      <c r="AY1098" s="30"/>
      <c r="AZ1098" s="30"/>
      <c r="BA1098" s="30"/>
      <c r="BB1098" s="26"/>
      <c r="BC1098" s="26"/>
      <c r="BD1098" s="26"/>
      <c r="BE1098" s="26"/>
      <c r="BF1098" s="26"/>
    </row>
    <row r="1099" spans="1:58" ht="15.75" customHeight="1">
      <c r="A1099" s="67"/>
      <c r="B1099" s="67"/>
      <c r="C1099" s="67"/>
      <c r="D1099" s="68"/>
      <c r="E1099" s="68"/>
      <c r="F1099" s="68"/>
      <c r="G1099" s="68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30"/>
      <c r="AO1099" s="25"/>
      <c r="AP1099" s="120"/>
      <c r="AQ1099" s="120"/>
      <c r="AR1099" s="121"/>
      <c r="AS1099" s="96"/>
      <c r="AT1099" s="122"/>
      <c r="AU1099" s="123"/>
      <c r="AV1099" s="122"/>
      <c r="AW1099" s="122"/>
      <c r="AX1099" s="30"/>
      <c r="AY1099" s="30"/>
      <c r="AZ1099" s="30"/>
      <c r="BA1099" s="30"/>
      <c r="BB1099" s="26"/>
      <c r="BC1099" s="26"/>
      <c r="BD1099" s="26"/>
      <c r="BE1099" s="26"/>
      <c r="BF1099" s="26"/>
    </row>
    <row r="1100" spans="1:58" ht="15.75" customHeight="1">
      <c r="A1100" s="67"/>
      <c r="B1100" s="67"/>
      <c r="C1100" s="67"/>
      <c r="D1100" s="68"/>
      <c r="E1100" s="68"/>
      <c r="F1100" s="68"/>
      <c r="G1100" s="68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  <c r="AE1100" s="45"/>
      <c r="AF1100" s="45"/>
      <c r="AG1100" s="45"/>
      <c r="AH1100" s="45"/>
      <c r="AI1100" s="45"/>
      <c r="AJ1100" s="45"/>
      <c r="AK1100" s="45"/>
      <c r="AL1100" s="45"/>
      <c r="AM1100" s="45"/>
      <c r="AN1100" s="30"/>
      <c r="AO1100" s="25"/>
      <c r="AP1100" s="120"/>
      <c r="AQ1100" s="120"/>
      <c r="AR1100" s="121"/>
      <c r="AS1100" s="96"/>
      <c r="AT1100" s="122"/>
      <c r="AU1100" s="123"/>
      <c r="AV1100" s="122"/>
      <c r="AW1100" s="122"/>
      <c r="AX1100" s="30"/>
      <c r="AY1100" s="30"/>
      <c r="AZ1100" s="30"/>
      <c r="BA1100" s="30"/>
      <c r="BB1100" s="26"/>
      <c r="BC1100" s="26"/>
      <c r="BD1100" s="26"/>
      <c r="BE1100" s="26"/>
      <c r="BF1100" s="26"/>
    </row>
    <row r="1048569" spans="48:48" ht="15" customHeight="1">
      <c r="AV1048569" s="124"/>
    </row>
  </sheetData>
  <mergeCells count="125">
    <mergeCell ref="H87:O87"/>
    <mergeCell ref="A106:B106"/>
    <mergeCell ref="A107:BB107"/>
    <mergeCell ref="A98:B98"/>
    <mergeCell ref="A99:B99"/>
    <mergeCell ref="A100:B100"/>
    <mergeCell ref="A101:B101"/>
    <mergeCell ref="A104:B104"/>
    <mergeCell ref="A105:B105"/>
    <mergeCell ref="A92:B92"/>
    <mergeCell ref="A93:B93"/>
    <mergeCell ref="A94:B94"/>
    <mergeCell ref="A95:B95"/>
    <mergeCell ref="A96:B96"/>
    <mergeCell ref="A97:B97"/>
    <mergeCell ref="A102:B102"/>
    <mergeCell ref="A103:B103"/>
    <mergeCell ref="A85:B85"/>
    <mergeCell ref="A86:B86"/>
    <mergeCell ref="A88:B88"/>
    <mergeCell ref="A89:B89"/>
    <mergeCell ref="A90:B90"/>
    <mergeCell ref="A91:B91"/>
    <mergeCell ref="A76:B76"/>
    <mergeCell ref="A78:B78"/>
    <mergeCell ref="A80:B80"/>
    <mergeCell ref="A82:B82"/>
    <mergeCell ref="A83:B83"/>
    <mergeCell ref="A84:B84"/>
    <mergeCell ref="A81:B81"/>
    <mergeCell ref="A79:B79"/>
    <mergeCell ref="A87:B87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39:B39"/>
    <mergeCell ref="A40:B40"/>
    <mergeCell ref="A41:B41"/>
    <mergeCell ref="A43:B43"/>
    <mergeCell ref="A44:B44"/>
    <mergeCell ref="A45:B45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BD11:BE11"/>
    <mergeCell ref="A12:B12"/>
    <mergeCell ref="A13:B13"/>
    <mergeCell ref="A14:B14"/>
    <mergeCell ref="A77:B77"/>
    <mergeCell ref="A5:B5"/>
    <mergeCell ref="A6:B6"/>
    <mergeCell ref="A7:B7"/>
    <mergeCell ref="A8:B8"/>
    <mergeCell ref="A9:B9"/>
    <mergeCell ref="A10:B10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V2:AW2"/>
    <mergeCell ref="AX2:AZ2"/>
    <mergeCell ref="BA2:BA3"/>
    <mergeCell ref="BB2:BB3"/>
    <mergeCell ref="A4:B4"/>
    <mergeCell ref="H2:AL2"/>
    <mergeCell ref="AM2:AM3"/>
    <mergeCell ref="AN2:AN3"/>
    <mergeCell ref="AO2:AO3"/>
    <mergeCell ref="AP2:AQ2"/>
    <mergeCell ref="AR2:AS2"/>
    <mergeCell ref="A1:C1"/>
    <mergeCell ref="D1:G1"/>
    <mergeCell ref="A2:B3"/>
    <mergeCell ref="C2:C3"/>
    <mergeCell ref="D2:D3"/>
    <mergeCell ref="E2:E3"/>
    <mergeCell ref="F2:F3"/>
    <mergeCell ref="G2:G3"/>
    <mergeCell ref="AT2:AU2"/>
  </mergeCells>
  <conditionalFormatting sqref="A4:A106">
    <cfRule type="cellIs" dxfId="16" priority="14" operator="between">
      <formula>(#REF!+3)</formula>
      <formula>(#REF!+1)</formula>
    </cfRule>
    <cfRule type="cellIs" dxfId="15" priority="15" operator="lessThanOrEqual">
      <formula>(#REF!)</formula>
    </cfRule>
    <cfRule type="cellIs" dxfId="14" priority="16" operator="between">
      <formula>(AP4+10)</formula>
      <formula>(AP4+1)</formula>
    </cfRule>
    <cfRule type="cellIs" dxfId="13" priority="17" operator="lessThanOrEqual">
      <formula>(AP4)</formula>
    </cfRule>
  </conditionalFormatting>
  <conditionalFormatting sqref="AO4:AO33 AO35:AO37 AO39 AO41:AO42 AO44 AO46:AO47 AO49:AO50 AO52:AO53 AO55:AO56 AO58:AO59 AO61:AO62 AO64:AO65 AO67:AO68 AO70:AO71 AO73:AO74 AO76:AO81 AO83:AO84 AO97:AO99">
    <cfRule type="cellIs" dxfId="12" priority="12" operator="between">
      <formula>(AP4+2)</formula>
      <formula>(AP4+1)</formula>
    </cfRule>
  </conditionalFormatting>
  <conditionalFormatting sqref="AO4:AO106">
    <cfRule type="cellIs" dxfId="11" priority="13" operator="lessThanOrEqual">
      <formula>(AP4)</formula>
    </cfRule>
    <cfRule type="cellIs" dxfId="10" priority="18" operator="between">
      <formula>(AP4+10)</formula>
      <formula>(AP4+1)</formula>
    </cfRule>
  </conditionalFormatting>
  <conditionalFormatting sqref="AO100:AO106">
    <cfRule type="cellIs" dxfId="9" priority="19" operator="between">
      <formula>(#REF!+3)</formula>
      <formula>(#REF!+1)</formula>
    </cfRule>
    <cfRule type="cellIs" dxfId="8" priority="20" operator="lessThanOrEqual">
      <formula>(#REF!)</formula>
    </cfRule>
  </conditionalFormatting>
  <conditionalFormatting sqref="AR4:AR106">
    <cfRule type="expression" dxfId="7" priority="7">
      <formula>$AV4&lt;&gt;""</formula>
    </cfRule>
    <cfRule type="expression" dxfId="6" priority="8">
      <formula>AND($AR4&lt;&gt;"",$AV4="",TODAY()-$AR4&gt;10,TODAY()-$AR4&lt;=30)</formula>
    </cfRule>
    <cfRule type="expression" dxfId="5" priority="9">
      <formula>AND($AR4&lt;&gt;"",$AV4="",TODAY()-$AR4&gt;=3,TODAY()-$AR4&lt;=10)</formula>
    </cfRule>
  </conditionalFormatting>
  <conditionalFormatting sqref="AT4:AT106">
    <cfRule type="expression" dxfId="4" priority="4">
      <formula>$AW4&lt;&gt;""</formula>
    </cfRule>
    <cfRule type="expression" dxfId="3" priority="5">
      <formula>AND($AT4&lt;&gt;"",$AW4="",TODAY()-$AT4&gt;10,TODAY()-$AW4&lt;=30)</formula>
    </cfRule>
    <cfRule type="expression" dxfId="2" priority="6">
      <formula>AND($AT4&lt;&gt;"",$AW4="",TODAY()-$AT4&gt;=3,TODAY()-$AT4&lt;=10)</formula>
    </cfRule>
  </conditionalFormatting>
  <conditionalFormatting sqref="BA4:BA106">
    <cfRule type="cellIs" dxfId="1" priority="10" operator="between">
      <formula>(BC4+10)</formula>
      <formula>(BC4+1)</formula>
    </cfRule>
    <cfRule type="cellIs" dxfId="0" priority="11" operator="lessThanOrEqual">
      <formula>(BC4)</formula>
    </cfRule>
  </conditionalFormatting>
  <pageMargins left="0.75" right="0.75" top="1" bottom="1" header="0" footer="0"/>
  <pageSetup paperSize="9" scale="33" fitToHeight="0" orientation="landscape"/>
  <colBreaks count="1" manualBreakCount="1">
    <brk id="2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02"/>
  <sheetViews>
    <sheetView workbookViewId="0">
      <selection activeCell="O147" sqref="O147:S150"/>
    </sheetView>
  </sheetViews>
  <sheetFormatPr defaultRowHeight="12.75"/>
  <cols>
    <col min="1" max="1" width="26.7109375" bestFit="1" customWidth="1"/>
    <col min="2" max="10" width="4.28515625" bestFit="1" customWidth="1"/>
    <col min="11" max="32" width="5.28515625" bestFit="1" customWidth="1"/>
    <col min="33" max="33" width="7.85546875" bestFit="1" customWidth="1"/>
  </cols>
  <sheetData>
    <row r="1" spans="1:3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</row>
    <row r="2" spans="1:33">
      <c r="A2" t="s">
        <v>175</v>
      </c>
      <c r="B2">
        <v>1</v>
      </c>
      <c r="D2">
        <v>3</v>
      </c>
      <c r="F2">
        <v>5</v>
      </c>
      <c r="H2">
        <v>1</v>
      </c>
      <c r="I2">
        <v>4</v>
      </c>
      <c r="K2">
        <v>2</v>
      </c>
      <c r="L2">
        <v>3</v>
      </c>
      <c r="M2">
        <v>3</v>
      </c>
      <c r="N2">
        <v>2</v>
      </c>
      <c r="P2">
        <v>1</v>
      </c>
      <c r="S2">
        <v>3</v>
      </c>
      <c r="T2">
        <v>2</v>
      </c>
      <c r="U2">
        <v>3</v>
      </c>
      <c r="V2">
        <v>1</v>
      </c>
      <c r="W2">
        <v>4</v>
      </c>
      <c r="Y2">
        <v>2</v>
      </c>
      <c r="AG2">
        <v>40</v>
      </c>
    </row>
    <row r="3" spans="1:33">
      <c r="A3" t="s">
        <v>463</v>
      </c>
      <c r="B3">
        <v>15</v>
      </c>
      <c r="D3">
        <v>13</v>
      </c>
      <c r="E3">
        <v>165</v>
      </c>
      <c r="F3">
        <v>3</v>
      </c>
      <c r="G3">
        <v>253</v>
      </c>
      <c r="H3">
        <v>5</v>
      </c>
      <c r="I3">
        <v>7</v>
      </c>
      <c r="K3">
        <v>321</v>
      </c>
      <c r="L3">
        <v>227</v>
      </c>
      <c r="M3">
        <v>17</v>
      </c>
      <c r="N3">
        <v>1</v>
      </c>
      <c r="O3">
        <v>19</v>
      </c>
      <c r="S3">
        <v>15</v>
      </c>
      <c r="T3">
        <v>12</v>
      </c>
      <c r="U3">
        <v>4</v>
      </c>
      <c r="V3">
        <v>18</v>
      </c>
      <c r="W3">
        <v>5</v>
      </c>
      <c r="Y3">
        <v>26</v>
      </c>
      <c r="AG3">
        <v>1126</v>
      </c>
    </row>
    <row r="4" spans="1:33">
      <c r="A4" t="s">
        <v>181</v>
      </c>
      <c r="B4">
        <v>2</v>
      </c>
      <c r="D4">
        <v>8</v>
      </c>
      <c r="E4">
        <v>3</v>
      </c>
      <c r="F4">
        <v>3</v>
      </c>
      <c r="G4">
        <v>3</v>
      </c>
      <c r="H4">
        <v>4</v>
      </c>
      <c r="I4">
        <v>8</v>
      </c>
      <c r="K4">
        <v>18</v>
      </c>
      <c r="L4">
        <v>4</v>
      </c>
      <c r="M4">
        <v>4</v>
      </c>
      <c r="N4">
        <v>2</v>
      </c>
      <c r="O4">
        <v>3</v>
      </c>
      <c r="P4">
        <v>3</v>
      </c>
      <c r="S4">
        <v>9</v>
      </c>
      <c r="T4">
        <v>4</v>
      </c>
      <c r="U4">
        <v>7</v>
      </c>
      <c r="V4">
        <v>8</v>
      </c>
      <c r="W4">
        <v>4</v>
      </c>
      <c r="Y4">
        <v>11</v>
      </c>
      <c r="AG4">
        <v>108</v>
      </c>
    </row>
    <row r="5" spans="1:33">
      <c r="A5" t="s">
        <v>111</v>
      </c>
      <c r="B5">
        <v>2</v>
      </c>
      <c r="D5">
        <v>2</v>
      </c>
      <c r="E5">
        <v>1</v>
      </c>
      <c r="G5">
        <v>1</v>
      </c>
      <c r="I5">
        <v>6</v>
      </c>
      <c r="K5">
        <v>3</v>
      </c>
      <c r="L5">
        <v>1</v>
      </c>
      <c r="M5">
        <v>2</v>
      </c>
      <c r="P5">
        <v>1</v>
      </c>
      <c r="S5">
        <v>3</v>
      </c>
      <c r="T5">
        <v>2</v>
      </c>
      <c r="W5">
        <v>3</v>
      </c>
      <c r="Y5">
        <v>1</v>
      </c>
      <c r="AG5">
        <v>28</v>
      </c>
    </row>
    <row r="6" spans="1:33">
      <c r="A6" t="s">
        <v>44</v>
      </c>
      <c r="B6">
        <v>1</v>
      </c>
      <c r="D6">
        <v>4</v>
      </c>
      <c r="F6">
        <v>7</v>
      </c>
      <c r="G6">
        <v>1</v>
      </c>
      <c r="H6">
        <v>1</v>
      </c>
      <c r="I6">
        <v>4</v>
      </c>
      <c r="K6">
        <v>2</v>
      </c>
      <c r="L6">
        <v>4</v>
      </c>
      <c r="M6">
        <v>4</v>
      </c>
      <c r="N6">
        <v>3</v>
      </c>
      <c r="P6">
        <v>1</v>
      </c>
      <c r="S6">
        <v>4</v>
      </c>
      <c r="T6">
        <v>3</v>
      </c>
      <c r="U6">
        <v>3</v>
      </c>
      <c r="V6">
        <v>1</v>
      </c>
      <c r="W6">
        <v>4</v>
      </c>
      <c r="Y6">
        <v>3</v>
      </c>
      <c r="AG6">
        <v>50</v>
      </c>
    </row>
    <row r="7" spans="1:33">
      <c r="A7" t="s">
        <v>461</v>
      </c>
      <c r="B7">
        <v>1</v>
      </c>
      <c r="D7">
        <v>1</v>
      </c>
      <c r="E7">
        <v>2</v>
      </c>
      <c r="F7">
        <v>2</v>
      </c>
      <c r="I7">
        <v>2</v>
      </c>
      <c r="K7">
        <v>1</v>
      </c>
      <c r="S7">
        <v>5</v>
      </c>
      <c r="T7">
        <v>1</v>
      </c>
      <c r="Y7">
        <v>6</v>
      </c>
      <c r="AG7">
        <v>21</v>
      </c>
    </row>
    <row r="8" spans="1:33">
      <c r="A8" t="s">
        <v>459</v>
      </c>
      <c r="B8">
        <v>1</v>
      </c>
      <c r="D8">
        <v>1</v>
      </c>
      <c r="E8">
        <v>2</v>
      </c>
      <c r="F8">
        <v>2</v>
      </c>
      <c r="I8">
        <v>2</v>
      </c>
      <c r="K8">
        <v>1</v>
      </c>
      <c r="S8">
        <v>5</v>
      </c>
      <c r="T8">
        <v>1</v>
      </c>
      <c r="Y8">
        <v>6</v>
      </c>
      <c r="AG8">
        <v>21</v>
      </c>
    </row>
    <row r="9" spans="1:33">
      <c r="A9" t="s">
        <v>60</v>
      </c>
      <c r="B9">
        <v>1</v>
      </c>
      <c r="I9">
        <v>1</v>
      </c>
      <c r="L9">
        <v>1</v>
      </c>
      <c r="T9">
        <v>1</v>
      </c>
      <c r="AG9">
        <v>4</v>
      </c>
    </row>
    <row r="10" spans="1:33">
      <c r="A10" t="s">
        <v>61</v>
      </c>
      <c r="B10">
        <v>1</v>
      </c>
      <c r="D10">
        <v>1</v>
      </c>
      <c r="E10">
        <v>2</v>
      </c>
      <c r="F10">
        <v>1</v>
      </c>
      <c r="H10">
        <v>1</v>
      </c>
      <c r="I10">
        <v>2</v>
      </c>
      <c r="K10">
        <v>1</v>
      </c>
      <c r="L10">
        <v>1</v>
      </c>
      <c r="M10">
        <v>1</v>
      </c>
      <c r="S10">
        <v>6</v>
      </c>
      <c r="T10">
        <v>1</v>
      </c>
      <c r="Y10">
        <v>6</v>
      </c>
      <c r="AG10">
        <v>24</v>
      </c>
    </row>
    <row r="11" spans="1:33">
      <c r="A11" t="s">
        <v>124</v>
      </c>
      <c r="B11">
        <v>4</v>
      </c>
      <c r="D11">
        <v>5</v>
      </c>
      <c r="G11">
        <v>1</v>
      </c>
      <c r="I11">
        <v>1</v>
      </c>
      <c r="K11">
        <v>5</v>
      </c>
      <c r="L11">
        <v>3</v>
      </c>
      <c r="M11">
        <v>1</v>
      </c>
      <c r="N11">
        <v>1</v>
      </c>
      <c r="O11">
        <v>2</v>
      </c>
      <c r="P11">
        <v>2</v>
      </c>
      <c r="S11">
        <v>1</v>
      </c>
      <c r="T11">
        <v>2</v>
      </c>
      <c r="U11">
        <v>1</v>
      </c>
      <c r="V11">
        <v>1</v>
      </c>
      <c r="W11">
        <v>1</v>
      </c>
      <c r="Y11">
        <v>4</v>
      </c>
      <c r="AG11">
        <v>35</v>
      </c>
    </row>
    <row r="12" spans="1:33">
      <c r="A12" t="s">
        <v>86</v>
      </c>
      <c r="B12">
        <v>3</v>
      </c>
      <c r="D12">
        <v>1</v>
      </c>
      <c r="F12">
        <v>2</v>
      </c>
      <c r="O12">
        <v>1</v>
      </c>
      <c r="P12">
        <v>1</v>
      </c>
      <c r="U12">
        <v>2</v>
      </c>
      <c r="V12">
        <v>1</v>
      </c>
      <c r="Y12">
        <v>1</v>
      </c>
      <c r="AG12">
        <v>12</v>
      </c>
    </row>
    <row r="13" spans="1:33">
      <c r="A13" t="s">
        <v>468</v>
      </c>
      <c r="B13">
        <v>1</v>
      </c>
      <c r="V13">
        <v>1</v>
      </c>
      <c r="Y13">
        <v>1</v>
      </c>
      <c r="AG13">
        <v>3</v>
      </c>
    </row>
    <row r="14" spans="1:33">
      <c r="A14" t="s">
        <v>469</v>
      </c>
      <c r="B14">
        <v>1</v>
      </c>
      <c r="I14">
        <v>1</v>
      </c>
      <c r="U14">
        <v>1</v>
      </c>
      <c r="AG14">
        <v>3</v>
      </c>
    </row>
    <row r="15" spans="1:33">
      <c r="A15" t="s">
        <v>82</v>
      </c>
      <c r="B15">
        <v>2</v>
      </c>
      <c r="H15">
        <v>2</v>
      </c>
      <c r="I15">
        <v>1</v>
      </c>
      <c r="L15">
        <v>1</v>
      </c>
      <c r="U15">
        <v>1</v>
      </c>
      <c r="V15">
        <v>1</v>
      </c>
      <c r="Y15">
        <v>2</v>
      </c>
      <c r="AG15">
        <v>10</v>
      </c>
    </row>
    <row r="16" spans="1:33">
      <c r="A16" t="s">
        <v>58</v>
      </c>
      <c r="B16">
        <v>7</v>
      </c>
      <c r="E16">
        <v>2</v>
      </c>
      <c r="F16">
        <v>3</v>
      </c>
      <c r="G16">
        <v>6</v>
      </c>
      <c r="H16">
        <v>2</v>
      </c>
      <c r="I16">
        <v>7</v>
      </c>
      <c r="K16">
        <v>4</v>
      </c>
      <c r="L16">
        <v>5</v>
      </c>
      <c r="M16">
        <v>5</v>
      </c>
      <c r="O16">
        <v>1</v>
      </c>
      <c r="P16">
        <v>2</v>
      </c>
      <c r="S16">
        <v>1</v>
      </c>
      <c r="T16">
        <v>2</v>
      </c>
      <c r="U16">
        <v>3</v>
      </c>
      <c r="W16">
        <v>1</v>
      </c>
      <c r="Y16">
        <v>6</v>
      </c>
      <c r="AG16">
        <v>57</v>
      </c>
    </row>
    <row r="17" spans="1:33">
      <c r="A17" t="s">
        <v>193</v>
      </c>
      <c r="B17">
        <v>2</v>
      </c>
      <c r="D17">
        <v>2</v>
      </c>
      <c r="E17">
        <v>1</v>
      </c>
      <c r="F17">
        <v>2</v>
      </c>
      <c r="G17">
        <v>1</v>
      </c>
      <c r="H17">
        <v>2</v>
      </c>
      <c r="I17">
        <v>3</v>
      </c>
      <c r="M17">
        <v>1</v>
      </c>
      <c r="N17">
        <v>1</v>
      </c>
      <c r="O17">
        <v>1</v>
      </c>
      <c r="P17">
        <v>1</v>
      </c>
      <c r="S17">
        <v>1</v>
      </c>
      <c r="T17">
        <v>1</v>
      </c>
      <c r="U17">
        <v>4</v>
      </c>
      <c r="V17">
        <v>1</v>
      </c>
      <c r="Y17">
        <v>1</v>
      </c>
      <c r="AG17">
        <v>25</v>
      </c>
    </row>
    <row r="18" spans="1:33">
      <c r="A18" t="s">
        <v>121</v>
      </c>
      <c r="D18">
        <v>1</v>
      </c>
      <c r="K18">
        <v>2</v>
      </c>
      <c r="O18">
        <v>1</v>
      </c>
      <c r="Y18">
        <v>2</v>
      </c>
      <c r="AG18">
        <v>6</v>
      </c>
    </row>
    <row r="19" spans="1:33">
      <c r="A19" t="s">
        <v>80</v>
      </c>
      <c r="B19">
        <v>2</v>
      </c>
      <c r="F19">
        <v>1</v>
      </c>
      <c r="I19">
        <v>5</v>
      </c>
      <c r="K19">
        <v>2</v>
      </c>
      <c r="L19">
        <v>3</v>
      </c>
      <c r="M19">
        <v>3</v>
      </c>
      <c r="S19">
        <v>1</v>
      </c>
      <c r="T19">
        <v>2</v>
      </c>
      <c r="U19">
        <v>1</v>
      </c>
      <c r="W19">
        <v>4</v>
      </c>
      <c r="Y19">
        <v>1</v>
      </c>
      <c r="AG19">
        <v>25</v>
      </c>
    </row>
    <row r="20" spans="1:33">
      <c r="A20" t="s">
        <v>117</v>
      </c>
      <c r="B20">
        <v>1</v>
      </c>
      <c r="K20">
        <v>1</v>
      </c>
      <c r="T20">
        <v>1</v>
      </c>
      <c r="AG20">
        <v>3</v>
      </c>
    </row>
    <row r="21" spans="1:33">
      <c r="A21" t="s">
        <v>71</v>
      </c>
      <c r="D21">
        <v>1</v>
      </c>
      <c r="H21">
        <v>1</v>
      </c>
      <c r="N21">
        <v>1</v>
      </c>
      <c r="O21">
        <v>1</v>
      </c>
      <c r="P21">
        <v>3</v>
      </c>
      <c r="S21">
        <v>1</v>
      </c>
      <c r="T21">
        <v>1</v>
      </c>
      <c r="Y21">
        <v>1</v>
      </c>
      <c r="AG21">
        <v>10</v>
      </c>
    </row>
    <row r="22" spans="1:33">
      <c r="A22" t="s">
        <v>116</v>
      </c>
      <c r="B22">
        <v>2</v>
      </c>
      <c r="H22">
        <v>1</v>
      </c>
      <c r="P22">
        <v>1</v>
      </c>
      <c r="T22">
        <v>1</v>
      </c>
      <c r="AG22">
        <v>5</v>
      </c>
    </row>
    <row r="23" spans="1:33">
      <c r="A23" t="s">
        <v>122</v>
      </c>
      <c r="B23">
        <v>1</v>
      </c>
      <c r="F23">
        <v>2</v>
      </c>
      <c r="I23">
        <v>1</v>
      </c>
      <c r="K23">
        <v>3</v>
      </c>
      <c r="M23">
        <v>1</v>
      </c>
      <c r="N23">
        <v>1</v>
      </c>
      <c r="O23">
        <v>1</v>
      </c>
      <c r="T23">
        <v>1</v>
      </c>
      <c r="W23">
        <v>1</v>
      </c>
      <c r="Y23">
        <v>3</v>
      </c>
      <c r="AG23">
        <v>15</v>
      </c>
    </row>
    <row r="24" spans="1:33">
      <c r="A24" t="s">
        <v>123</v>
      </c>
      <c r="B24">
        <v>1</v>
      </c>
      <c r="F24">
        <v>1</v>
      </c>
      <c r="H24">
        <v>1</v>
      </c>
      <c r="I24">
        <v>3</v>
      </c>
      <c r="K24">
        <v>1</v>
      </c>
      <c r="M24">
        <v>1</v>
      </c>
      <c r="N24">
        <v>1</v>
      </c>
      <c r="S24">
        <v>1</v>
      </c>
      <c r="T24">
        <v>1</v>
      </c>
      <c r="U24">
        <v>1</v>
      </c>
      <c r="V24">
        <v>1</v>
      </c>
      <c r="W24">
        <v>2</v>
      </c>
      <c r="Y24">
        <v>3</v>
      </c>
      <c r="AG24">
        <v>18</v>
      </c>
    </row>
    <row r="25" spans="1:33">
      <c r="A25" t="s">
        <v>125</v>
      </c>
      <c r="B25">
        <v>1</v>
      </c>
      <c r="F25">
        <v>1</v>
      </c>
      <c r="H25">
        <v>1</v>
      </c>
      <c r="K25">
        <v>2</v>
      </c>
      <c r="M25">
        <v>1</v>
      </c>
      <c r="S25">
        <v>1</v>
      </c>
      <c r="T25">
        <v>1</v>
      </c>
      <c r="U25">
        <v>1</v>
      </c>
      <c r="V25">
        <v>1</v>
      </c>
      <c r="W25">
        <v>1</v>
      </c>
      <c r="Y25">
        <v>3</v>
      </c>
      <c r="AG25">
        <v>14</v>
      </c>
    </row>
    <row r="26" spans="1:33">
      <c r="A26" t="s">
        <v>126</v>
      </c>
      <c r="B26">
        <v>1</v>
      </c>
      <c r="D26">
        <v>1</v>
      </c>
      <c r="F26">
        <v>1</v>
      </c>
      <c r="I26">
        <v>1</v>
      </c>
      <c r="K26">
        <v>2</v>
      </c>
      <c r="M26">
        <v>1</v>
      </c>
      <c r="Y26">
        <v>3</v>
      </c>
      <c r="AG26">
        <v>10</v>
      </c>
    </row>
    <row r="27" spans="1:33">
      <c r="A27" t="s">
        <v>127</v>
      </c>
      <c r="B27">
        <v>1</v>
      </c>
      <c r="I27">
        <v>1</v>
      </c>
      <c r="K27">
        <v>1</v>
      </c>
      <c r="M27">
        <v>1</v>
      </c>
      <c r="S27">
        <v>1</v>
      </c>
      <c r="U27">
        <v>1</v>
      </c>
      <c r="V27">
        <v>1</v>
      </c>
      <c r="Y27">
        <v>3</v>
      </c>
      <c r="AG27">
        <v>10</v>
      </c>
    </row>
    <row r="28" spans="1:33">
      <c r="A28" t="s">
        <v>112</v>
      </c>
      <c r="B28">
        <v>4</v>
      </c>
      <c r="D28">
        <v>2</v>
      </c>
      <c r="E28">
        <v>2</v>
      </c>
      <c r="G28">
        <v>2</v>
      </c>
      <c r="H28">
        <v>1</v>
      </c>
      <c r="K28">
        <v>2</v>
      </c>
      <c r="M28">
        <v>1</v>
      </c>
      <c r="O28">
        <v>3</v>
      </c>
      <c r="P28">
        <v>1</v>
      </c>
      <c r="S28">
        <v>1</v>
      </c>
      <c r="T28">
        <v>1</v>
      </c>
      <c r="U28">
        <v>1</v>
      </c>
      <c r="Y28">
        <v>2</v>
      </c>
      <c r="AG28">
        <v>23</v>
      </c>
    </row>
    <row r="29" spans="1:33">
      <c r="A29" t="s">
        <v>458</v>
      </c>
      <c r="B29">
        <v>5</v>
      </c>
      <c r="D29">
        <v>1</v>
      </c>
      <c r="E29">
        <v>3</v>
      </c>
      <c r="F29">
        <v>1</v>
      </c>
      <c r="G29">
        <v>2</v>
      </c>
      <c r="I29">
        <v>5</v>
      </c>
      <c r="K29">
        <v>4</v>
      </c>
      <c r="L29">
        <v>2</v>
      </c>
      <c r="M29">
        <v>5</v>
      </c>
      <c r="N29">
        <v>2</v>
      </c>
      <c r="O29">
        <v>3</v>
      </c>
      <c r="S29">
        <v>3</v>
      </c>
      <c r="T29">
        <v>2</v>
      </c>
      <c r="U29">
        <v>1</v>
      </c>
      <c r="W29">
        <v>4</v>
      </c>
      <c r="Y29">
        <v>1</v>
      </c>
      <c r="AG29">
        <v>44</v>
      </c>
    </row>
    <row r="30" spans="1:33">
      <c r="A30" t="s">
        <v>199</v>
      </c>
      <c r="B30">
        <v>3</v>
      </c>
      <c r="E30">
        <v>1</v>
      </c>
      <c r="F30">
        <v>1</v>
      </c>
      <c r="G30">
        <v>1</v>
      </c>
      <c r="I30">
        <v>5</v>
      </c>
      <c r="K30">
        <v>3</v>
      </c>
      <c r="L30">
        <v>2</v>
      </c>
      <c r="M30">
        <v>4</v>
      </c>
      <c r="N30">
        <v>2</v>
      </c>
      <c r="O30">
        <v>2</v>
      </c>
      <c r="S30">
        <v>2</v>
      </c>
      <c r="T30">
        <v>2</v>
      </c>
      <c r="U30">
        <v>1</v>
      </c>
      <c r="W30">
        <v>4</v>
      </c>
      <c r="Y30">
        <v>2</v>
      </c>
      <c r="AG30">
        <v>35</v>
      </c>
    </row>
    <row r="31" spans="1:33">
      <c r="A31" t="s">
        <v>133</v>
      </c>
      <c r="B31">
        <v>1</v>
      </c>
      <c r="F31">
        <v>1</v>
      </c>
      <c r="H31">
        <v>1</v>
      </c>
      <c r="K31">
        <v>8</v>
      </c>
      <c r="L31">
        <v>1</v>
      </c>
      <c r="O31">
        <v>4</v>
      </c>
      <c r="S31">
        <v>1</v>
      </c>
      <c r="T31">
        <v>1</v>
      </c>
      <c r="U31">
        <v>1</v>
      </c>
      <c r="V31">
        <v>1</v>
      </c>
      <c r="Y31">
        <v>3</v>
      </c>
      <c r="AG31">
        <v>23</v>
      </c>
    </row>
    <row r="32" spans="1:33">
      <c r="A32" t="s">
        <v>110</v>
      </c>
      <c r="B32">
        <v>1</v>
      </c>
      <c r="H32">
        <v>2</v>
      </c>
      <c r="K32">
        <v>1</v>
      </c>
      <c r="L32">
        <v>3</v>
      </c>
      <c r="N32">
        <v>2</v>
      </c>
      <c r="T32">
        <v>1</v>
      </c>
      <c r="U32">
        <v>1</v>
      </c>
      <c r="Y32">
        <v>1</v>
      </c>
      <c r="AG32">
        <v>12</v>
      </c>
    </row>
    <row r="33" spans="1:33">
      <c r="A33" t="s">
        <v>101</v>
      </c>
      <c r="B33">
        <v>1</v>
      </c>
      <c r="AG33">
        <v>1</v>
      </c>
    </row>
    <row r="34" spans="1:33">
      <c r="A34" t="s">
        <v>473</v>
      </c>
      <c r="B34">
        <v>1</v>
      </c>
      <c r="D34">
        <v>1</v>
      </c>
      <c r="E34">
        <v>2</v>
      </c>
      <c r="F34">
        <v>17</v>
      </c>
      <c r="G34">
        <v>1</v>
      </c>
      <c r="I34">
        <v>2</v>
      </c>
      <c r="K34">
        <v>1</v>
      </c>
      <c r="L34">
        <v>2</v>
      </c>
      <c r="M34">
        <v>1</v>
      </c>
      <c r="S34">
        <v>5</v>
      </c>
      <c r="T34">
        <v>2</v>
      </c>
      <c r="U34">
        <v>2</v>
      </c>
      <c r="W34">
        <v>1</v>
      </c>
      <c r="Y34">
        <v>6</v>
      </c>
      <c r="AG34">
        <v>44</v>
      </c>
    </row>
    <row r="35" spans="1:33">
      <c r="A35" t="s">
        <v>78</v>
      </c>
      <c r="B35">
        <v>3</v>
      </c>
      <c r="D35">
        <v>3</v>
      </c>
      <c r="E35">
        <v>3</v>
      </c>
      <c r="F35">
        <v>31</v>
      </c>
      <c r="G35">
        <v>1</v>
      </c>
      <c r="H35">
        <v>1</v>
      </c>
      <c r="I35">
        <v>6</v>
      </c>
      <c r="K35">
        <v>2</v>
      </c>
      <c r="L35">
        <v>5</v>
      </c>
      <c r="M35">
        <v>3</v>
      </c>
      <c r="P35">
        <v>1</v>
      </c>
      <c r="S35">
        <v>8</v>
      </c>
      <c r="T35">
        <v>4</v>
      </c>
      <c r="U35">
        <v>3</v>
      </c>
      <c r="V35">
        <v>1</v>
      </c>
      <c r="W35">
        <v>1</v>
      </c>
      <c r="Y35">
        <v>9</v>
      </c>
      <c r="AG35">
        <v>85</v>
      </c>
    </row>
    <row r="36" spans="1:33">
      <c r="A36" t="s">
        <v>167</v>
      </c>
      <c r="B36">
        <v>8</v>
      </c>
      <c r="D36">
        <v>10</v>
      </c>
      <c r="E36">
        <v>16</v>
      </c>
      <c r="F36">
        <v>17</v>
      </c>
      <c r="G36">
        <v>16</v>
      </c>
      <c r="H36">
        <v>4</v>
      </c>
      <c r="I36">
        <v>2</v>
      </c>
      <c r="K36">
        <v>8</v>
      </c>
      <c r="L36">
        <v>24</v>
      </c>
      <c r="M36">
        <v>15</v>
      </c>
      <c r="N36">
        <v>1</v>
      </c>
      <c r="S36">
        <v>15</v>
      </c>
      <c r="T36">
        <v>13</v>
      </c>
      <c r="U36">
        <v>5</v>
      </c>
      <c r="V36">
        <v>18</v>
      </c>
      <c r="W36">
        <v>1</v>
      </c>
      <c r="Y36">
        <v>23</v>
      </c>
      <c r="AG36">
        <v>196</v>
      </c>
    </row>
    <row r="37" spans="1:33">
      <c r="A37" t="s">
        <v>39</v>
      </c>
      <c r="B37">
        <v>8</v>
      </c>
      <c r="D37">
        <v>10</v>
      </c>
      <c r="E37">
        <v>16</v>
      </c>
      <c r="F37">
        <v>17</v>
      </c>
      <c r="G37">
        <v>16</v>
      </c>
      <c r="H37">
        <v>4</v>
      </c>
      <c r="I37">
        <v>2</v>
      </c>
      <c r="K37">
        <v>8</v>
      </c>
      <c r="L37">
        <v>23</v>
      </c>
      <c r="M37">
        <v>15</v>
      </c>
      <c r="N37">
        <v>1</v>
      </c>
      <c r="S37">
        <v>15</v>
      </c>
      <c r="T37">
        <v>12</v>
      </c>
      <c r="U37">
        <v>5</v>
      </c>
      <c r="V37">
        <v>18</v>
      </c>
      <c r="W37">
        <v>1</v>
      </c>
      <c r="Y37">
        <v>23</v>
      </c>
      <c r="AG37">
        <v>194</v>
      </c>
    </row>
    <row r="38" spans="1:33">
      <c r="A38" t="s">
        <v>32</v>
      </c>
      <c r="B38">
        <v>9</v>
      </c>
      <c r="D38">
        <v>14</v>
      </c>
      <c r="E38">
        <v>87</v>
      </c>
      <c r="F38">
        <v>17</v>
      </c>
      <c r="G38">
        <v>16</v>
      </c>
      <c r="H38">
        <v>5</v>
      </c>
      <c r="I38">
        <v>2</v>
      </c>
      <c r="K38">
        <v>8</v>
      </c>
      <c r="L38">
        <v>24</v>
      </c>
      <c r="M38">
        <v>15</v>
      </c>
      <c r="N38">
        <v>1</v>
      </c>
      <c r="O38">
        <v>7</v>
      </c>
      <c r="S38">
        <v>16</v>
      </c>
      <c r="T38">
        <v>13</v>
      </c>
      <c r="U38">
        <v>6</v>
      </c>
      <c r="V38">
        <v>18</v>
      </c>
      <c r="W38">
        <v>1</v>
      </c>
      <c r="Y38">
        <v>24</v>
      </c>
      <c r="AG38">
        <v>283</v>
      </c>
    </row>
    <row r="39" spans="1:33">
      <c r="A39" t="s">
        <v>34</v>
      </c>
      <c r="B39">
        <v>13</v>
      </c>
      <c r="D39">
        <v>12</v>
      </c>
      <c r="E39">
        <v>22</v>
      </c>
      <c r="F39">
        <v>18</v>
      </c>
      <c r="G39">
        <v>28</v>
      </c>
      <c r="H39">
        <v>4</v>
      </c>
      <c r="I39">
        <v>10</v>
      </c>
      <c r="K39">
        <v>16</v>
      </c>
      <c r="L39">
        <v>32</v>
      </c>
      <c r="M39">
        <v>15</v>
      </c>
      <c r="N39">
        <v>2</v>
      </c>
      <c r="O39">
        <v>1</v>
      </c>
      <c r="P39">
        <v>3</v>
      </c>
      <c r="S39">
        <v>15</v>
      </c>
      <c r="T39">
        <v>12</v>
      </c>
      <c r="U39">
        <v>5</v>
      </c>
      <c r="V39">
        <v>18</v>
      </c>
      <c r="W39">
        <v>1</v>
      </c>
      <c r="Y39">
        <v>26</v>
      </c>
      <c r="AG39">
        <v>253</v>
      </c>
    </row>
    <row r="40" spans="1:33">
      <c r="A40" t="s">
        <v>33</v>
      </c>
      <c r="B40">
        <v>13</v>
      </c>
      <c r="D40">
        <v>12</v>
      </c>
      <c r="E40">
        <v>22</v>
      </c>
      <c r="F40">
        <v>18</v>
      </c>
      <c r="G40">
        <v>28</v>
      </c>
      <c r="H40">
        <v>4</v>
      </c>
      <c r="I40">
        <v>10</v>
      </c>
      <c r="K40">
        <v>16</v>
      </c>
      <c r="L40">
        <v>32</v>
      </c>
      <c r="M40">
        <v>15</v>
      </c>
      <c r="N40">
        <v>2</v>
      </c>
      <c r="O40">
        <v>1</v>
      </c>
      <c r="P40">
        <v>3</v>
      </c>
      <c r="S40">
        <v>15</v>
      </c>
      <c r="T40">
        <v>12</v>
      </c>
      <c r="U40">
        <v>5</v>
      </c>
      <c r="V40">
        <v>18</v>
      </c>
      <c r="W40">
        <v>1</v>
      </c>
      <c r="Y40">
        <v>26</v>
      </c>
      <c r="AG40">
        <v>253</v>
      </c>
    </row>
    <row r="41" spans="1:33">
      <c r="A41" t="s">
        <v>40</v>
      </c>
      <c r="D41">
        <v>1</v>
      </c>
      <c r="E41">
        <v>1</v>
      </c>
      <c r="L41">
        <v>2</v>
      </c>
      <c r="U41">
        <v>1</v>
      </c>
      <c r="Y41">
        <v>1</v>
      </c>
      <c r="AG41">
        <v>6</v>
      </c>
    </row>
    <row r="42" spans="1:33">
      <c r="A42" t="s">
        <v>50</v>
      </c>
      <c r="B42">
        <v>2</v>
      </c>
      <c r="D42">
        <v>1</v>
      </c>
      <c r="E42">
        <v>2</v>
      </c>
      <c r="F42">
        <v>17</v>
      </c>
      <c r="G42">
        <v>1</v>
      </c>
      <c r="I42">
        <v>2</v>
      </c>
      <c r="K42">
        <v>1</v>
      </c>
      <c r="L42">
        <v>2</v>
      </c>
      <c r="M42">
        <v>1</v>
      </c>
      <c r="O42">
        <v>1</v>
      </c>
      <c r="S42">
        <v>5</v>
      </c>
      <c r="T42">
        <v>2</v>
      </c>
      <c r="U42">
        <v>2</v>
      </c>
      <c r="W42">
        <v>1</v>
      </c>
      <c r="Y42">
        <v>6</v>
      </c>
      <c r="AG42">
        <v>46</v>
      </c>
    </row>
    <row r="43" spans="1:33">
      <c r="A43" t="s">
        <v>30</v>
      </c>
      <c r="B43">
        <v>2</v>
      </c>
      <c r="D43">
        <v>1</v>
      </c>
      <c r="E43">
        <v>3</v>
      </c>
      <c r="F43">
        <v>18</v>
      </c>
      <c r="G43">
        <v>1</v>
      </c>
      <c r="H43">
        <v>1</v>
      </c>
      <c r="I43">
        <v>2</v>
      </c>
      <c r="K43">
        <v>1</v>
      </c>
      <c r="L43">
        <v>3</v>
      </c>
      <c r="M43">
        <v>1</v>
      </c>
      <c r="O43">
        <v>1</v>
      </c>
      <c r="S43">
        <v>5</v>
      </c>
      <c r="T43">
        <v>2</v>
      </c>
      <c r="U43">
        <v>2</v>
      </c>
      <c r="W43">
        <v>1</v>
      </c>
      <c r="Y43">
        <v>6</v>
      </c>
      <c r="AG43">
        <v>50</v>
      </c>
    </row>
    <row r="44" spans="1:33">
      <c r="A44" t="s">
        <v>41</v>
      </c>
      <c r="B44">
        <v>13</v>
      </c>
      <c r="D44">
        <v>13</v>
      </c>
      <c r="E44">
        <v>21</v>
      </c>
      <c r="F44">
        <v>1</v>
      </c>
      <c r="G44">
        <v>22</v>
      </c>
      <c r="H44">
        <v>4</v>
      </c>
      <c r="I44">
        <v>9</v>
      </c>
      <c r="K44">
        <v>14</v>
      </c>
      <c r="L44">
        <v>27</v>
      </c>
      <c r="M44">
        <v>15</v>
      </c>
      <c r="N44">
        <v>26</v>
      </c>
      <c r="O44">
        <v>1</v>
      </c>
      <c r="P44">
        <v>3</v>
      </c>
      <c r="S44">
        <v>14</v>
      </c>
      <c r="T44">
        <v>11</v>
      </c>
      <c r="U44">
        <v>3</v>
      </c>
      <c r="V44">
        <v>18</v>
      </c>
      <c r="W44">
        <v>3</v>
      </c>
      <c r="Y44">
        <v>26</v>
      </c>
      <c r="AG44">
        <v>244</v>
      </c>
    </row>
    <row r="45" spans="1:33">
      <c r="A45" t="s">
        <v>37</v>
      </c>
      <c r="B45">
        <v>7</v>
      </c>
      <c r="D45">
        <v>4</v>
      </c>
      <c r="E45">
        <v>8</v>
      </c>
      <c r="F45">
        <v>17</v>
      </c>
      <c r="G45">
        <v>8</v>
      </c>
      <c r="I45">
        <v>10</v>
      </c>
      <c r="K45">
        <v>11</v>
      </c>
      <c r="L45">
        <v>14</v>
      </c>
      <c r="M45">
        <v>1</v>
      </c>
      <c r="N45">
        <v>54</v>
      </c>
      <c r="O45">
        <v>1</v>
      </c>
      <c r="P45">
        <v>3</v>
      </c>
      <c r="S45">
        <v>5</v>
      </c>
      <c r="T45">
        <v>2</v>
      </c>
      <c r="U45">
        <v>2</v>
      </c>
      <c r="W45">
        <v>1</v>
      </c>
      <c r="Y45">
        <v>7</v>
      </c>
      <c r="AG45">
        <v>155</v>
      </c>
    </row>
    <row r="46" spans="1:33">
      <c r="A46" t="s">
        <v>42</v>
      </c>
      <c r="B46">
        <v>6</v>
      </c>
      <c r="D46">
        <v>3</v>
      </c>
      <c r="E46">
        <v>6</v>
      </c>
      <c r="G46">
        <v>9</v>
      </c>
      <c r="I46">
        <v>8</v>
      </c>
      <c r="K46">
        <v>7</v>
      </c>
      <c r="L46">
        <v>11</v>
      </c>
      <c r="N46">
        <v>54</v>
      </c>
      <c r="O46">
        <v>1</v>
      </c>
      <c r="P46">
        <v>3</v>
      </c>
      <c r="Y46">
        <v>1</v>
      </c>
      <c r="AG46">
        <v>109</v>
      </c>
    </row>
    <row r="47" spans="1:33">
      <c r="A47" t="s">
        <v>43</v>
      </c>
      <c r="B47">
        <v>5</v>
      </c>
      <c r="D47">
        <v>3</v>
      </c>
      <c r="E47">
        <v>6</v>
      </c>
      <c r="G47">
        <v>8</v>
      </c>
      <c r="I47">
        <v>8</v>
      </c>
      <c r="K47">
        <v>7</v>
      </c>
      <c r="L47">
        <v>9</v>
      </c>
      <c r="N47">
        <v>54</v>
      </c>
      <c r="O47">
        <v>1</v>
      </c>
      <c r="P47">
        <v>3</v>
      </c>
      <c r="Y47">
        <v>1</v>
      </c>
      <c r="AG47">
        <v>105</v>
      </c>
    </row>
    <row r="48" spans="1:33">
      <c r="A48" t="s">
        <v>51</v>
      </c>
      <c r="B48">
        <v>6</v>
      </c>
      <c r="D48">
        <v>3</v>
      </c>
      <c r="E48">
        <v>6</v>
      </c>
      <c r="G48">
        <v>8</v>
      </c>
      <c r="I48">
        <v>8</v>
      </c>
      <c r="K48">
        <v>10</v>
      </c>
      <c r="L48">
        <v>12</v>
      </c>
      <c r="N48">
        <v>54</v>
      </c>
      <c r="O48">
        <v>1</v>
      </c>
      <c r="P48">
        <v>3</v>
      </c>
      <c r="Y48">
        <v>1</v>
      </c>
      <c r="AG48">
        <v>112</v>
      </c>
    </row>
    <row r="49" spans="1:33">
      <c r="A49" t="s">
        <v>470</v>
      </c>
      <c r="D49">
        <v>1</v>
      </c>
      <c r="E49">
        <v>1</v>
      </c>
      <c r="F49">
        <v>1</v>
      </c>
      <c r="G49">
        <v>3</v>
      </c>
      <c r="H49">
        <v>1</v>
      </c>
      <c r="K49">
        <v>1</v>
      </c>
      <c r="L49">
        <v>4</v>
      </c>
      <c r="O49">
        <v>3</v>
      </c>
      <c r="T49">
        <v>1</v>
      </c>
      <c r="AG49">
        <v>16</v>
      </c>
    </row>
    <row r="50" spans="1:33">
      <c r="A50" t="s">
        <v>77</v>
      </c>
      <c r="B50">
        <v>1</v>
      </c>
      <c r="D50">
        <v>1</v>
      </c>
      <c r="E50">
        <v>2</v>
      </c>
      <c r="F50">
        <v>17</v>
      </c>
      <c r="G50">
        <v>1</v>
      </c>
      <c r="I50">
        <v>2</v>
      </c>
      <c r="K50">
        <v>1</v>
      </c>
      <c r="L50">
        <v>2</v>
      </c>
      <c r="M50">
        <v>1</v>
      </c>
      <c r="S50">
        <v>5</v>
      </c>
      <c r="T50">
        <v>2</v>
      </c>
      <c r="U50">
        <v>2</v>
      </c>
      <c r="W50">
        <v>1</v>
      </c>
      <c r="Y50">
        <v>6</v>
      </c>
      <c r="AG50">
        <v>44</v>
      </c>
    </row>
    <row r="51" spans="1:33">
      <c r="A51" t="s">
        <v>170</v>
      </c>
      <c r="B51">
        <v>1</v>
      </c>
      <c r="D51">
        <v>1</v>
      </c>
      <c r="E51">
        <v>2</v>
      </c>
      <c r="F51">
        <v>1</v>
      </c>
      <c r="I51">
        <v>2</v>
      </c>
      <c r="K51">
        <v>1</v>
      </c>
      <c r="S51">
        <v>5</v>
      </c>
      <c r="Y51">
        <v>6</v>
      </c>
      <c r="AG51">
        <v>19</v>
      </c>
    </row>
    <row r="52" spans="1:33">
      <c r="A52" t="s">
        <v>45</v>
      </c>
      <c r="B52">
        <v>2</v>
      </c>
      <c r="D52">
        <v>1</v>
      </c>
      <c r="E52">
        <v>2</v>
      </c>
      <c r="F52">
        <v>17</v>
      </c>
      <c r="G52">
        <v>1</v>
      </c>
      <c r="H52">
        <v>1</v>
      </c>
      <c r="I52">
        <v>2</v>
      </c>
      <c r="K52">
        <v>1</v>
      </c>
      <c r="L52">
        <v>2</v>
      </c>
      <c r="M52">
        <v>1</v>
      </c>
      <c r="O52">
        <v>1</v>
      </c>
      <c r="S52">
        <v>5</v>
      </c>
      <c r="T52">
        <v>3</v>
      </c>
      <c r="U52">
        <v>2</v>
      </c>
      <c r="W52">
        <v>1</v>
      </c>
      <c r="Y52">
        <v>6</v>
      </c>
      <c r="AG52">
        <v>48</v>
      </c>
    </row>
    <row r="53" spans="1:33">
      <c r="A53" t="s">
        <v>52</v>
      </c>
      <c r="B53">
        <v>14</v>
      </c>
      <c r="D53">
        <v>14</v>
      </c>
      <c r="E53">
        <v>23</v>
      </c>
      <c r="F53">
        <v>36</v>
      </c>
      <c r="G53">
        <v>34</v>
      </c>
      <c r="H53">
        <v>4</v>
      </c>
      <c r="I53">
        <v>12</v>
      </c>
      <c r="K53">
        <v>20</v>
      </c>
      <c r="L53">
        <v>35</v>
      </c>
      <c r="M53">
        <v>16</v>
      </c>
      <c r="N53">
        <v>56</v>
      </c>
      <c r="O53">
        <v>1</v>
      </c>
      <c r="P53">
        <v>3</v>
      </c>
      <c r="S53">
        <v>20</v>
      </c>
      <c r="T53">
        <v>14</v>
      </c>
      <c r="U53">
        <v>7</v>
      </c>
      <c r="V53">
        <v>19</v>
      </c>
      <c r="W53">
        <v>2</v>
      </c>
      <c r="Y53">
        <v>32</v>
      </c>
      <c r="AG53">
        <v>362</v>
      </c>
    </row>
    <row r="54" spans="1:33">
      <c r="A54" t="s">
        <v>38</v>
      </c>
      <c r="B54">
        <v>13</v>
      </c>
      <c r="D54">
        <v>13</v>
      </c>
      <c r="E54">
        <v>21</v>
      </c>
      <c r="F54">
        <v>19</v>
      </c>
      <c r="G54">
        <v>33</v>
      </c>
      <c r="H54">
        <v>4</v>
      </c>
      <c r="I54">
        <v>10</v>
      </c>
      <c r="K54">
        <v>18</v>
      </c>
      <c r="L54">
        <v>34</v>
      </c>
      <c r="M54">
        <v>15</v>
      </c>
      <c r="N54">
        <v>56</v>
      </c>
      <c r="O54">
        <v>1</v>
      </c>
      <c r="P54">
        <v>3</v>
      </c>
      <c r="S54">
        <v>15</v>
      </c>
      <c r="T54">
        <v>12</v>
      </c>
      <c r="U54">
        <v>5</v>
      </c>
      <c r="V54">
        <v>19</v>
      </c>
      <c r="W54">
        <v>1</v>
      </c>
      <c r="Y54">
        <v>26</v>
      </c>
      <c r="AG54">
        <v>318</v>
      </c>
    </row>
    <row r="55" spans="1:33">
      <c r="A55" t="s">
        <v>53</v>
      </c>
      <c r="B55">
        <v>6</v>
      </c>
      <c r="D55">
        <v>3</v>
      </c>
      <c r="E55">
        <v>3</v>
      </c>
      <c r="G55">
        <v>6</v>
      </c>
      <c r="I55">
        <v>8</v>
      </c>
      <c r="K55">
        <v>6</v>
      </c>
      <c r="L55">
        <v>5</v>
      </c>
      <c r="N55">
        <v>2</v>
      </c>
      <c r="O55">
        <v>1</v>
      </c>
      <c r="P55">
        <v>3</v>
      </c>
      <c r="Y55">
        <v>1</v>
      </c>
      <c r="AG55">
        <v>44</v>
      </c>
    </row>
    <row r="56" spans="1:33">
      <c r="A56" t="s">
        <v>36</v>
      </c>
      <c r="D56">
        <v>2</v>
      </c>
      <c r="E56">
        <v>2</v>
      </c>
      <c r="F56">
        <v>3</v>
      </c>
      <c r="I56">
        <v>1</v>
      </c>
      <c r="K56">
        <v>2</v>
      </c>
      <c r="M56">
        <v>1</v>
      </c>
      <c r="N56">
        <v>1</v>
      </c>
      <c r="O56">
        <v>1</v>
      </c>
      <c r="P56">
        <v>1</v>
      </c>
      <c r="T56">
        <v>1</v>
      </c>
      <c r="AG56">
        <v>15</v>
      </c>
    </row>
    <row r="57" spans="1:33">
      <c r="A57" t="s">
        <v>47</v>
      </c>
      <c r="B57">
        <v>1</v>
      </c>
      <c r="D57">
        <v>2</v>
      </c>
      <c r="F57">
        <v>1</v>
      </c>
      <c r="G57">
        <v>1</v>
      </c>
      <c r="I57">
        <v>1</v>
      </c>
      <c r="M57">
        <v>1</v>
      </c>
      <c r="N57">
        <v>1</v>
      </c>
      <c r="V57">
        <v>1</v>
      </c>
      <c r="W57">
        <v>1</v>
      </c>
      <c r="AG57">
        <v>10</v>
      </c>
    </row>
    <row r="58" spans="1:33">
      <c r="A58" t="s">
        <v>48</v>
      </c>
      <c r="B58">
        <v>2</v>
      </c>
      <c r="D58">
        <v>2</v>
      </c>
      <c r="E58">
        <v>2</v>
      </c>
      <c r="F58">
        <v>17</v>
      </c>
      <c r="G58">
        <v>1</v>
      </c>
      <c r="I58">
        <v>2</v>
      </c>
      <c r="K58">
        <v>1</v>
      </c>
      <c r="L58">
        <v>2</v>
      </c>
      <c r="M58">
        <v>1</v>
      </c>
      <c r="O58">
        <v>1</v>
      </c>
      <c r="S58">
        <v>5</v>
      </c>
      <c r="T58">
        <v>4</v>
      </c>
      <c r="U58">
        <v>2</v>
      </c>
      <c r="W58">
        <v>1</v>
      </c>
      <c r="Y58">
        <v>6</v>
      </c>
      <c r="AG58">
        <v>49</v>
      </c>
    </row>
    <row r="59" spans="1:33">
      <c r="A59" t="s">
        <v>35</v>
      </c>
      <c r="B59">
        <v>2</v>
      </c>
      <c r="D59">
        <v>2</v>
      </c>
      <c r="E59">
        <v>3</v>
      </c>
      <c r="F59">
        <v>18</v>
      </c>
      <c r="G59">
        <v>1</v>
      </c>
      <c r="I59">
        <v>3</v>
      </c>
      <c r="K59">
        <v>2</v>
      </c>
      <c r="L59">
        <v>2</v>
      </c>
      <c r="M59">
        <v>1</v>
      </c>
      <c r="S59">
        <v>5</v>
      </c>
      <c r="T59">
        <v>2</v>
      </c>
      <c r="U59">
        <v>2</v>
      </c>
      <c r="W59">
        <v>1</v>
      </c>
      <c r="Y59">
        <v>7</v>
      </c>
      <c r="AG59">
        <v>51</v>
      </c>
    </row>
    <row r="60" spans="1:33">
      <c r="A60" t="s">
        <v>46</v>
      </c>
      <c r="B60">
        <v>2</v>
      </c>
      <c r="D60">
        <v>2</v>
      </c>
      <c r="E60">
        <v>3</v>
      </c>
      <c r="F60">
        <v>18</v>
      </c>
      <c r="G60">
        <v>1</v>
      </c>
      <c r="I60">
        <v>3</v>
      </c>
      <c r="K60">
        <v>2</v>
      </c>
      <c r="L60">
        <v>2</v>
      </c>
      <c r="M60">
        <v>1</v>
      </c>
      <c r="S60">
        <v>5</v>
      </c>
      <c r="T60">
        <v>2</v>
      </c>
      <c r="U60">
        <v>2</v>
      </c>
      <c r="W60">
        <v>1</v>
      </c>
      <c r="Y60">
        <v>7</v>
      </c>
      <c r="AG60">
        <v>51</v>
      </c>
    </row>
    <row r="61" spans="1:33">
      <c r="A61" t="s">
        <v>67</v>
      </c>
      <c r="D61">
        <v>3</v>
      </c>
      <c r="E61">
        <v>1</v>
      </c>
      <c r="F61">
        <v>5</v>
      </c>
      <c r="H61">
        <v>4</v>
      </c>
      <c r="K61">
        <v>1</v>
      </c>
      <c r="L61">
        <v>3</v>
      </c>
      <c r="M61">
        <v>1</v>
      </c>
      <c r="N61">
        <v>3</v>
      </c>
      <c r="O61">
        <v>1</v>
      </c>
      <c r="S61">
        <v>3</v>
      </c>
      <c r="T61">
        <v>2</v>
      </c>
      <c r="Y61">
        <v>3</v>
      </c>
      <c r="AG61">
        <v>30</v>
      </c>
    </row>
    <row r="62" spans="1:33">
      <c r="A62" t="s">
        <v>108</v>
      </c>
      <c r="B62">
        <v>3</v>
      </c>
      <c r="D62">
        <v>3</v>
      </c>
      <c r="F62">
        <v>3</v>
      </c>
      <c r="G62">
        <v>3</v>
      </c>
      <c r="H62">
        <v>1</v>
      </c>
      <c r="I62">
        <v>1</v>
      </c>
      <c r="K62">
        <v>2</v>
      </c>
      <c r="L62">
        <v>2</v>
      </c>
      <c r="M62">
        <v>2</v>
      </c>
      <c r="N62">
        <v>1</v>
      </c>
      <c r="O62">
        <v>3</v>
      </c>
      <c r="P62">
        <v>1</v>
      </c>
      <c r="S62">
        <v>1</v>
      </c>
      <c r="T62">
        <v>1</v>
      </c>
      <c r="U62">
        <v>1</v>
      </c>
      <c r="W62">
        <v>2</v>
      </c>
      <c r="Y62">
        <v>3</v>
      </c>
      <c r="AG62">
        <v>33</v>
      </c>
    </row>
    <row r="63" spans="1:33">
      <c r="A63" t="s">
        <v>462</v>
      </c>
      <c r="B63">
        <v>2</v>
      </c>
      <c r="D63">
        <v>8</v>
      </c>
      <c r="E63">
        <v>3</v>
      </c>
      <c r="F63">
        <v>3</v>
      </c>
      <c r="G63">
        <v>3</v>
      </c>
      <c r="H63">
        <v>3</v>
      </c>
      <c r="I63">
        <v>9</v>
      </c>
      <c r="K63">
        <v>18</v>
      </c>
      <c r="L63">
        <v>6</v>
      </c>
      <c r="M63">
        <v>5</v>
      </c>
      <c r="N63">
        <v>3</v>
      </c>
      <c r="O63">
        <v>3</v>
      </c>
      <c r="P63">
        <v>3</v>
      </c>
      <c r="S63">
        <v>9</v>
      </c>
      <c r="T63">
        <v>3</v>
      </c>
      <c r="U63">
        <v>6</v>
      </c>
      <c r="V63">
        <v>8</v>
      </c>
      <c r="W63">
        <v>3</v>
      </c>
      <c r="Y63">
        <v>11</v>
      </c>
      <c r="AG63">
        <v>109</v>
      </c>
    </row>
    <row r="64" spans="1:33">
      <c r="A64" t="s">
        <v>129</v>
      </c>
      <c r="B64">
        <v>1</v>
      </c>
      <c r="D64">
        <v>3</v>
      </c>
      <c r="F64">
        <v>3</v>
      </c>
      <c r="G64">
        <v>2</v>
      </c>
      <c r="H64">
        <v>1</v>
      </c>
      <c r="I64">
        <v>1</v>
      </c>
      <c r="K64">
        <v>3</v>
      </c>
      <c r="L64">
        <v>1</v>
      </c>
      <c r="M64">
        <v>4</v>
      </c>
      <c r="N64">
        <v>1</v>
      </c>
      <c r="O64">
        <v>2</v>
      </c>
      <c r="P64">
        <v>1</v>
      </c>
      <c r="S64">
        <v>5</v>
      </c>
      <c r="T64">
        <v>3</v>
      </c>
      <c r="U64">
        <v>3</v>
      </c>
      <c r="V64">
        <v>1</v>
      </c>
      <c r="W64">
        <v>1</v>
      </c>
      <c r="Y64">
        <v>6</v>
      </c>
      <c r="AG64">
        <v>42</v>
      </c>
    </row>
    <row r="65" spans="1:33">
      <c r="A65" t="s">
        <v>118</v>
      </c>
      <c r="B65">
        <v>2</v>
      </c>
      <c r="F65">
        <v>2</v>
      </c>
      <c r="I65">
        <v>2</v>
      </c>
      <c r="K65">
        <v>1</v>
      </c>
      <c r="O65">
        <v>1</v>
      </c>
      <c r="P65">
        <v>2</v>
      </c>
      <c r="S65">
        <v>2</v>
      </c>
      <c r="T65">
        <v>1</v>
      </c>
      <c r="U65">
        <v>1</v>
      </c>
      <c r="V65">
        <v>1</v>
      </c>
      <c r="Y65">
        <v>2</v>
      </c>
      <c r="AG65">
        <v>17</v>
      </c>
    </row>
    <row r="66" spans="1:33">
      <c r="A66" t="s">
        <v>130</v>
      </c>
      <c r="B66">
        <v>1</v>
      </c>
      <c r="D66">
        <v>2</v>
      </c>
      <c r="E66">
        <v>2</v>
      </c>
      <c r="F66">
        <v>1</v>
      </c>
      <c r="M66">
        <v>2</v>
      </c>
      <c r="P66">
        <v>1</v>
      </c>
      <c r="S66">
        <v>1</v>
      </c>
      <c r="U66">
        <v>1</v>
      </c>
      <c r="V66">
        <v>2</v>
      </c>
      <c r="AG66">
        <v>13</v>
      </c>
    </row>
    <row r="67" spans="1:33">
      <c r="A67" t="s">
        <v>104</v>
      </c>
      <c r="B67">
        <v>2</v>
      </c>
      <c r="D67">
        <v>2</v>
      </c>
      <c r="E67">
        <v>1</v>
      </c>
      <c r="F67">
        <v>1</v>
      </c>
      <c r="G67">
        <v>1</v>
      </c>
      <c r="H67">
        <v>1</v>
      </c>
      <c r="I67">
        <v>3</v>
      </c>
      <c r="L67">
        <v>1</v>
      </c>
      <c r="M67">
        <v>2</v>
      </c>
      <c r="N67">
        <v>1</v>
      </c>
      <c r="O67">
        <v>2</v>
      </c>
      <c r="P67">
        <v>2</v>
      </c>
      <c r="S67">
        <v>2</v>
      </c>
      <c r="T67">
        <v>1</v>
      </c>
      <c r="U67">
        <v>2</v>
      </c>
      <c r="AG67">
        <v>24</v>
      </c>
    </row>
    <row r="68" spans="1:33">
      <c r="A68" t="s">
        <v>103</v>
      </c>
      <c r="B68">
        <v>2</v>
      </c>
      <c r="D68">
        <v>1</v>
      </c>
      <c r="E68">
        <v>1</v>
      </c>
      <c r="I68">
        <v>1</v>
      </c>
      <c r="L68">
        <v>1</v>
      </c>
      <c r="M68">
        <v>2</v>
      </c>
      <c r="O68">
        <v>1</v>
      </c>
      <c r="P68">
        <v>1</v>
      </c>
      <c r="S68">
        <v>1</v>
      </c>
      <c r="AG68">
        <v>11</v>
      </c>
    </row>
    <row r="69" spans="1:33">
      <c r="A69" t="s">
        <v>113</v>
      </c>
      <c r="D69">
        <v>1</v>
      </c>
      <c r="F69">
        <v>2</v>
      </c>
      <c r="G69">
        <v>1</v>
      </c>
      <c r="H69">
        <v>1</v>
      </c>
      <c r="I69">
        <v>3</v>
      </c>
      <c r="N69">
        <v>1</v>
      </c>
      <c r="O69">
        <v>1</v>
      </c>
      <c r="P69">
        <v>1</v>
      </c>
      <c r="S69">
        <v>2</v>
      </c>
      <c r="T69">
        <v>1</v>
      </c>
      <c r="U69">
        <v>2</v>
      </c>
      <c r="AG69">
        <v>16</v>
      </c>
    </row>
    <row r="70" spans="1:33">
      <c r="A70" t="s">
        <v>102</v>
      </c>
      <c r="B70">
        <v>1</v>
      </c>
      <c r="D70">
        <v>2</v>
      </c>
      <c r="E70">
        <v>1</v>
      </c>
      <c r="F70">
        <v>1</v>
      </c>
      <c r="I70">
        <v>1</v>
      </c>
      <c r="L70">
        <v>2</v>
      </c>
      <c r="M70">
        <v>1</v>
      </c>
      <c r="O70">
        <v>1</v>
      </c>
      <c r="P70">
        <v>1</v>
      </c>
      <c r="S70">
        <v>1</v>
      </c>
      <c r="T70">
        <v>1</v>
      </c>
      <c r="U70">
        <v>1</v>
      </c>
      <c r="V70">
        <v>2</v>
      </c>
      <c r="W70">
        <v>2</v>
      </c>
      <c r="AG70">
        <v>18</v>
      </c>
    </row>
    <row r="71" spans="1:33">
      <c r="A71" t="s">
        <v>85</v>
      </c>
      <c r="B71">
        <v>1</v>
      </c>
      <c r="G71">
        <v>1</v>
      </c>
      <c r="O71">
        <v>2</v>
      </c>
      <c r="T71">
        <v>1</v>
      </c>
      <c r="V71">
        <v>3</v>
      </c>
      <c r="AG71">
        <v>8</v>
      </c>
    </row>
    <row r="72" spans="1:33">
      <c r="A72" t="s">
        <v>107</v>
      </c>
      <c r="B72">
        <v>2</v>
      </c>
      <c r="D72">
        <v>2</v>
      </c>
      <c r="E72">
        <v>1</v>
      </c>
      <c r="F72">
        <v>11</v>
      </c>
      <c r="G72">
        <v>3</v>
      </c>
      <c r="I72">
        <v>4</v>
      </c>
      <c r="K72">
        <v>4</v>
      </c>
      <c r="L72">
        <v>3</v>
      </c>
      <c r="M72">
        <v>1</v>
      </c>
      <c r="N72">
        <v>1</v>
      </c>
      <c r="O72">
        <v>1</v>
      </c>
      <c r="P72">
        <v>4</v>
      </c>
      <c r="S72">
        <v>2</v>
      </c>
      <c r="T72">
        <v>4</v>
      </c>
      <c r="U72">
        <v>2</v>
      </c>
      <c r="W72">
        <v>2</v>
      </c>
      <c r="Y72">
        <v>4</v>
      </c>
      <c r="AG72">
        <v>51</v>
      </c>
    </row>
    <row r="73" spans="1:33">
      <c r="A73" t="s">
        <v>72</v>
      </c>
      <c r="B73">
        <v>9</v>
      </c>
      <c r="D73">
        <v>10</v>
      </c>
      <c r="E73">
        <v>165</v>
      </c>
      <c r="G73">
        <v>253</v>
      </c>
      <c r="H73">
        <v>5</v>
      </c>
      <c r="I73">
        <v>3</v>
      </c>
      <c r="K73">
        <v>318</v>
      </c>
      <c r="L73">
        <v>225</v>
      </c>
      <c r="M73">
        <v>15</v>
      </c>
      <c r="N73">
        <v>1</v>
      </c>
      <c r="O73">
        <v>19</v>
      </c>
      <c r="S73">
        <v>14</v>
      </c>
      <c r="T73">
        <v>12</v>
      </c>
      <c r="U73">
        <v>3</v>
      </c>
      <c r="V73">
        <v>18</v>
      </c>
      <c r="W73">
        <v>4</v>
      </c>
      <c r="Y73">
        <v>25</v>
      </c>
      <c r="AG73">
        <v>1099</v>
      </c>
    </row>
    <row r="74" spans="1:33">
      <c r="A74" t="s">
        <v>74</v>
      </c>
      <c r="B74">
        <v>4</v>
      </c>
      <c r="H74">
        <v>1</v>
      </c>
      <c r="K74">
        <v>1</v>
      </c>
      <c r="P74">
        <v>1</v>
      </c>
      <c r="S74">
        <v>1</v>
      </c>
      <c r="U74">
        <v>1</v>
      </c>
      <c r="AG74">
        <v>9</v>
      </c>
    </row>
    <row r="75" spans="1:33">
      <c r="A75" t="s">
        <v>75</v>
      </c>
      <c r="D75">
        <v>3</v>
      </c>
      <c r="Y75">
        <v>1</v>
      </c>
      <c r="AG75">
        <v>4</v>
      </c>
    </row>
    <row r="76" spans="1:33">
      <c r="A76" t="s">
        <v>131</v>
      </c>
      <c r="E76">
        <v>1</v>
      </c>
      <c r="AG76">
        <v>1</v>
      </c>
    </row>
    <row r="77" spans="1:33">
      <c r="A77" t="s">
        <v>128</v>
      </c>
      <c r="E77">
        <v>1</v>
      </c>
      <c r="G77">
        <v>1</v>
      </c>
      <c r="H77">
        <v>1</v>
      </c>
      <c r="L77">
        <v>1</v>
      </c>
      <c r="M77">
        <v>1</v>
      </c>
      <c r="O77">
        <v>1</v>
      </c>
      <c r="S77">
        <v>3</v>
      </c>
      <c r="T77">
        <v>1</v>
      </c>
      <c r="U77">
        <v>1</v>
      </c>
      <c r="AG77">
        <v>11</v>
      </c>
    </row>
    <row r="78" spans="1:33">
      <c r="A78" t="s">
        <v>59</v>
      </c>
      <c r="F78">
        <v>1</v>
      </c>
      <c r="K78">
        <v>1</v>
      </c>
      <c r="M78">
        <v>1</v>
      </c>
      <c r="AG78">
        <v>3</v>
      </c>
    </row>
    <row r="79" spans="1:33">
      <c r="A79" t="s">
        <v>474</v>
      </c>
      <c r="F79">
        <v>1</v>
      </c>
      <c r="G79">
        <v>1</v>
      </c>
      <c r="H79">
        <v>1</v>
      </c>
      <c r="K79">
        <v>1</v>
      </c>
      <c r="L79">
        <v>1</v>
      </c>
      <c r="W79">
        <v>1</v>
      </c>
      <c r="AG79">
        <v>6</v>
      </c>
    </row>
    <row r="80" spans="1:33">
      <c r="A80" t="s">
        <v>93</v>
      </c>
      <c r="E80">
        <v>1</v>
      </c>
      <c r="AG80">
        <v>1</v>
      </c>
    </row>
    <row r="81" spans="1:33">
      <c r="A81" t="s">
        <v>105</v>
      </c>
      <c r="E81">
        <v>1</v>
      </c>
      <c r="F81">
        <v>7</v>
      </c>
      <c r="G81">
        <v>3</v>
      </c>
      <c r="I81">
        <v>1</v>
      </c>
      <c r="K81">
        <v>2</v>
      </c>
      <c r="L81">
        <v>1</v>
      </c>
      <c r="M81">
        <v>2</v>
      </c>
      <c r="N81">
        <v>1</v>
      </c>
      <c r="S81">
        <v>2</v>
      </c>
      <c r="T81">
        <v>2</v>
      </c>
      <c r="U81">
        <v>2</v>
      </c>
      <c r="W81">
        <v>1</v>
      </c>
      <c r="Y81">
        <v>1</v>
      </c>
      <c r="AG81">
        <v>26</v>
      </c>
    </row>
    <row r="82" spans="1:33">
      <c r="A82" t="s">
        <v>106</v>
      </c>
      <c r="E82">
        <v>1</v>
      </c>
      <c r="F82">
        <v>8</v>
      </c>
      <c r="G82">
        <v>2</v>
      </c>
      <c r="I82">
        <v>1</v>
      </c>
      <c r="K82">
        <v>1</v>
      </c>
      <c r="M82">
        <v>2</v>
      </c>
      <c r="N82">
        <v>1</v>
      </c>
      <c r="S82">
        <v>2</v>
      </c>
      <c r="T82">
        <v>2</v>
      </c>
      <c r="U82">
        <v>2</v>
      </c>
      <c r="W82">
        <v>1</v>
      </c>
      <c r="Y82">
        <v>1</v>
      </c>
      <c r="AG82">
        <v>24</v>
      </c>
    </row>
    <row r="83" spans="1:33">
      <c r="A83" t="s">
        <v>92</v>
      </c>
      <c r="G83">
        <v>1</v>
      </c>
      <c r="I83">
        <v>1</v>
      </c>
      <c r="M83">
        <v>1</v>
      </c>
      <c r="O83">
        <v>1</v>
      </c>
      <c r="AG83">
        <v>4</v>
      </c>
    </row>
    <row r="84" spans="1:33">
      <c r="A84" t="s">
        <v>94</v>
      </c>
      <c r="G84">
        <v>1</v>
      </c>
      <c r="I84">
        <v>1</v>
      </c>
      <c r="M84">
        <v>1</v>
      </c>
      <c r="O84">
        <v>1</v>
      </c>
      <c r="AG84">
        <v>4</v>
      </c>
    </row>
    <row r="85" spans="1:33">
      <c r="A85" t="s">
        <v>97</v>
      </c>
      <c r="G85">
        <v>1</v>
      </c>
      <c r="AG85">
        <v>1</v>
      </c>
    </row>
    <row r="86" spans="1:33">
      <c r="A86" t="s">
        <v>114</v>
      </c>
      <c r="G86">
        <v>1</v>
      </c>
      <c r="H86">
        <v>1</v>
      </c>
      <c r="I86">
        <v>2</v>
      </c>
      <c r="K86">
        <v>1</v>
      </c>
      <c r="S86">
        <v>1</v>
      </c>
      <c r="Y86">
        <v>1</v>
      </c>
      <c r="AG86">
        <v>7</v>
      </c>
    </row>
    <row r="87" spans="1:33">
      <c r="A87" t="s">
        <v>87</v>
      </c>
      <c r="I87">
        <v>2</v>
      </c>
      <c r="AG87">
        <v>2</v>
      </c>
    </row>
    <row r="88" spans="1:33">
      <c r="A88" t="s">
        <v>89</v>
      </c>
      <c r="I88">
        <v>1</v>
      </c>
      <c r="N88">
        <v>1</v>
      </c>
      <c r="O88">
        <v>1</v>
      </c>
      <c r="W88">
        <v>1</v>
      </c>
      <c r="AG88">
        <v>4</v>
      </c>
    </row>
    <row r="89" spans="1:33">
      <c r="A89" t="s">
        <v>66</v>
      </c>
      <c r="I89">
        <v>1</v>
      </c>
      <c r="K89">
        <v>1</v>
      </c>
      <c r="L89">
        <v>2</v>
      </c>
      <c r="M89">
        <v>2</v>
      </c>
      <c r="O89">
        <v>1</v>
      </c>
      <c r="T89">
        <v>2</v>
      </c>
      <c r="W89">
        <v>3</v>
      </c>
      <c r="Y89">
        <v>2</v>
      </c>
      <c r="AG89">
        <v>14</v>
      </c>
    </row>
    <row r="90" spans="1:33">
      <c r="A90" t="s">
        <v>28</v>
      </c>
      <c r="I90">
        <v>1</v>
      </c>
      <c r="K90">
        <v>1</v>
      </c>
      <c r="M90">
        <v>1</v>
      </c>
      <c r="N90">
        <v>1</v>
      </c>
      <c r="T90">
        <v>1</v>
      </c>
      <c r="W90">
        <v>1</v>
      </c>
      <c r="Y90">
        <v>2</v>
      </c>
      <c r="AG90">
        <v>8</v>
      </c>
    </row>
    <row r="91" spans="1:33">
      <c r="A91" t="s">
        <v>100</v>
      </c>
      <c r="I91">
        <v>1</v>
      </c>
      <c r="K91">
        <v>2</v>
      </c>
      <c r="T91">
        <v>1</v>
      </c>
      <c r="AG91">
        <v>4</v>
      </c>
    </row>
    <row r="92" spans="1:33">
      <c r="A92" t="s">
        <v>99</v>
      </c>
      <c r="I92">
        <v>1</v>
      </c>
      <c r="T92">
        <v>1</v>
      </c>
      <c r="W92">
        <v>1</v>
      </c>
      <c r="AG92">
        <v>3</v>
      </c>
    </row>
    <row r="93" spans="1:33">
      <c r="A93" t="s">
        <v>90</v>
      </c>
      <c r="I93">
        <v>2</v>
      </c>
      <c r="K93">
        <v>1</v>
      </c>
      <c r="P93">
        <v>3</v>
      </c>
      <c r="T93">
        <v>2</v>
      </c>
      <c r="V93">
        <v>1</v>
      </c>
      <c r="AG93">
        <v>9</v>
      </c>
    </row>
    <row r="94" spans="1:33">
      <c r="A94" t="s">
        <v>76</v>
      </c>
      <c r="I94">
        <v>1</v>
      </c>
      <c r="T94">
        <v>1</v>
      </c>
      <c r="AG94">
        <v>2</v>
      </c>
    </row>
    <row r="95" spans="1:33">
      <c r="A95" t="s">
        <v>120</v>
      </c>
      <c r="K95">
        <v>1</v>
      </c>
      <c r="L95">
        <v>1</v>
      </c>
      <c r="N95">
        <v>1</v>
      </c>
      <c r="O95">
        <v>1</v>
      </c>
      <c r="T95">
        <v>1</v>
      </c>
      <c r="W95">
        <v>1</v>
      </c>
      <c r="AG95">
        <v>6</v>
      </c>
    </row>
    <row r="96" spans="1:33">
      <c r="A96" t="s">
        <v>475</v>
      </c>
      <c r="M96">
        <v>2</v>
      </c>
      <c r="O96">
        <v>1</v>
      </c>
      <c r="P96">
        <v>1</v>
      </c>
      <c r="W96">
        <v>1</v>
      </c>
      <c r="AG96">
        <v>5</v>
      </c>
    </row>
    <row r="97" spans="1:33">
      <c r="A97" t="s">
        <v>62</v>
      </c>
      <c r="K97">
        <v>2</v>
      </c>
      <c r="L97">
        <v>2</v>
      </c>
      <c r="T97">
        <v>1</v>
      </c>
      <c r="W97">
        <v>1</v>
      </c>
      <c r="Y97">
        <v>1</v>
      </c>
      <c r="AG97">
        <v>7</v>
      </c>
    </row>
    <row r="98" spans="1:33">
      <c r="A98" t="s">
        <v>115</v>
      </c>
      <c r="K98">
        <v>1</v>
      </c>
      <c r="AG98">
        <v>1</v>
      </c>
    </row>
    <row r="99" spans="1:33">
      <c r="A99" t="s">
        <v>471</v>
      </c>
      <c r="L99">
        <v>4</v>
      </c>
      <c r="AG99">
        <v>4</v>
      </c>
    </row>
    <row r="100" spans="1:33">
      <c r="A100" t="s">
        <v>91</v>
      </c>
      <c r="L100">
        <v>1</v>
      </c>
      <c r="M100">
        <v>1</v>
      </c>
      <c r="V100">
        <v>1</v>
      </c>
      <c r="AG100">
        <v>3</v>
      </c>
    </row>
    <row r="101" spans="1:33">
      <c r="A101" t="s">
        <v>83</v>
      </c>
      <c r="S101">
        <v>1</v>
      </c>
      <c r="AG101">
        <v>1</v>
      </c>
    </row>
    <row r="102" spans="1:33">
      <c r="A102" t="s">
        <v>88</v>
      </c>
      <c r="S102">
        <v>1</v>
      </c>
      <c r="Y102">
        <v>1</v>
      </c>
      <c r="AG102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115"/>
  <sheetViews>
    <sheetView workbookViewId="0">
      <selection activeCell="O147" sqref="O147:S150"/>
    </sheetView>
  </sheetViews>
  <sheetFormatPr defaultRowHeight="12.75"/>
  <cols>
    <col min="1" max="1" width="17.85546875" bestFit="1" customWidth="1"/>
    <col min="2" max="2" width="28.85546875" bestFit="1" customWidth="1"/>
    <col min="3" max="11" width="4.28515625" bestFit="1" customWidth="1"/>
    <col min="12" max="33" width="5.28515625" bestFit="1" customWidth="1"/>
    <col min="34" max="34" width="7.85546875" bestFit="1" customWidth="1"/>
    <col min="35" max="35" width="13.85546875" bestFit="1" customWidth="1"/>
  </cols>
  <sheetData>
    <row r="1" spans="1:35">
      <c r="A1" t="s">
        <v>172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173</v>
      </c>
    </row>
    <row r="2" spans="1:35">
      <c r="A2" t="s">
        <v>174</v>
      </c>
      <c r="B2" t="s">
        <v>175</v>
      </c>
      <c r="C2">
        <v>1</v>
      </c>
      <c r="E2">
        <v>3</v>
      </c>
      <c r="AH2">
        <v>4</v>
      </c>
      <c r="AI2" t="s">
        <v>464</v>
      </c>
    </row>
    <row r="3" spans="1:35">
      <c r="B3" t="s">
        <v>177</v>
      </c>
      <c r="C3">
        <v>1</v>
      </c>
      <c r="E3">
        <v>2</v>
      </c>
      <c r="AH3">
        <v>3</v>
      </c>
      <c r="AI3" t="s">
        <v>464</v>
      </c>
    </row>
    <row r="4" spans="1:35">
      <c r="B4" t="s">
        <v>259</v>
      </c>
      <c r="E4">
        <v>1</v>
      </c>
      <c r="AH4">
        <v>1</v>
      </c>
      <c r="AI4" t="s">
        <v>464</v>
      </c>
    </row>
    <row r="5" spans="1:35">
      <c r="B5" t="s">
        <v>178</v>
      </c>
      <c r="C5">
        <v>8</v>
      </c>
      <c r="E5">
        <v>4</v>
      </c>
      <c r="AH5">
        <v>12</v>
      </c>
      <c r="AI5" t="s">
        <v>464</v>
      </c>
    </row>
    <row r="6" spans="1:35">
      <c r="B6" t="s">
        <v>179</v>
      </c>
      <c r="C6">
        <v>7</v>
      </c>
      <c r="E6">
        <v>9</v>
      </c>
      <c r="AH6">
        <v>16</v>
      </c>
      <c r="AI6" t="s">
        <v>464</v>
      </c>
    </row>
    <row r="7" spans="1:35">
      <c r="B7" t="s">
        <v>180</v>
      </c>
      <c r="C7">
        <v>2</v>
      </c>
      <c r="AH7">
        <v>2</v>
      </c>
      <c r="AI7" t="s">
        <v>464</v>
      </c>
    </row>
    <row r="8" spans="1:35">
      <c r="B8" t="s">
        <v>181</v>
      </c>
      <c r="C8">
        <v>2</v>
      </c>
      <c r="E8">
        <v>8</v>
      </c>
      <c r="AH8">
        <v>10</v>
      </c>
      <c r="AI8" t="s">
        <v>464</v>
      </c>
    </row>
    <row r="9" spans="1:35">
      <c r="B9" t="s">
        <v>111</v>
      </c>
      <c r="C9">
        <v>2</v>
      </c>
      <c r="E9">
        <v>2</v>
      </c>
      <c r="AH9">
        <v>4</v>
      </c>
      <c r="AI9" t="s">
        <v>464</v>
      </c>
    </row>
    <row r="10" spans="1:35">
      <c r="B10" t="s">
        <v>182</v>
      </c>
      <c r="C10">
        <v>1</v>
      </c>
      <c r="E10">
        <v>4</v>
      </c>
      <c r="AH10">
        <v>5</v>
      </c>
      <c r="AI10" t="s">
        <v>464</v>
      </c>
    </row>
    <row r="11" spans="1:35">
      <c r="B11" t="s">
        <v>183</v>
      </c>
      <c r="C11">
        <v>1</v>
      </c>
      <c r="E11">
        <v>3</v>
      </c>
      <c r="AH11">
        <v>4</v>
      </c>
      <c r="AI11" t="s">
        <v>464</v>
      </c>
    </row>
    <row r="12" spans="1:35">
      <c r="B12" t="s">
        <v>184</v>
      </c>
      <c r="C12">
        <v>3</v>
      </c>
      <c r="E12">
        <v>1</v>
      </c>
      <c r="AH12">
        <v>4</v>
      </c>
      <c r="AI12" t="s">
        <v>464</v>
      </c>
    </row>
    <row r="13" spans="1:35">
      <c r="A13" t="s">
        <v>185</v>
      </c>
      <c r="B13" t="s">
        <v>186</v>
      </c>
      <c r="C13">
        <v>1</v>
      </c>
      <c r="E13">
        <v>1</v>
      </c>
      <c r="AH13">
        <v>2</v>
      </c>
      <c r="AI13" t="s">
        <v>464</v>
      </c>
    </row>
    <row r="14" spans="1:35">
      <c r="B14" t="s">
        <v>187</v>
      </c>
      <c r="C14">
        <v>1</v>
      </c>
      <c r="E14">
        <v>1</v>
      </c>
      <c r="AH14">
        <v>2</v>
      </c>
      <c r="AI14" t="s">
        <v>464</v>
      </c>
    </row>
    <row r="15" spans="1:35">
      <c r="B15" t="s">
        <v>278</v>
      </c>
      <c r="C15">
        <v>1</v>
      </c>
      <c r="AH15">
        <v>1</v>
      </c>
      <c r="AI15" t="s">
        <v>464</v>
      </c>
    </row>
    <row r="16" spans="1:35">
      <c r="B16" t="s">
        <v>279</v>
      </c>
      <c r="C16">
        <v>1</v>
      </c>
      <c r="AH16">
        <v>1</v>
      </c>
      <c r="AI16" t="s">
        <v>464</v>
      </c>
    </row>
    <row r="17" spans="1:35">
      <c r="A17" t="s">
        <v>188</v>
      </c>
      <c r="B17" t="s">
        <v>189</v>
      </c>
      <c r="C17">
        <v>1</v>
      </c>
      <c r="E17">
        <v>1</v>
      </c>
      <c r="AH17">
        <v>2</v>
      </c>
      <c r="AI17" t="s">
        <v>464</v>
      </c>
    </row>
    <row r="18" spans="1:35">
      <c r="B18" t="s">
        <v>268</v>
      </c>
      <c r="C18">
        <v>4</v>
      </c>
      <c r="E18">
        <v>5</v>
      </c>
      <c r="AH18">
        <v>9</v>
      </c>
      <c r="AI18" t="s">
        <v>464</v>
      </c>
    </row>
    <row r="19" spans="1:35">
      <c r="B19" t="s">
        <v>190</v>
      </c>
      <c r="C19">
        <v>3</v>
      </c>
      <c r="E19">
        <v>1</v>
      </c>
      <c r="AH19">
        <v>4</v>
      </c>
      <c r="AI19" t="s">
        <v>464</v>
      </c>
    </row>
    <row r="20" spans="1:35">
      <c r="B20" t="s">
        <v>465</v>
      </c>
      <c r="C20">
        <v>1</v>
      </c>
      <c r="AH20">
        <v>1</v>
      </c>
      <c r="AI20" t="s">
        <v>464</v>
      </c>
    </row>
    <row r="21" spans="1:35">
      <c r="B21" t="s">
        <v>342</v>
      </c>
      <c r="C21">
        <v>2</v>
      </c>
      <c r="AH21">
        <v>2</v>
      </c>
      <c r="AI21" t="s">
        <v>464</v>
      </c>
    </row>
    <row r="22" spans="1:35">
      <c r="B22" t="s">
        <v>416</v>
      </c>
      <c r="C22">
        <v>1</v>
      </c>
      <c r="AH22">
        <v>1</v>
      </c>
      <c r="AI22" t="s">
        <v>464</v>
      </c>
    </row>
    <row r="23" spans="1:35">
      <c r="B23" t="s">
        <v>325</v>
      </c>
      <c r="C23">
        <v>1</v>
      </c>
      <c r="AH23">
        <v>1</v>
      </c>
      <c r="AI23" t="s">
        <v>464</v>
      </c>
    </row>
    <row r="24" spans="1:35">
      <c r="B24" t="s">
        <v>263</v>
      </c>
      <c r="C24">
        <v>1</v>
      </c>
      <c r="AH24">
        <v>1</v>
      </c>
      <c r="AI24" t="s">
        <v>464</v>
      </c>
    </row>
    <row r="25" spans="1:35">
      <c r="B25" t="s">
        <v>368</v>
      </c>
      <c r="C25">
        <v>1</v>
      </c>
      <c r="AH25">
        <v>1</v>
      </c>
      <c r="AI25" t="s">
        <v>464</v>
      </c>
    </row>
    <row r="26" spans="1:35">
      <c r="B26" t="s">
        <v>287</v>
      </c>
      <c r="C26">
        <v>2</v>
      </c>
      <c r="AH26">
        <v>2</v>
      </c>
      <c r="AI26" t="s">
        <v>464</v>
      </c>
    </row>
    <row r="27" spans="1:35">
      <c r="B27" t="s">
        <v>265</v>
      </c>
      <c r="C27">
        <v>1</v>
      </c>
      <c r="AH27">
        <v>1</v>
      </c>
      <c r="AI27" t="s">
        <v>464</v>
      </c>
    </row>
    <row r="28" spans="1:35">
      <c r="B28" t="s">
        <v>193</v>
      </c>
      <c r="C28">
        <v>2</v>
      </c>
      <c r="E28">
        <v>2</v>
      </c>
      <c r="AH28">
        <v>4</v>
      </c>
      <c r="AI28" t="s">
        <v>464</v>
      </c>
    </row>
    <row r="29" spans="1:35">
      <c r="B29" t="s">
        <v>370</v>
      </c>
      <c r="E29">
        <v>1</v>
      </c>
      <c r="AH29">
        <v>1</v>
      </c>
      <c r="AI29" t="s">
        <v>464</v>
      </c>
    </row>
    <row r="30" spans="1:35">
      <c r="B30" t="s">
        <v>121</v>
      </c>
      <c r="E30">
        <v>1</v>
      </c>
      <c r="AH30">
        <v>1</v>
      </c>
      <c r="AI30" t="s">
        <v>464</v>
      </c>
    </row>
    <row r="31" spans="1:35">
      <c r="B31" t="s">
        <v>194</v>
      </c>
      <c r="C31">
        <v>2</v>
      </c>
      <c r="AH31">
        <v>2</v>
      </c>
      <c r="AI31" t="s">
        <v>464</v>
      </c>
    </row>
    <row r="32" spans="1:35">
      <c r="B32" t="s">
        <v>345</v>
      </c>
      <c r="C32">
        <v>1</v>
      </c>
      <c r="AH32">
        <v>1</v>
      </c>
      <c r="AI32" t="s">
        <v>464</v>
      </c>
    </row>
    <row r="33" spans="1:35">
      <c r="B33" t="s">
        <v>267</v>
      </c>
      <c r="E33">
        <v>1</v>
      </c>
      <c r="AH33">
        <v>1</v>
      </c>
      <c r="AI33" t="s">
        <v>464</v>
      </c>
    </row>
    <row r="34" spans="1:35">
      <c r="B34" t="s">
        <v>116</v>
      </c>
      <c r="C34">
        <v>2</v>
      </c>
      <c r="AH34">
        <v>2</v>
      </c>
      <c r="AI34" t="s">
        <v>464</v>
      </c>
    </row>
    <row r="35" spans="1:35">
      <c r="B35" t="s">
        <v>195</v>
      </c>
      <c r="C35">
        <v>1</v>
      </c>
      <c r="AH35">
        <v>1</v>
      </c>
      <c r="AI35" t="s">
        <v>464</v>
      </c>
    </row>
    <row r="36" spans="1:35">
      <c r="B36" t="s">
        <v>289</v>
      </c>
      <c r="C36">
        <v>1</v>
      </c>
      <c r="AH36">
        <v>1</v>
      </c>
      <c r="AI36" t="s">
        <v>464</v>
      </c>
    </row>
    <row r="37" spans="1:35">
      <c r="B37" t="s">
        <v>290</v>
      </c>
      <c r="C37">
        <v>1</v>
      </c>
      <c r="AH37">
        <v>1</v>
      </c>
      <c r="AI37" t="s">
        <v>464</v>
      </c>
    </row>
    <row r="38" spans="1:35">
      <c r="B38" t="s">
        <v>313</v>
      </c>
      <c r="C38">
        <v>1</v>
      </c>
      <c r="E38">
        <v>1</v>
      </c>
      <c r="AH38">
        <v>2</v>
      </c>
      <c r="AI38" t="s">
        <v>464</v>
      </c>
    </row>
    <row r="39" spans="1:35">
      <c r="B39" t="s">
        <v>291</v>
      </c>
      <c r="C39">
        <v>1</v>
      </c>
      <c r="AH39">
        <v>1</v>
      </c>
      <c r="AI39" t="s">
        <v>464</v>
      </c>
    </row>
    <row r="40" spans="1:35">
      <c r="B40" t="s">
        <v>196</v>
      </c>
      <c r="E40">
        <v>1</v>
      </c>
      <c r="AH40">
        <v>1</v>
      </c>
      <c r="AI40" t="s">
        <v>464</v>
      </c>
    </row>
    <row r="41" spans="1:35">
      <c r="B41" t="s">
        <v>292</v>
      </c>
      <c r="C41">
        <v>3</v>
      </c>
      <c r="E41">
        <v>2</v>
      </c>
      <c r="AH41">
        <v>5</v>
      </c>
      <c r="AI41" t="s">
        <v>464</v>
      </c>
    </row>
    <row r="42" spans="1:35">
      <c r="B42" t="s">
        <v>112</v>
      </c>
      <c r="C42">
        <v>4</v>
      </c>
      <c r="E42">
        <v>2</v>
      </c>
      <c r="AH42">
        <v>6</v>
      </c>
      <c r="AI42" t="s">
        <v>464</v>
      </c>
    </row>
    <row r="43" spans="1:35">
      <c r="B43" t="s">
        <v>198</v>
      </c>
      <c r="C43">
        <v>5</v>
      </c>
      <c r="E43">
        <v>1</v>
      </c>
      <c r="AH43">
        <v>6</v>
      </c>
      <c r="AI43" t="s">
        <v>464</v>
      </c>
    </row>
    <row r="44" spans="1:35">
      <c r="B44" t="s">
        <v>199</v>
      </c>
      <c r="C44">
        <v>3</v>
      </c>
      <c r="AH44">
        <v>3</v>
      </c>
      <c r="AI44" t="s">
        <v>464</v>
      </c>
    </row>
    <row r="45" spans="1:35">
      <c r="B45" t="s">
        <v>315</v>
      </c>
      <c r="C45">
        <v>1</v>
      </c>
      <c r="AH45">
        <v>1</v>
      </c>
      <c r="AI45" t="s">
        <v>464</v>
      </c>
    </row>
    <row r="46" spans="1:35">
      <c r="B46" t="s">
        <v>110</v>
      </c>
      <c r="C46">
        <v>1</v>
      </c>
      <c r="AH46">
        <v>1</v>
      </c>
      <c r="AI46" t="s">
        <v>464</v>
      </c>
    </row>
    <row r="47" spans="1:35">
      <c r="B47" t="s">
        <v>101</v>
      </c>
      <c r="C47">
        <v>1</v>
      </c>
      <c r="AH47">
        <v>1</v>
      </c>
      <c r="AI47" t="s">
        <v>464</v>
      </c>
    </row>
    <row r="48" spans="1:35">
      <c r="A48" t="s">
        <v>202</v>
      </c>
      <c r="B48" t="s">
        <v>203</v>
      </c>
      <c r="C48">
        <v>1</v>
      </c>
      <c r="E48">
        <v>1</v>
      </c>
      <c r="AH48">
        <v>2</v>
      </c>
      <c r="AI48" t="s">
        <v>464</v>
      </c>
    </row>
    <row r="49" spans="2:35">
      <c r="B49" t="s">
        <v>204</v>
      </c>
      <c r="C49">
        <v>1</v>
      </c>
      <c r="E49">
        <v>1</v>
      </c>
      <c r="AH49">
        <v>2</v>
      </c>
      <c r="AI49" t="s">
        <v>464</v>
      </c>
    </row>
    <row r="50" spans="2:35">
      <c r="B50" t="s">
        <v>205</v>
      </c>
      <c r="C50">
        <v>8</v>
      </c>
      <c r="E50">
        <v>3</v>
      </c>
      <c r="AH50">
        <v>11</v>
      </c>
      <c r="AI50" t="s">
        <v>464</v>
      </c>
    </row>
    <row r="51" spans="2:35">
      <c r="B51" t="s">
        <v>206</v>
      </c>
      <c r="C51">
        <v>2</v>
      </c>
      <c r="E51">
        <v>1</v>
      </c>
      <c r="AH51">
        <v>3</v>
      </c>
      <c r="AI51" t="s">
        <v>464</v>
      </c>
    </row>
    <row r="52" spans="2:35">
      <c r="B52" t="s">
        <v>208</v>
      </c>
      <c r="C52">
        <v>1</v>
      </c>
      <c r="E52">
        <v>1</v>
      </c>
      <c r="AH52">
        <v>2</v>
      </c>
      <c r="AI52" t="s">
        <v>464</v>
      </c>
    </row>
    <row r="53" spans="2:35">
      <c r="B53" t="s">
        <v>209</v>
      </c>
      <c r="C53">
        <v>1</v>
      </c>
      <c r="E53">
        <v>2</v>
      </c>
      <c r="AH53">
        <v>3</v>
      </c>
      <c r="AI53" t="s">
        <v>464</v>
      </c>
    </row>
    <row r="54" spans="2:35">
      <c r="B54" t="s">
        <v>335</v>
      </c>
      <c r="C54">
        <v>1</v>
      </c>
      <c r="AH54">
        <v>1</v>
      </c>
      <c r="AI54" t="s">
        <v>464</v>
      </c>
    </row>
    <row r="55" spans="2:35">
      <c r="B55" t="s">
        <v>211</v>
      </c>
      <c r="C55">
        <v>8</v>
      </c>
      <c r="E55">
        <v>10</v>
      </c>
      <c r="AH55">
        <v>18</v>
      </c>
      <c r="AI55" t="s">
        <v>464</v>
      </c>
    </row>
    <row r="56" spans="2:35">
      <c r="B56" t="s">
        <v>212</v>
      </c>
      <c r="C56">
        <v>8</v>
      </c>
      <c r="E56">
        <v>10</v>
      </c>
      <c r="AH56">
        <v>18</v>
      </c>
      <c r="AI56" t="s">
        <v>464</v>
      </c>
    </row>
    <row r="57" spans="2:35">
      <c r="B57" t="s">
        <v>213</v>
      </c>
      <c r="C57">
        <v>9</v>
      </c>
      <c r="E57">
        <v>14</v>
      </c>
      <c r="AH57">
        <v>23</v>
      </c>
      <c r="AI57" t="s">
        <v>464</v>
      </c>
    </row>
    <row r="58" spans="2:35">
      <c r="B58" t="s">
        <v>214</v>
      </c>
      <c r="C58">
        <v>13</v>
      </c>
      <c r="E58">
        <v>12</v>
      </c>
      <c r="AH58">
        <v>25</v>
      </c>
      <c r="AI58" t="s">
        <v>464</v>
      </c>
    </row>
    <row r="59" spans="2:35">
      <c r="B59" t="s">
        <v>215</v>
      </c>
      <c r="C59">
        <v>13</v>
      </c>
      <c r="E59">
        <v>12</v>
      </c>
      <c r="AH59">
        <v>25</v>
      </c>
      <c r="AI59" t="s">
        <v>464</v>
      </c>
    </row>
    <row r="60" spans="2:35">
      <c r="B60" t="s">
        <v>316</v>
      </c>
      <c r="E60">
        <v>1</v>
      </c>
      <c r="AH60">
        <v>1</v>
      </c>
      <c r="AI60" t="s">
        <v>464</v>
      </c>
    </row>
    <row r="61" spans="2:35">
      <c r="B61" t="s">
        <v>216</v>
      </c>
      <c r="C61">
        <v>2</v>
      </c>
      <c r="E61">
        <v>1</v>
      </c>
      <c r="AH61">
        <v>3</v>
      </c>
      <c r="AI61" t="s">
        <v>464</v>
      </c>
    </row>
    <row r="62" spans="2:35">
      <c r="B62" t="s">
        <v>217</v>
      </c>
      <c r="C62">
        <v>2</v>
      </c>
      <c r="E62">
        <v>1</v>
      </c>
      <c r="AH62">
        <v>3</v>
      </c>
      <c r="AI62" t="s">
        <v>464</v>
      </c>
    </row>
    <row r="63" spans="2:35">
      <c r="B63" t="s">
        <v>218</v>
      </c>
      <c r="C63">
        <v>5</v>
      </c>
      <c r="E63">
        <v>3</v>
      </c>
      <c r="AH63">
        <v>8</v>
      </c>
      <c r="AI63" t="s">
        <v>464</v>
      </c>
    </row>
    <row r="64" spans="2:35">
      <c r="B64" t="s">
        <v>219</v>
      </c>
      <c r="C64">
        <v>8</v>
      </c>
      <c r="E64">
        <v>10</v>
      </c>
      <c r="AH64">
        <v>18</v>
      </c>
      <c r="AI64" t="s">
        <v>464</v>
      </c>
    </row>
    <row r="65" spans="2:35">
      <c r="B65" t="s">
        <v>220</v>
      </c>
      <c r="C65">
        <v>7</v>
      </c>
      <c r="E65">
        <v>4</v>
      </c>
      <c r="AH65">
        <v>11</v>
      </c>
      <c r="AI65" t="s">
        <v>464</v>
      </c>
    </row>
    <row r="66" spans="2:35">
      <c r="B66" t="s">
        <v>221</v>
      </c>
      <c r="C66">
        <v>6</v>
      </c>
      <c r="E66">
        <v>3</v>
      </c>
      <c r="AH66">
        <v>9</v>
      </c>
      <c r="AI66" t="s">
        <v>464</v>
      </c>
    </row>
    <row r="67" spans="2:35">
      <c r="B67" t="s">
        <v>222</v>
      </c>
      <c r="C67">
        <v>5</v>
      </c>
      <c r="E67">
        <v>3</v>
      </c>
      <c r="AH67">
        <v>8</v>
      </c>
      <c r="AI67" t="s">
        <v>464</v>
      </c>
    </row>
    <row r="68" spans="2:35">
      <c r="B68" t="s">
        <v>223</v>
      </c>
      <c r="C68">
        <v>6</v>
      </c>
      <c r="E68">
        <v>3</v>
      </c>
      <c r="AH68">
        <v>9</v>
      </c>
      <c r="AI68" t="s">
        <v>464</v>
      </c>
    </row>
    <row r="69" spans="2:35">
      <c r="B69" t="s">
        <v>224</v>
      </c>
      <c r="E69">
        <v>1</v>
      </c>
      <c r="AH69">
        <v>1</v>
      </c>
      <c r="AI69" t="s">
        <v>464</v>
      </c>
    </row>
    <row r="70" spans="2:35">
      <c r="B70" t="s">
        <v>225</v>
      </c>
      <c r="C70">
        <v>1</v>
      </c>
      <c r="E70">
        <v>1</v>
      </c>
      <c r="AH70">
        <v>2</v>
      </c>
      <c r="AI70" t="s">
        <v>464</v>
      </c>
    </row>
    <row r="71" spans="2:35">
      <c r="B71" t="s">
        <v>226</v>
      </c>
      <c r="C71">
        <v>1</v>
      </c>
      <c r="E71">
        <v>1</v>
      </c>
      <c r="AH71">
        <v>2</v>
      </c>
      <c r="AI71" t="s">
        <v>464</v>
      </c>
    </row>
    <row r="72" spans="2:35">
      <c r="B72" t="s">
        <v>227</v>
      </c>
      <c r="C72">
        <v>2</v>
      </c>
      <c r="E72">
        <v>1</v>
      </c>
      <c r="AH72">
        <v>3</v>
      </c>
      <c r="AI72" t="s">
        <v>464</v>
      </c>
    </row>
    <row r="73" spans="2:35">
      <c r="B73" t="s">
        <v>228</v>
      </c>
      <c r="C73">
        <v>13</v>
      </c>
      <c r="E73">
        <v>13</v>
      </c>
      <c r="AH73">
        <v>26</v>
      </c>
      <c r="AI73" t="s">
        <v>464</v>
      </c>
    </row>
    <row r="74" spans="2:35">
      <c r="B74" t="s">
        <v>229</v>
      </c>
      <c r="C74">
        <v>1</v>
      </c>
      <c r="E74">
        <v>1</v>
      </c>
      <c r="AH74">
        <v>2</v>
      </c>
      <c r="AI74" t="s">
        <v>464</v>
      </c>
    </row>
    <row r="75" spans="2:35">
      <c r="B75" t="s">
        <v>230</v>
      </c>
      <c r="C75">
        <v>13</v>
      </c>
      <c r="E75">
        <v>13</v>
      </c>
      <c r="AH75">
        <v>26</v>
      </c>
      <c r="AI75" t="s">
        <v>464</v>
      </c>
    </row>
    <row r="76" spans="2:35">
      <c r="B76" t="s">
        <v>231</v>
      </c>
      <c r="C76">
        <v>6</v>
      </c>
      <c r="E76">
        <v>3</v>
      </c>
      <c r="AH76">
        <v>9</v>
      </c>
      <c r="AI76" t="s">
        <v>464</v>
      </c>
    </row>
    <row r="77" spans="2:35">
      <c r="B77" t="s">
        <v>295</v>
      </c>
      <c r="E77">
        <v>2</v>
      </c>
      <c r="AH77">
        <v>2</v>
      </c>
      <c r="AI77" t="s">
        <v>464</v>
      </c>
    </row>
    <row r="78" spans="2:35">
      <c r="B78" t="s">
        <v>232</v>
      </c>
      <c r="C78">
        <v>1</v>
      </c>
      <c r="E78">
        <v>2</v>
      </c>
      <c r="AH78">
        <v>3</v>
      </c>
      <c r="AI78" t="s">
        <v>464</v>
      </c>
    </row>
    <row r="79" spans="2:35">
      <c r="B79" t="s">
        <v>233</v>
      </c>
      <c r="C79">
        <v>2</v>
      </c>
      <c r="E79">
        <v>2</v>
      </c>
      <c r="AH79">
        <v>4</v>
      </c>
      <c r="AI79" t="s">
        <v>464</v>
      </c>
    </row>
    <row r="80" spans="2:35">
      <c r="B80" t="s">
        <v>234</v>
      </c>
      <c r="C80">
        <v>2</v>
      </c>
      <c r="E80">
        <v>2</v>
      </c>
      <c r="AH80">
        <v>4</v>
      </c>
      <c r="AI80" t="s">
        <v>464</v>
      </c>
    </row>
    <row r="81" spans="1:35">
      <c r="B81" t="s">
        <v>235</v>
      </c>
      <c r="C81">
        <v>2</v>
      </c>
      <c r="E81">
        <v>2</v>
      </c>
      <c r="AH81">
        <v>4</v>
      </c>
      <c r="AI81" t="s">
        <v>464</v>
      </c>
    </row>
    <row r="82" spans="1:35">
      <c r="A82" t="s">
        <v>237</v>
      </c>
      <c r="B82" t="s">
        <v>238</v>
      </c>
      <c r="C82">
        <v>2</v>
      </c>
      <c r="E82">
        <v>3</v>
      </c>
      <c r="AH82">
        <v>5</v>
      </c>
      <c r="AI82" t="s">
        <v>464</v>
      </c>
    </row>
    <row r="83" spans="1:35">
      <c r="B83" t="s">
        <v>272</v>
      </c>
      <c r="C83">
        <v>1</v>
      </c>
      <c r="E83">
        <v>4</v>
      </c>
      <c r="AH83">
        <v>5</v>
      </c>
      <c r="AI83" t="s">
        <v>464</v>
      </c>
    </row>
    <row r="84" spans="1:35">
      <c r="B84" t="s">
        <v>273</v>
      </c>
      <c r="C84">
        <v>2</v>
      </c>
      <c r="E84">
        <v>2</v>
      </c>
      <c r="AH84">
        <v>4</v>
      </c>
      <c r="AI84" t="s">
        <v>464</v>
      </c>
    </row>
    <row r="85" spans="1:35">
      <c r="B85" t="s">
        <v>240</v>
      </c>
      <c r="C85">
        <v>2</v>
      </c>
      <c r="E85">
        <v>6</v>
      </c>
      <c r="AH85">
        <v>8</v>
      </c>
      <c r="AI85" t="s">
        <v>464</v>
      </c>
    </row>
    <row r="86" spans="1:35">
      <c r="B86" t="s">
        <v>241</v>
      </c>
      <c r="C86">
        <v>2</v>
      </c>
      <c r="E86">
        <v>4</v>
      </c>
      <c r="AH86">
        <v>6</v>
      </c>
      <c r="AI86" t="s">
        <v>464</v>
      </c>
    </row>
    <row r="87" spans="1:35">
      <c r="B87" t="s">
        <v>242</v>
      </c>
      <c r="C87">
        <v>4</v>
      </c>
      <c r="E87">
        <v>6</v>
      </c>
      <c r="AH87">
        <v>10</v>
      </c>
      <c r="AI87" t="s">
        <v>464</v>
      </c>
    </row>
    <row r="88" spans="1:35">
      <c r="B88" t="s">
        <v>347</v>
      </c>
      <c r="C88">
        <v>1</v>
      </c>
      <c r="AH88">
        <v>1</v>
      </c>
      <c r="AI88" t="s">
        <v>464</v>
      </c>
    </row>
    <row r="89" spans="1:35">
      <c r="B89" t="s">
        <v>330</v>
      </c>
      <c r="E89">
        <v>1</v>
      </c>
      <c r="AH89">
        <v>1</v>
      </c>
      <c r="AI89" t="s">
        <v>464</v>
      </c>
    </row>
    <row r="90" spans="1:35">
      <c r="B90" t="s">
        <v>466</v>
      </c>
      <c r="E90">
        <v>5</v>
      </c>
      <c r="AH90">
        <v>5</v>
      </c>
      <c r="AI90" t="s">
        <v>464</v>
      </c>
    </row>
    <row r="91" spans="1:35">
      <c r="B91" t="s">
        <v>239</v>
      </c>
      <c r="E91">
        <v>3</v>
      </c>
      <c r="AH91">
        <v>3</v>
      </c>
      <c r="AI91" t="s">
        <v>464</v>
      </c>
    </row>
    <row r="92" spans="1:35">
      <c r="B92" t="s">
        <v>243</v>
      </c>
      <c r="E92">
        <v>1</v>
      </c>
      <c r="AH92">
        <v>1</v>
      </c>
      <c r="AI92" t="s">
        <v>464</v>
      </c>
    </row>
    <row r="93" spans="1:35">
      <c r="B93" t="s">
        <v>244</v>
      </c>
      <c r="E93">
        <v>1</v>
      </c>
      <c r="AH93">
        <v>1</v>
      </c>
      <c r="AI93" t="s">
        <v>464</v>
      </c>
    </row>
    <row r="94" spans="1:35">
      <c r="B94" t="s">
        <v>245</v>
      </c>
      <c r="C94">
        <v>1</v>
      </c>
      <c r="E94">
        <v>1</v>
      </c>
      <c r="AH94">
        <v>2</v>
      </c>
      <c r="AI94" t="s">
        <v>464</v>
      </c>
    </row>
    <row r="95" spans="1:35">
      <c r="B95" t="s">
        <v>319</v>
      </c>
      <c r="E95">
        <v>1</v>
      </c>
      <c r="AH95">
        <v>1</v>
      </c>
      <c r="AI95" t="s">
        <v>464</v>
      </c>
    </row>
    <row r="96" spans="1:35">
      <c r="B96" t="s">
        <v>337</v>
      </c>
      <c r="E96">
        <v>1</v>
      </c>
      <c r="AH96">
        <v>1</v>
      </c>
      <c r="AI96" t="s">
        <v>464</v>
      </c>
    </row>
    <row r="97" spans="1:35">
      <c r="A97" t="s">
        <v>246</v>
      </c>
      <c r="B97" t="s">
        <v>247</v>
      </c>
      <c r="C97">
        <v>6</v>
      </c>
      <c r="AH97">
        <v>6</v>
      </c>
      <c r="AI97" t="s">
        <v>464</v>
      </c>
    </row>
    <row r="98" spans="1:35">
      <c r="A98" t="s">
        <v>248</v>
      </c>
      <c r="B98" t="s">
        <v>108</v>
      </c>
      <c r="C98">
        <v>3</v>
      </c>
      <c r="E98">
        <v>3</v>
      </c>
      <c r="AH98">
        <v>6</v>
      </c>
      <c r="AI98" t="s">
        <v>464</v>
      </c>
    </row>
    <row r="99" spans="1:35">
      <c r="B99" t="s">
        <v>129</v>
      </c>
      <c r="C99">
        <v>1</v>
      </c>
      <c r="E99">
        <v>3</v>
      </c>
      <c r="AH99">
        <v>4</v>
      </c>
      <c r="AI99" t="s">
        <v>464</v>
      </c>
    </row>
    <row r="100" spans="1:35">
      <c r="B100" t="s">
        <v>130</v>
      </c>
      <c r="C100">
        <v>1</v>
      </c>
      <c r="E100">
        <v>2</v>
      </c>
      <c r="AH100">
        <v>3</v>
      </c>
      <c r="AI100" t="s">
        <v>464</v>
      </c>
    </row>
    <row r="101" spans="1:35">
      <c r="B101" t="s">
        <v>249</v>
      </c>
      <c r="C101">
        <v>2</v>
      </c>
      <c r="E101">
        <v>8</v>
      </c>
      <c r="AH101">
        <v>10</v>
      </c>
      <c r="AI101" t="s">
        <v>464</v>
      </c>
    </row>
    <row r="102" spans="1:35">
      <c r="B102" t="s">
        <v>118</v>
      </c>
      <c r="C102">
        <v>2</v>
      </c>
      <c r="AH102">
        <v>2</v>
      </c>
      <c r="AI102" t="s">
        <v>464</v>
      </c>
    </row>
    <row r="103" spans="1:35">
      <c r="B103" t="s">
        <v>383</v>
      </c>
      <c r="C103">
        <v>1</v>
      </c>
      <c r="AH103">
        <v>1</v>
      </c>
      <c r="AI103" t="s">
        <v>464</v>
      </c>
    </row>
    <row r="104" spans="1:35">
      <c r="B104" t="s">
        <v>104</v>
      </c>
      <c r="C104">
        <v>2</v>
      </c>
      <c r="E104">
        <v>2</v>
      </c>
      <c r="AH104">
        <v>4</v>
      </c>
      <c r="AI104" t="s">
        <v>464</v>
      </c>
    </row>
    <row r="105" spans="1:35">
      <c r="B105" t="s">
        <v>103</v>
      </c>
      <c r="C105">
        <v>2</v>
      </c>
      <c r="E105">
        <v>1</v>
      </c>
      <c r="AH105">
        <v>3</v>
      </c>
      <c r="AI105" t="s">
        <v>464</v>
      </c>
    </row>
    <row r="106" spans="1:35">
      <c r="B106" t="s">
        <v>113</v>
      </c>
      <c r="E106">
        <v>1</v>
      </c>
      <c r="AH106">
        <v>1</v>
      </c>
      <c r="AI106" t="s">
        <v>464</v>
      </c>
    </row>
    <row r="107" spans="1:35">
      <c r="B107" t="s">
        <v>102</v>
      </c>
      <c r="C107">
        <v>1</v>
      </c>
      <c r="E107">
        <v>2</v>
      </c>
      <c r="AH107">
        <v>3</v>
      </c>
      <c r="AI107" t="s">
        <v>464</v>
      </c>
    </row>
    <row r="108" spans="1:35">
      <c r="B108" t="s">
        <v>354</v>
      </c>
      <c r="C108">
        <v>1</v>
      </c>
      <c r="AH108">
        <v>1</v>
      </c>
      <c r="AI108" t="s">
        <v>464</v>
      </c>
    </row>
    <row r="109" spans="1:35">
      <c r="B109" t="s">
        <v>107</v>
      </c>
      <c r="C109">
        <v>2</v>
      </c>
      <c r="E109">
        <v>2</v>
      </c>
      <c r="AH109">
        <v>4</v>
      </c>
      <c r="AI109" t="s">
        <v>464</v>
      </c>
    </row>
    <row r="110" spans="1:35">
      <c r="A110" t="s">
        <v>250</v>
      </c>
      <c r="B110" t="s">
        <v>321</v>
      </c>
      <c r="C110">
        <v>1</v>
      </c>
      <c r="AH110">
        <v>1</v>
      </c>
      <c r="AI110" t="s">
        <v>464</v>
      </c>
    </row>
    <row r="111" spans="1:35">
      <c r="B111" t="s">
        <v>251</v>
      </c>
      <c r="C111">
        <v>9</v>
      </c>
      <c r="E111">
        <v>10</v>
      </c>
      <c r="AH111">
        <v>19</v>
      </c>
      <c r="AI111" t="s">
        <v>464</v>
      </c>
    </row>
    <row r="112" spans="1:35">
      <c r="B112" t="s">
        <v>252</v>
      </c>
      <c r="C112">
        <v>1</v>
      </c>
      <c r="E112">
        <v>1</v>
      </c>
      <c r="AH112">
        <v>2</v>
      </c>
      <c r="AI112" t="s">
        <v>464</v>
      </c>
    </row>
    <row r="113" spans="1:35">
      <c r="A113" t="s">
        <v>253</v>
      </c>
      <c r="B113" t="s">
        <v>74</v>
      </c>
      <c r="C113">
        <v>4</v>
      </c>
      <c r="AH113">
        <v>4</v>
      </c>
      <c r="AI113" t="s">
        <v>464</v>
      </c>
    </row>
    <row r="114" spans="1:35">
      <c r="B114" t="s">
        <v>254</v>
      </c>
      <c r="E114">
        <v>3</v>
      </c>
      <c r="AH114">
        <v>3</v>
      </c>
      <c r="AI114" t="s">
        <v>464</v>
      </c>
    </row>
    <row r="115" spans="1:35">
      <c r="A115" t="s">
        <v>256</v>
      </c>
      <c r="B115" t="s">
        <v>304</v>
      </c>
      <c r="C115">
        <v>4</v>
      </c>
      <c r="E115">
        <v>1</v>
      </c>
      <c r="AH115">
        <v>5</v>
      </c>
      <c r="AI115" t="s">
        <v>464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98"/>
  <sheetViews>
    <sheetView zoomScaleNormal="100" workbookViewId="0">
      <selection activeCell="W86" sqref="W86"/>
    </sheetView>
  </sheetViews>
  <sheetFormatPr defaultColWidth="9" defaultRowHeight="12.75"/>
  <cols>
    <col min="1" max="1" width="26.7109375" customWidth="1"/>
    <col min="2" max="10" width="4.28515625" bestFit="1" customWidth="1"/>
    <col min="11" max="32" width="5.28515625" bestFit="1" customWidth="1"/>
    <col min="33" max="33" width="7.85546875" bestFit="1" customWidth="1"/>
  </cols>
  <sheetData>
    <row r="1" spans="1:3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</row>
    <row r="2" spans="1:33">
      <c r="A2" t="s">
        <v>175</v>
      </c>
      <c r="B2">
        <v>8</v>
      </c>
      <c r="C2">
        <v>2</v>
      </c>
      <c r="D2">
        <v>2</v>
      </c>
      <c r="E2">
        <v>3</v>
      </c>
      <c r="G2">
        <v>1</v>
      </c>
      <c r="H2">
        <v>1</v>
      </c>
      <c r="I2">
        <v>2</v>
      </c>
      <c r="L2">
        <v>3</v>
      </c>
      <c r="N2">
        <v>6</v>
      </c>
      <c r="O2">
        <v>2</v>
      </c>
      <c r="P2">
        <v>1</v>
      </c>
      <c r="S2">
        <v>2</v>
      </c>
      <c r="U2">
        <v>2</v>
      </c>
      <c r="V2">
        <v>1</v>
      </c>
      <c r="W2">
        <v>2</v>
      </c>
      <c r="X2">
        <v>1</v>
      </c>
      <c r="Z2">
        <v>3</v>
      </c>
      <c r="AB2">
        <v>1</v>
      </c>
      <c r="AC2">
        <v>2</v>
      </c>
      <c r="AD2">
        <v>3</v>
      </c>
      <c r="AE2">
        <v>1</v>
      </c>
      <c r="AF2">
        <v>3</v>
      </c>
      <c r="AG2">
        <v>52</v>
      </c>
    </row>
    <row r="3" spans="1:33">
      <c r="A3" t="s">
        <v>463</v>
      </c>
      <c r="B3">
        <v>10</v>
      </c>
      <c r="C3">
        <v>1</v>
      </c>
      <c r="D3">
        <v>6</v>
      </c>
      <c r="E3">
        <v>2</v>
      </c>
      <c r="G3">
        <v>15</v>
      </c>
      <c r="H3">
        <v>15</v>
      </c>
      <c r="I3">
        <v>11</v>
      </c>
      <c r="J3">
        <v>12</v>
      </c>
      <c r="K3">
        <v>19</v>
      </c>
      <c r="L3">
        <v>15</v>
      </c>
      <c r="N3">
        <v>15</v>
      </c>
      <c r="O3">
        <v>21</v>
      </c>
      <c r="P3">
        <v>6</v>
      </c>
      <c r="Q3">
        <v>13</v>
      </c>
      <c r="R3">
        <v>15</v>
      </c>
      <c r="U3">
        <v>15</v>
      </c>
      <c r="V3">
        <v>25</v>
      </c>
      <c r="W3">
        <v>13</v>
      </c>
      <c r="X3">
        <v>8</v>
      </c>
      <c r="Y3">
        <v>12</v>
      </c>
      <c r="Z3">
        <v>10</v>
      </c>
      <c r="AB3">
        <v>3</v>
      </c>
      <c r="AC3">
        <v>33</v>
      </c>
      <c r="AD3">
        <v>7</v>
      </c>
      <c r="AE3">
        <v>18</v>
      </c>
      <c r="AF3">
        <v>8</v>
      </c>
      <c r="AG3">
        <v>328</v>
      </c>
    </row>
    <row r="4" spans="1:33">
      <c r="A4" t="s">
        <v>181</v>
      </c>
      <c r="B4">
        <v>2</v>
      </c>
      <c r="C4">
        <v>1</v>
      </c>
      <c r="D4">
        <v>2</v>
      </c>
      <c r="E4">
        <v>4</v>
      </c>
      <c r="G4">
        <v>7</v>
      </c>
      <c r="H4">
        <v>5</v>
      </c>
      <c r="I4">
        <v>5</v>
      </c>
      <c r="J4">
        <v>3</v>
      </c>
      <c r="K4">
        <v>5</v>
      </c>
      <c r="L4">
        <v>3</v>
      </c>
      <c r="N4">
        <v>15</v>
      </c>
      <c r="O4">
        <v>2</v>
      </c>
      <c r="Q4">
        <v>7</v>
      </c>
      <c r="R4">
        <v>4</v>
      </c>
      <c r="S4">
        <v>3</v>
      </c>
      <c r="U4">
        <v>13</v>
      </c>
      <c r="V4">
        <v>4</v>
      </c>
      <c r="W4">
        <v>2</v>
      </c>
      <c r="X4">
        <v>3</v>
      </c>
      <c r="Y4">
        <v>4</v>
      </c>
      <c r="Z4">
        <v>2</v>
      </c>
      <c r="AB4">
        <v>5</v>
      </c>
      <c r="AC4">
        <v>4</v>
      </c>
      <c r="AD4">
        <v>2</v>
      </c>
      <c r="AE4">
        <v>4</v>
      </c>
      <c r="AF4">
        <v>1</v>
      </c>
      <c r="AG4">
        <v>112</v>
      </c>
    </row>
    <row r="5" spans="1:33">
      <c r="A5" t="s">
        <v>44</v>
      </c>
      <c r="B5">
        <v>8</v>
      </c>
      <c r="C5">
        <v>2</v>
      </c>
      <c r="D5">
        <v>3</v>
      </c>
      <c r="E5">
        <v>3</v>
      </c>
      <c r="G5">
        <v>1</v>
      </c>
      <c r="H5">
        <v>1</v>
      </c>
      <c r="I5">
        <v>2</v>
      </c>
      <c r="K5">
        <v>2</v>
      </c>
      <c r="L5">
        <v>5</v>
      </c>
      <c r="N5">
        <v>6</v>
      </c>
      <c r="O5">
        <v>2</v>
      </c>
      <c r="P5">
        <v>3</v>
      </c>
      <c r="Q5">
        <v>2</v>
      </c>
      <c r="S5">
        <v>3</v>
      </c>
      <c r="U5">
        <v>2</v>
      </c>
      <c r="V5">
        <v>3</v>
      </c>
      <c r="W5">
        <v>3</v>
      </c>
      <c r="X5">
        <v>1</v>
      </c>
      <c r="Y5">
        <v>1</v>
      </c>
      <c r="Z5">
        <v>4</v>
      </c>
      <c r="AB5">
        <v>1</v>
      </c>
      <c r="AC5">
        <v>2</v>
      </c>
      <c r="AD5">
        <v>5</v>
      </c>
      <c r="AE5">
        <v>1</v>
      </c>
      <c r="AF5">
        <v>3</v>
      </c>
      <c r="AG5">
        <v>69</v>
      </c>
    </row>
    <row r="6" spans="1:33">
      <c r="A6" t="s">
        <v>461</v>
      </c>
      <c r="B6">
        <v>6</v>
      </c>
      <c r="D6">
        <v>4</v>
      </c>
      <c r="E6">
        <v>3</v>
      </c>
      <c r="G6">
        <v>12</v>
      </c>
      <c r="H6">
        <v>14</v>
      </c>
      <c r="I6">
        <v>10</v>
      </c>
      <c r="J6">
        <v>9</v>
      </c>
      <c r="K6">
        <v>10</v>
      </c>
      <c r="L6">
        <v>7</v>
      </c>
      <c r="N6">
        <v>4</v>
      </c>
      <c r="Q6">
        <v>3</v>
      </c>
      <c r="U6">
        <v>5</v>
      </c>
      <c r="V6">
        <v>11</v>
      </c>
      <c r="W6">
        <v>5</v>
      </c>
      <c r="X6">
        <v>1</v>
      </c>
      <c r="AB6">
        <v>45</v>
      </c>
      <c r="AC6">
        <v>20</v>
      </c>
      <c r="AF6">
        <v>17</v>
      </c>
      <c r="AG6">
        <v>186</v>
      </c>
    </row>
    <row r="7" spans="1:33">
      <c r="A7" t="s">
        <v>459</v>
      </c>
      <c r="B7">
        <v>6</v>
      </c>
      <c r="D7">
        <v>4</v>
      </c>
      <c r="E7">
        <v>3</v>
      </c>
      <c r="G7">
        <v>12</v>
      </c>
      <c r="H7">
        <v>14</v>
      </c>
      <c r="I7">
        <v>10</v>
      </c>
      <c r="J7">
        <v>9</v>
      </c>
      <c r="K7">
        <v>10</v>
      </c>
      <c r="L7">
        <v>7</v>
      </c>
      <c r="N7">
        <v>4</v>
      </c>
      <c r="Q7">
        <v>3</v>
      </c>
      <c r="U7">
        <v>5</v>
      </c>
      <c r="V7">
        <v>11</v>
      </c>
      <c r="W7">
        <v>5</v>
      </c>
      <c r="X7">
        <v>1</v>
      </c>
      <c r="AB7">
        <v>45</v>
      </c>
      <c r="AC7">
        <v>20</v>
      </c>
      <c r="AF7">
        <v>18</v>
      </c>
      <c r="AG7">
        <v>187</v>
      </c>
    </row>
    <row r="8" spans="1:33">
      <c r="A8" t="s">
        <v>61</v>
      </c>
      <c r="B8">
        <v>8</v>
      </c>
      <c r="D8">
        <v>6</v>
      </c>
      <c r="E8">
        <v>2</v>
      </c>
      <c r="G8">
        <v>13</v>
      </c>
      <c r="H8">
        <v>5</v>
      </c>
      <c r="I8">
        <v>1</v>
      </c>
      <c r="K8">
        <v>1</v>
      </c>
      <c r="L8">
        <v>1</v>
      </c>
      <c r="N8">
        <v>4</v>
      </c>
      <c r="P8">
        <v>1</v>
      </c>
      <c r="Q8">
        <v>2</v>
      </c>
      <c r="U8">
        <v>3</v>
      </c>
      <c r="AC8">
        <v>20</v>
      </c>
      <c r="AD8">
        <v>1</v>
      </c>
      <c r="AF8">
        <v>1</v>
      </c>
      <c r="AG8">
        <v>69</v>
      </c>
    </row>
    <row r="9" spans="1:33">
      <c r="A9" t="s">
        <v>86</v>
      </c>
      <c r="B9">
        <v>1</v>
      </c>
      <c r="C9">
        <v>1</v>
      </c>
      <c r="E9">
        <v>1</v>
      </c>
      <c r="H9">
        <v>1</v>
      </c>
      <c r="I9">
        <v>1</v>
      </c>
      <c r="J9">
        <v>1</v>
      </c>
      <c r="N9">
        <v>1</v>
      </c>
      <c r="O9">
        <v>1</v>
      </c>
      <c r="S9">
        <v>1</v>
      </c>
      <c r="V9">
        <v>1</v>
      </c>
      <c r="W9">
        <v>1</v>
      </c>
      <c r="X9">
        <v>1</v>
      </c>
      <c r="Y9">
        <v>1</v>
      </c>
      <c r="Z9">
        <v>1</v>
      </c>
      <c r="AC9">
        <v>1</v>
      </c>
      <c r="AG9">
        <v>15</v>
      </c>
    </row>
    <row r="10" spans="1:33">
      <c r="A10" t="s">
        <v>119</v>
      </c>
      <c r="B10">
        <v>1</v>
      </c>
      <c r="X10">
        <v>1</v>
      </c>
      <c r="AG10">
        <v>2</v>
      </c>
    </row>
    <row r="11" spans="1:33">
      <c r="A11" t="s">
        <v>89</v>
      </c>
      <c r="B11">
        <v>2</v>
      </c>
      <c r="C11">
        <v>3</v>
      </c>
      <c r="D11">
        <v>1</v>
      </c>
      <c r="K11">
        <v>2</v>
      </c>
      <c r="L11">
        <v>1</v>
      </c>
      <c r="Q11">
        <v>1</v>
      </c>
      <c r="U11">
        <v>1</v>
      </c>
      <c r="W11">
        <v>3</v>
      </c>
      <c r="X11">
        <v>2</v>
      </c>
      <c r="Z11">
        <v>1</v>
      </c>
      <c r="AB11">
        <v>1</v>
      </c>
      <c r="AC11">
        <v>1</v>
      </c>
      <c r="AD11">
        <v>1</v>
      </c>
      <c r="AF11">
        <v>1</v>
      </c>
      <c r="AG11">
        <v>21</v>
      </c>
    </row>
    <row r="12" spans="1:33">
      <c r="A12" t="s">
        <v>193</v>
      </c>
      <c r="B12">
        <v>1</v>
      </c>
      <c r="C12">
        <v>2</v>
      </c>
      <c r="D12">
        <v>1</v>
      </c>
      <c r="E12">
        <v>1</v>
      </c>
      <c r="G12">
        <v>3</v>
      </c>
      <c r="H12">
        <v>3</v>
      </c>
      <c r="J12">
        <v>2</v>
      </c>
      <c r="K12">
        <v>1</v>
      </c>
      <c r="L12">
        <v>5</v>
      </c>
      <c r="N12">
        <v>1</v>
      </c>
      <c r="O12">
        <v>1</v>
      </c>
      <c r="P12">
        <v>2</v>
      </c>
      <c r="S12">
        <v>1</v>
      </c>
      <c r="U12">
        <v>3</v>
      </c>
      <c r="V12">
        <v>4</v>
      </c>
      <c r="W12">
        <v>1</v>
      </c>
      <c r="X12">
        <v>2</v>
      </c>
      <c r="Z12">
        <v>1</v>
      </c>
      <c r="AB12">
        <v>1</v>
      </c>
      <c r="AC12">
        <v>4</v>
      </c>
      <c r="AD12">
        <v>3</v>
      </c>
      <c r="AG12">
        <v>43</v>
      </c>
    </row>
    <row r="13" spans="1:33">
      <c r="A13" t="s">
        <v>80</v>
      </c>
      <c r="B13">
        <v>1</v>
      </c>
      <c r="C13">
        <v>1</v>
      </c>
      <c r="H13">
        <v>1</v>
      </c>
      <c r="J13">
        <v>1</v>
      </c>
      <c r="K13">
        <v>2</v>
      </c>
      <c r="L13">
        <v>6</v>
      </c>
      <c r="N13">
        <v>3</v>
      </c>
      <c r="O13">
        <v>2</v>
      </c>
      <c r="P13">
        <v>2</v>
      </c>
      <c r="Q13">
        <v>2</v>
      </c>
      <c r="R13">
        <v>3</v>
      </c>
      <c r="U13">
        <v>1</v>
      </c>
      <c r="V13">
        <v>1</v>
      </c>
      <c r="W13">
        <v>3</v>
      </c>
      <c r="Y13">
        <v>3</v>
      </c>
      <c r="Z13">
        <v>4</v>
      </c>
      <c r="AB13">
        <v>1</v>
      </c>
      <c r="AC13">
        <v>3</v>
      </c>
      <c r="AD13">
        <v>2</v>
      </c>
      <c r="AE13">
        <v>1</v>
      </c>
      <c r="AF13">
        <v>1</v>
      </c>
      <c r="AG13">
        <v>44</v>
      </c>
    </row>
    <row r="14" spans="1:33">
      <c r="A14" t="s">
        <v>128</v>
      </c>
      <c r="B14">
        <v>1</v>
      </c>
      <c r="G14">
        <v>1</v>
      </c>
      <c r="K14">
        <v>1</v>
      </c>
      <c r="L14">
        <v>1</v>
      </c>
      <c r="N14">
        <v>2</v>
      </c>
      <c r="O14">
        <v>2</v>
      </c>
      <c r="V14">
        <v>1</v>
      </c>
      <c r="W14">
        <v>1</v>
      </c>
      <c r="Y14">
        <v>4</v>
      </c>
      <c r="AB14">
        <v>1</v>
      </c>
      <c r="AF14">
        <v>1</v>
      </c>
      <c r="AG14">
        <v>16</v>
      </c>
    </row>
    <row r="15" spans="1:33">
      <c r="A15" t="s">
        <v>122</v>
      </c>
      <c r="B15">
        <v>1</v>
      </c>
      <c r="E15">
        <v>2</v>
      </c>
      <c r="H15">
        <v>2</v>
      </c>
      <c r="I15">
        <v>1</v>
      </c>
      <c r="J15">
        <v>1</v>
      </c>
      <c r="L15">
        <v>2</v>
      </c>
      <c r="N15">
        <v>2</v>
      </c>
      <c r="O15">
        <v>2</v>
      </c>
      <c r="S15">
        <v>4</v>
      </c>
      <c r="U15">
        <v>3</v>
      </c>
      <c r="X15">
        <v>4</v>
      </c>
      <c r="Y15">
        <v>3</v>
      </c>
      <c r="AB15">
        <v>2</v>
      </c>
      <c r="AC15">
        <v>1</v>
      </c>
      <c r="AF15">
        <v>1</v>
      </c>
      <c r="AG15">
        <v>31</v>
      </c>
    </row>
    <row r="16" spans="1:33">
      <c r="A16" t="s">
        <v>133</v>
      </c>
      <c r="B16">
        <v>2</v>
      </c>
      <c r="G16">
        <v>4</v>
      </c>
      <c r="H16">
        <v>2</v>
      </c>
      <c r="I16">
        <v>2</v>
      </c>
      <c r="K16">
        <v>2</v>
      </c>
      <c r="N16">
        <v>1</v>
      </c>
      <c r="Q16">
        <v>1</v>
      </c>
      <c r="U16">
        <v>2</v>
      </c>
      <c r="V16">
        <v>1</v>
      </c>
      <c r="AC16">
        <v>1</v>
      </c>
      <c r="AG16">
        <v>18</v>
      </c>
    </row>
    <row r="17" spans="1:33">
      <c r="A17" t="s">
        <v>112</v>
      </c>
      <c r="B17">
        <v>1</v>
      </c>
      <c r="C17">
        <v>3</v>
      </c>
      <c r="D17">
        <v>3</v>
      </c>
      <c r="E17">
        <v>3</v>
      </c>
      <c r="G17">
        <v>1</v>
      </c>
      <c r="I17">
        <v>1</v>
      </c>
      <c r="N17">
        <v>2</v>
      </c>
      <c r="O17">
        <v>1</v>
      </c>
      <c r="P17">
        <v>1</v>
      </c>
      <c r="Q17">
        <v>5</v>
      </c>
      <c r="S17">
        <v>1</v>
      </c>
      <c r="U17">
        <v>1</v>
      </c>
      <c r="V17">
        <v>3</v>
      </c>
      <c r="W17">
        <v>2</v>
      </c>
      <c r="X17">
        <v>2</v>
      </c>
      <c r="Z17">
        <v>1</v>
      </c>
      <c r="AB17">
        <v>1</v>
      </c>
      <c r="AC17">
        <v>1</v>
      </c>
      <c r="AD17">
        <v>1</v>
      </c>
      <c r="AG17">
        <v>34</v>
      </c>
    </row>
    <row r="18" spans="1:33">
      <c r="A18" t="s">
        <v>458</v>
      </c>
      <c r="B18">
        <v>2</v>
      </c>
      <c r="C18">
        <v>1</v>
      </c>
      <c r="E18">
        <v>1</v>
      </c>
      <c r="G18">
        <v>2</v>
      </c>
      <c r="H18">
        <v>1</v>
      </c>
      <c r="J18">
        <v>2</v>
      </c>
      <c r="K18">
        <v>2</v>
      </c>
      <c r="L18">
        <v>8</v>
      </c>
      <c r="N18">
        <v>3</v>
      </c>
      <c r="P18">
        <v>2</v>
      </c>
      <c r="Q18">
        <v>2</v>
      </c>
      <c r="R18">
        <v>3</v>
      </c>
      <c r="U18">
        <v>1</v>
      </c>
      <c r="V18">
        <v>2</v>
      </c>
      <c r="W18">
        <v>1</v>
      </c>
      <c r="Y18">
        <v>3</v>
      </c>
      <c r="Z18">
        <v>4</v>
      </c>
      <c r="AB18">
        <v>2</v>
      </c>
      <c r="AC18">
        <v>2</v>
      </c>
      <c r="AD18">
        <v>2</v>
      </c>
      <c r="AE18">
        <v>1</v>
      </c>
      <c r="AF18">
        <v>1</v>
      </c>
      <c r="AG18">
        <v>48</v>
      </c>
    </row>
    <row r="19" spans="1:33">
      <c r="A19" t="s">
        <v>199</v>
      </c>
      <c r="B19">
        <v>1</v>
      </c>
      <c r="C19">
        <v>1</v>
      </c>
      <c r="E19">
        <v>2</v>
      </c>
      <c r="G19">
        <v>2</v>
      </c>
      <c r="H19">
        <v>1</v>
      </c>
      <c r="J19">
        <v>1</v>
      </c>
      <c r="K19">
        <v>2</v>
      </c>
      <c r="L19">
        <v>7</v>
      </c>
      <c r="N19">
        <v>3</v>
      </c>
      <c r="P19">
        <v>2</v>
      </c>
      <c r="Q19">
        <v>2</v>
      </c>
      <c r="R19">
        <v>3</v>
      </c>
      <c r="U19">
        <v>1</v>
      </c>
      <c r="V19">
        <v>2</v>
      </c>
      <c r="W19">
        <v>1</v>
      </c>
      <c r="Y19">
        <v>3</v>
      </c>
      <c r="Z19">
        <v>4</v>
      </c>
      <c r="AB19">
        <v>1</v>
      </c>
      <c r="AC19">
        <v>2</v>
      </c>
      <c r="AD19">
        <v>2</v>
      </c>
      <c r="AE19">
        <v>1</v>
      </c>
      <c r="AF19">
        <v>1</v>
      </c>
      <c r="AG19">
        <v>45</v>
      </c>
    </row>
    <row r="20" spans="1:33">
      <c r="A20" t="s">
        <v>115</v>
      </c>
      <c r="B20">
        <v>2</v>
      </c>
      <c r="D20">
        <v>3</v>
      </c>
      <c r="K20">
        <v>2</v>
      </c>
      <c r="L20">
        <v>1</v>
      </c>
      <c r="N20">
        <v>1</v>
      </c>
      <c r="P20">
        <v>1</v>
      </c>
      <c r="Q20">
        <v>3</v>
      </c>
      <c r="V20">
        <v>1</v>
      </c>
      <c r="Y20">
        <v>1</v>
      </c>
      <c r="AG20">
        <v>15</v>
      </c>
    </row>
    <row r="21" spans="1:33">
      <c r="A21" t="s">
        <v>28</v>
      </c>
      <c r="B21">
        <v>1</v>
      </c>
      <c r="C21">
        <v>2</v>
      </c>
      <c r="D21">
        <v>2</v>
      </c>
      <c r="E21">
        <v>1</v>
      </c>
      <c r="K21">
        <v>2</v>
      </c>
      <c r="Q21">
        <v>3</v>
      </c>
      <c r="S21">
        <v>1</v>
      </c>
      <c r="V21">
        <v>1</v>
      </c>
      <c r="W21">
        <v>2</v>
      </c>
      <c r="AC21">
        <v>2</v>
      </c>
      <c r="AF21">
        <v>1</v>
      </c>
      <c r="AG21">
        <v>18</v>
      </c>
    </row>
    <row r="22" spans="1:33">
      <c r="A22" t="s">
        <v>101</v>
      </c>
      <c r="B22">
        <v>2</v>
      </c>
      <c r="D22">
        <v>1</v>
      </c>
      <c r="E22">
        <v>1</v>
      </c>
      <c r="K22">
        <v>2</v>
      </c>
      <c r="N22">
        <v>2</v>
      </c>
      <c r="Q22">
        <v>2</v>
      </c>
      <c r="V22">
        <v>1</v>
      </c>
      <c r="Y22">
        <v>1</v>
      </c>
      <c r="AC22">
        <v>1</v>
      </c>
      <c r="AF22">
        <v>1</v>
      </c>
      <c r="AG22">
        <v>14</v>
      </c>
    </row>
    <row r="23" spans="1:33">
      <c r="A23" t="s">
        <v>100</v>
      </c>
      <c r="B23">
        <v>2</v>
      </c>
      <c r="C23">
        <v>2</v>
      </c>
      <c r="D23">
        <v>3</v>
      </c>
      <c r="H23">
        <v>1</v>
      </c>
      <c r="K23">
        <v>1</v>
      </c>
      <c r="Q23">
        <v>3</v>
      </c>
      <c r="V23">
        <v>1</v>
      </c>
      <c r="X23">
        <v>1</v>
      </c>
      <c r="AG23">
        <v>14</v>
      </c>
    </row>
    <row r="24" spans="1:33">
      <c r="A24" t="s">
        <v>78</v>
      </c>
      <c r="B24">
        <v>14</v>
      </c>
      <c r="D24">
        <v>5</v>
      </c>
      <c r="E24">
        <v>6</v>
      </c>
      <c r="G24">
        <v>14</v>
      </c>
      <c r="H24">
        <v>10</v>
      </c>
      <c r="I24">
        <v>5</v>
      </c>
      <c r="J24">
        <v>1</v>
      </c>
      <c r="K24">
        <v>4</v>
      </c>
      <c r="N24">
        <v>5</v>
      </c>
      <c r="O24">
        <v>1</v>
      </c>
      <c r="Q24">
        <v>4</v>
      </c>
      <c r="R24">
        <v>1</v>
      </c>
      <c r="S24">
        <v>1</v>
      </c>
      <c r="U24">
        <v>4</v>
      </c>
      <c r="V24">
        <v>2</v>
      </c>
      <c r="W24">
        <v>1</v>
      </c>
      <c r="X24">
        <v>1</v>
      </c>
      <c r="Y24">
        <v>1</v>
      </c>
      <c r="Z24">
        <v>1</v>
      </c>
      <c r="AB24">
        <v>1</v>
      </c>
      <c r="AC24">
        <v>38</v>
      </c>
      <c r="AD24">
        <v>4</v>
      </c>
      <c r="AG24">
        <v>124</v>
      </c>
    </row>
    <row r="25" spans="1:33">
      <c r="A25" t="s">
        <v>167</v>
      </c>
      <c r="B25">
        <v>8</v>
      </c>
      <c r="D25">
        <v>4</v>
      </c>
      <c r="E25">
        <v>2</v>
      </c>
      <c r="G25">
        <v>15</v>
      </c>
      <c r="H25">
        <v>15</v>
      </c>
      <c r="I25">
        <v>13</v>
      </c>
      <c r="J25">
        <v>8</v>
      </c>
      <c r="K25">
        <v>12</v>
      </c>
      <c r="L25">
        <v>7</v>
      </c>
      <c r="N25">
        <v>10</v>
      </c>
      <c r="O25">
        <v>18</v>
      </c>
      <c r="P25">
        <v>4</v>
      </c>
      <c r="Q25">
        <v>10</v>
      </c>
      <c r="R25">
        <v>10</v>
      </c>
      <c r="U25">
        <v>11</v>
      </c>
      <c r="V25">
        <v>26</v>
      </c>
      <c r="W25">
        <v>10</v>
      </c>
      <c r="X25">
        <v>7</v>
      </c>
      <c r="Y25">
        <v>9</v>
      </c>
      <c r="Z25">
        <v>4</v>
      </c>
      <c r="AB25">
        <v>1</v>
      </c>
      <c r="AC25">
        <v>28</v>
      </c>
      <c r="AD25">
        <v>7</v>
      </c>
      <c r="AE25">
        <v>17</v>
      </c>
      <c r="AF25">
        <v>5</v>
      </c>
      <c r="AG25">
        <v>261</v>
      </c>
    </row>
    <row r="26" spans="1:33">
      <c r="A26" t="s">
        <v>39</v>
      </c>
      <c r="B26">
        <v>8</v>
      </c>
      <c r="D26">
        <v>4</v>
      </c>
      <c r="E26">
        <v>2</v>
      </c>
      <c r="G26">
        <v>15</v>
      </c>
      <c r="H26">
        <v>15</v>
      </c>
      <c r="I26">
        <v>13</v>
      </c>
      <c r="J26">
        <v>8</v>
      </c>
      <c r="K26">
        <v>12</v>
      </c>
      <c r="L26">
        <v>7</v>
      </c>
      <c r="N26">
        <v>10</v>
      </c>
      <c r="O26">
        <v>18</v>
      </c>
      <c r="P26">
        <v>4</v>
      </c>
      <c r="Q26">
        <v>10</v>
      </c>
      <c r="R26">
        <v>10</v>
      </c>
      <c r="U26">
        <v>11</v>
      </c>
      <c r="V26">
        <v>26</v>
      </c>
      <c r="W26">
        <v>10</v>
      </c>
      <c r="X26">
        <v>7</v>
      </c>
      <c r="Y26">
        <v>9</v>
      </c>
      <c r="AB26">
        <v>1</v>
      </c>
      <c r="AC26">
        <v>28</v>
      </c>
      <c r="AD26">
        <v>7</v>
      </c>
      <c r="AE26">
        <v>17</v>
      </c>
      <c r="AF26">
        <v>5</v>
      </c>
      <c r="AG26">
        <v>257</v>
      </c>
    </row>
    <row r="27" spans="1:33">
      <c r="A27" t="s">
        <v>32</v>
      </c>
      <c r="B27">
        <v>9</v>
      </c>
      <c r="D27">
        <v>4</v>
      </c>
      <c r="E27">
        <v>2</v>
      </c>
      <c r="G27">
        <v>15</v>
      </c>
      <c r="H27">
        <v>15</v>
      </c>
      <c r="I27">
        <v>13</v>
      </c>
      <c r="J27">
        <v>8</v>
      </c>
      <c r="K27">
        <v>13</v>
      </c>
      <c r="L27">
        <v>7</v>
      </c>
      <c r="N27">
        <v>11</v>
      </c>
      <c r="O27">
        <v>19</v>
      </c>
      <c r="P27">
        <v>4</v>
      </c>
      <c r="Q27">
        <v>10</v>
      </c>
      <c r="R27">
        <v>10</v>
      </c>
      <c r="S27">
        <v>2</v>
      </c>
      <c r="U27">
        <v>11</v>
      </c>
      <c r="V27">
        <v>26</v>
      </c>
      <c r="W27">
        <v>11</v>
      </c>
      <c r="X27">
        <v>10</v>
      </c>
      <c r="Y27">
        <v>9</v>
      </c>
      <c r="Z27">
        <v>5</v>
      </c>
      <c r="AB27">
        <v>3</v>
      </c>
      <c r="AC27">
        <v>28</v>
      </c>
      <c r="AD27">
        <v>7</v>
      </c>
      <c r="AE27">
        <v>17</v>
      </c>
      <c r="AF27">
        <v>5</v>
      </c>
      <c r="AG27">
        <v>274</v>
      </c>
    </row>
    <row r="28" spans="1:33">
      <c r="A28" t="s">
        <v>34</v>
      </c>
      <c r="B28">
        <v>11</v>
      </c>
      <c r="D28">
        <v>7</v>
      </c>
      <c r="E28">
        <v>44</v>
      </c>
      <c r="G28">
        <v>16</v>
      </c>
      <c r="H28">
        <v>16</v>
      </c>
      <c r="I28">
        <v>16</v>
      </c>
      <c r="J28">
        <v>10</v>
      </c>
      <c r="K28">
        <v>18</v>
      </c>
      <c r="L28">
        <v>17</v>
      </c>
      <c r="N28">
        <v>11</v>
      </c>
      <c r="O28">
        <v>20</v>
      </c>
      <c r="P28">
        <v>5</v>
      </c>
      <c r="Q28">
        <v>11</v>
      </c>
      <c r="R28">
        <v>12</v>
      </c>
      <c r="S28">
        <v>6</v>
      </c>
      <c r="U28">
        <v>16</v>
      </c>
      <c r="V28">
        <v>27</v>
      </c>
      <c r="W28">
        <v>12</v>
      </c>
      <c r="X28">
        <v>8</v>
      </c>
      <c r="Y28">
        <v>10</v>
      </c>
      <c r="Z28">
        <v>15</v>
      </c>
      <c r="AB28">
        <v>8</v>
      </c>
      <c r="AC28">
        <v>33</v>
      </c>
      <c r="AD28">
        <v>10</v>
      </c>
      <c r="AE28">
        <v>20</v>
      </c>
      <c r="AF28">
        <v>9</v>
      </c>
      <c r="AG28">
        <v>388</v>
      </c>
    </row>
    <row r="29" spans="1:33">
      <c r="A29" t="s">
        <v>33</v>
      </c>
      <c r="B29">
        <v>11</v>
      </c>
      <c r="D29">
        <v>7</v>
      </c>
      <c r="E29">
        <v>44</v>
      </c>
      <c r="G29">
        <v>16</v>
      </c>
      <c r="H29">
        <v>16</v>
      </c>
      <c r="I29">
        <v>16</v>
      </c>
      <c r="J29">
        <v>10</v>
      </c>
      <c r="K29">
        <v>18</v>
      </c>
      <c r="L29">
        <v>17</v>
      </c>
      <c r="N29">
        <v>11</v>
      </c>
      <c r="O29">
        <v>20</v>
      </c>
      <c r="P29">
        <v>5</v>
      </c>
      <c r="Q29">
        <v>11</v>
      </c>
      <c r="R29">
        <v>12</v>
      </c>
      <c r="S29">
        <v>6</v>
      </c>
      <c r="U29">
        <v>16</v>
      </c>
      <c r="V29">
        <v>27</v>
      </c>
      <c r="W29">
        <v>12</v>
      </c>
      <c r="X29">
        <v>8</v>
      </c>
      <c r="Y29">
        <v>10</v>
      </c>
      <c r="Z29">
        <v>15</v>
      </c>
      <c r="AB29">
        <v>8</v>
      </c>
      <c r="AC29">
        <v>33</v>
      </c>
      <c r="AD29">
        <v>10</v>
      </c>
      <c r="AE29">
        <v>20</v>
      </c>
      <c r="AF29">
        <v>9</v>
      </c>
      <c r="AG29">
        <v>388</v>
      </c>
    </row>
    <row r="30" spans="1:33">
      <c r="A30" t="s">
        <v>50</v>
      </c>
      <c r="B30">
        <v>10</v>
      </c>
      <c r="D30">
        <v>4</v>
      </c>
      <c r="E30">
        <v>2</v>
      </c>
      <c r="G30">
        <v>12</v>
      </c>
      <c r="H30">
        <v>6</v>
      </c>
      <c r="I30">
        <v>7</v>
      </c>
      <c r="J30">
        <v>1</v>
      </c>
      <c r="K30">
        <v>1</v>
      </c>
      <c r="N30">
        <v>4</v>
      </c>
      <c r="Q30">
        <v>3</v>
      </c>
      <c r="U30">
        <v>3</v>
      </c>
      <c r="V30">
        <v>2</v>
      </c>
      <c r="W30">
        <v>1</v>
      </c>
      <c r="AC30">
        <v>21</v>
      </c>
      <c r="AD30">
        <v>2</v>
      </c>
      <c r="AG30">
        <v>79</v>
      </c>
    </row>
    <row r="31" spans="1:33">
      <c r="A31" t="s">
        <v>30</v>
      </c>
      <c r="B31">
        <v>7</v>
      </c>
      <c r="D31">
        <v>4</v>
      </c>
      <c r="E31">
        <v>2</v>
      </c>
      <c r="G31">
        <v>12</v>
      </c>
      <c r="H31">
        <v>6</v>
      </c>
      <c r="I31">
        <v>4</v>
      </c>
      <c r="J31">
        <v>1</v>
      </c>
      <c r="K31">
        <v>2</v>
      </c>
      <c r="N31">
        <v>4</v>
      </c>
      <c r="Q31">
        <v>3</v>
      </c>
      <c r="U31">
        <v>4</v>
      </c>
      <c r="V31">
        <v>2</v>
      </c>
      <c r="W31">
        <v>1</v>
      </c>
      <c r="Z31">
        <v>1</v>
      </c>
      <c r="AC31">
        <v>22</v>
      </c>
      <c r="AD31">
        <v>2</v>
      </c>
      <c r="AG31">
        <v>77</v>
      </c>
    </row>
    <row r="32" spans="1:33">
      <c r="A32" t="s">
        <v>41</v>
      </c>
      <c r="B32">
        <v>10</v>
      </c>
      <c r="D32">
        <v>5</v>
      </c>
      <c r="E32">
        <v>43</v>
      </c>
      <c r="G32">
        <v>16</v>
      </c>
      <c r="H32">
        <v>15</v>
      </c>
      <c r="I32">
        <v>14</v>
      </c>
      <c r="J32">
        <v>10</v>
      </c>
      <c r="K32">
        <v>19</v>
      </c>
      <c r="L32">
        <v>18</v>
      </c>
      <c r="N32">
        <v>11</v>
      </c>
      <c r="O32">
        <v>18</v>
      </c>
      <c r="P32">
        <v>4</v>
      </c>
      <c r="Q32">
        <v>10</v>
      </c>
      <c r="R32">
        <v>14</v>
      </c>
      <c r="S32">
        <v>7</v>
      </c>
      <c r="U32">
        <v>16</v>
      </c>
      <c r="V32">
        <v>25</v>
      </c>
      <c r="W32">
        <v>9</v>
      </c>
      <c r="X32">
        <v>7</v>
      </c>
      <c r="Y32">
        <v>11</v>
      </c>
      <c r="Z32">
        <v>17</v>
      </c>
      <c r="AB32">
        <v>9</v>
      </c>
      <c r="AC32">
        <v>30</v>
      </c>
      <c r="AD32">
        <v>8</v>
      </c>
      <c r="AE32">
        <v>20</v>
      </c>
      <c r="AF32">
        <v>9</v>
      </c>
      <c r="AG32">
        <v>375</v>
      </c>
    </row>
    <row r="33" spans="1:33">
      <c r="A33" t="s">
        <v>37</v>
      </c>
      <c r="B33">
        <v>12</v>
      </c>
      <c r="D33">
        <v>9</v>
      </c>
      <c r="E33">
        <v>43</v>
      </c>
      <c r="G33">
        <v>13</v>
      </c>
      <c r="H33">
        <v>7</v>
      </c>
      <c r="I33">
        <v>7</v>
      </c>
      <c r="J33">
        <v>2</v>
      </c>
      <c r="K33">
        <v>5</v>
      </c>
      <c r="L33">
        <v>10</v>
      </c>
      <c r="N33">
        <v>5</v>
      </c>
      <c r="Q33">
        <v>6</v>
      </c>
      <c r="R33">
        <v>5</v>
      </c>
      <c r="S33">
        <v>6</v>
      </c>
      <c r="U33">
        <v>6</v>
      </c>
      <c r="V33">
        <v>2</v>
      </c>
      <c r="W33">
        <v>2</v>
      </c>
      <c r="Y33">
        <v>1</v>
      </c>
      <c r="Z33">
        <v>15</v>
      </c>
      <c r="AB33">
        <v>7</v>
      </c>
      <c r="AC33">
        <v>24</v>
      </c>
      <c r="AD33">
        <v>9</v>
      </c>
      <c r="AE33">
        <v>3</v>
      </c>
      <c r="AF33">
        <v>4</v>
      </c>
      <c r="AG33">
        <v>203</v>
      </c>
    </row>
    <row r="34" spans="1:33">
      <c r="A34" t="s">
        <v>42</v>
      </c>
      <c r="B34">
        <v>5</v>
      </c>
      <c r="D34">
        <v>5</v>
      </c>
      <c r="E34">
        <v>41</v>
      </c>
      <c r="G34">
        <v>1</v>
      </c>
      <c r="H34">
        <v>1</v>
      </c>
      <c r="I34">
        <v>3</v>
      </c>
      <c r="J34">
        <v>2</v>
      </c>
      <c r="K34">
        <v>5</v>
      </c>
      <c r="L34">
        <v>10</v>
      </c>
      <c r="N34">
        <v>1</v>
      </c>
      <c r="Q34">
        <v>3</v>
      </c>
      <c r="R34">
        <v>5</v>
      </c>
      <c r="S34">
        <v>6</v>
      </c>
      <c r="U34">
        <v>4</v>
      </c>
      <c r="W34">
        <v>1</v>
      </c>
      <c r="Y34">
        <v>1</v>
      </c>
      <c r="Z34">
        <v>15</v>
      </c>
      <c r="AB34">
        <v>7</v>
      </c>
      <c r="AC34">
        <v>3</v>
      </c>
      <c r="AD34">
        <v>4</v>
      </c>
      <c r="AE34">
        <v>3</v>
      </c>
      <c r="AF34">
        <v>4</v>
      </c>
      <c r="AG34">
        <v>130</v>
      </c>
    </row>
    <row r="35" spans="1:33">
      <c r="A35" t="s">
        <v>43</v>
      </c>
      <c r="B35">
        <v>5</v>
      </c>
      <c r="D35">
        <v>5</v>
      </c>
      <c r="E35">
        <v>41</v>
      </c>
      <c r="G35">
        <v>1</v>
      </c>
      <c r="H35">
        <v>1</v>
      </c>
      <c r="I35">
        <v>4</v>
      </c>
      <c r="J35">
        <v>3</v>
      </c>
      <c r="K35">
        <v>5</v>
      </c>
      <c r="L35">
        <v>10</v>
      </c>
      <c r="N35">
        <v>1</v>
      </c>
      <c r="Q35">
        <v>117</v>
      </c>
      <c r="R35">
        <v>142</v>
      </c>
      <c r="S35">
        <v>154</v>
      </c>
      <c r="U35">
        <v>4</v>
      </c>
      <c r="W35">
        <v>2</v>
      </c>
      <c r="X35">
        <v>1</v>
      </c>
      <c r="Y35">
        <v>1</v>
      </c>
      <c r="Z35">
        <v>15</v>
      </c>
      <c r="AB35">
        <v>7</v>
      </c>
      <c r="AC35">
        <v>3</v>
      </c>
      <c r="AD35">
        <v>3</v>
      </c>
      <c r="AE35">
        <v>3</v>
      </c>
      <c r="AF35">
        <v>4</v>
      </c>
      <c r="AG35">
        <v>532</v>
      </c>
    </row>
    <row r="36" spans="1:33">
      <c r="A36" t="s">
        <v>51</v>
      </c>
      <c r="B36">
        <v>5</v>
      </c>
      <c r="D36">
        <v>5</v>
      </c>
      <c r="E36">
        <v>39</v>
      </c>
      <c r="G36">
        <v>1</v>
      </c>
      <c r="H36">
        <v>1</v>
      </c>
      <c r="I36">
        <v>3</v>
      </c>
      <c r="J36">
        <v>2</v>
      </c>
      <c r="K36">
        <v>5</v>
      </c>
      <c r="L36">
        <v>10</v>
      </c>
      <c r="N36">
        <v>1</v>
      </c>
      <c r="Q36">
        <v>3</v>
      </c>
      <c r="R36">
        <v>5</v>
      </c>
      <c r="S36">
        <v>6</v>
      </c>
      <c r="U36">
        <v>4</v>
      </c>
      <c r="W36">
        <v>2</v>
      </c>
      <c r="X36">
        <v>1</v>
      </c>
      <c r="Y36">
        <v>1</v>
      </c>
      <c r="Z36">
        <v>15</v>
      </c>
      <c r="AB36">
        <v>6</v>
      </c>
      <c r="AC36">
        <v>3</v>
      </c>
      <c r="AD36">
        <v>7</v>
      </c>
      <c r="AE36">
        <v>3</v>
      </c>
      <c r="AF36">
        <v>4</v>
      </c>
      <c r="AG36">
        <v>132</v>
      </c>
    </row>
    <row r="37" spans="1:33">
      <c r="A37" t="s">
        <v>77</v>
      </c>
      <c r="B37">
        <v>7</v>
      </c>
      <c r="D37">
        <v>4</v>
      </c>
      <c r="E37">
        <v>3</v>
      </c>
      <c r="G37">
        <v>12</v>
      </c>
      <c r="H37">
        <v>6</v>
      </c>
      <c r="I37">
        <v>4</v>
      </c>
      <c r="N37">
        <v>4</v>
      </c>
      <c r="Q37">
        <v>3</v>
      </c>
      <c r="U37">
        <v>2</v>
      </c>
      <c r="V37">
        <v>2</v>
      </c>
      <c r="W37">
        <v>1</v>
      </c>
      <c r="X37">
        <v>1</v>
      </c>
      <c r="AC37">
        <v>21</v>
      </c>
      <c r="AD37">
        <v>2</v>
      </c>
      <c r="AG37">
        <v>72</v>
      </c>
    </row>
    <row r="38" spans="1:33">
      <c r="A38" t="s">
        <v>170</v>
      </c>
      <c r="B38">
        <v>6</v>
      </c>
      <c r="D38">
        <v>4</v>
      </c>
      <c r="E38">
        <v>2</v>
      </c>
      <c r="G38">
        <v>12</v>
      </c>
      <c r="H38">
        <v>5</v>
      </c>
      <c r="I38">
        <v>1</v>
      </c>
      <c r="N38">
        <v>4</v>
      </c>
      <c r="Q38">
        <v>2</v>
      </c>
      <c r="U38">
        <v>2</v>
      </c>
      <c r="AC38">
        <v>20</v>
      </c>
      <c r="AG38">
        <v>58</v>
      </c>
    </row>
    <row r="39" spans="1:33">
      <c r="A39" t="s">
        <v>45</v>
      </c>
      <c r="B39">
        <v>7</v>
      </c>
      <c r="D39">
        <v>4</v>
      </c>
      <c r="E39">
        <v>2</v>
      </c>
      <c r="G39">
        <v>12</v>
      </c>
      <c r="H39">
        <v>6</v>
      </c>
      <c r="I39">
        <v>6</v>
      </c>
      <c r="N39">
        <v>4</v>
      </c>
      <c r="P39">
        <v>1</v>
      </c>
      <c r="Q39">
        <v>3</v>
      </c>
      <c r="U39">
        <v>4</v>
      </c>
      <c r="V39">
        <v>2</v>
      </c>
      <c r="W39">
        <v>1</v>
      </c>
      <c r="AC39">
        <v>22</v>
      </c>
      <c r="AD39">
        <v>2</v>
      </c>
      <c r="AG39">
        <v>76</v>
      </c>
    </row>
    <row r="40" spans="1:33">
      <c r="A40" t="s">
        <v>52</v>
      </c>
      <c r="B40">
        <v>18</v>
      </c>
      <c r="D40">
        <v>11</v>
      </c>
      <c r="E40">
        <v>46</v>
      </c>
      <c r="G40">
        <v>28</v>
      </c>
      <c r="H40">
        <v>22</v>
      </c>
      <c r="I40">
        <v>20</v>
      </c>
      <c r="J40">
        <v>10</v>
      </c>
      <c r="K40">
        <v>18</v>
      </c>
      <c r="L40">
        <v>17</v>
      </c>
      <c r="N40">
        <v>15</v>
      </c>
      <c r="O40">
        <v>18</v>
      </c>
      <c r="P40">
        <v>4</v>
      </c>
      <c r="Q40">
        <v>14</v>
      </c>
      <c r="R40">
        <v>13</v>
      </c>
      <c r="S40">
        <v>6</v>
      </c>
      <c r="U40">
        <v>17</v>
      </c>
      <c r="V40">
        <v>28</v>
      </c>
      <c r="W40">
        <v>11</v>
      </c>
      <c r="X40">
        <v>7</v>
      </c>
      <c r="Y40">
        <v>10</v>
      </c>
      <c r="Z40">
        <v>15</v>
      </c>
      <c r="AB40">
        <v>8</v>
      </c>
      <c r="AC40">
        <v>53</v>
      </c>
      <c r="AD40">
        <v>12</v>
      </c>
      <c r="AE40">
        <v>26</v>
      </c>
      <c r="AF40">
        <v>9</v>
      </c>
      <c r="AG40">
        <v>456</v>
      </c>
    </row>
    <row r="41" spans="1:33">
      <c r="A41" t="s">
        <v>38</v>
      </c>
      <c r="B41">
        <v>11</v>
      </c>
      <c r="D41">
        <v>7</v>
      </c>
      <c r="E41">
        <v>44</v>
      </c>
      <c r="G41">
        <v>16</v>
      </c>
      <c r="H41">
        <v>16</v>
      </c>
      <c r="I41">
        <v>16</v>
      </c>
      <c r="J41">
        <v>10</v>
      </c>
      <c r="K41">
        <v>18</v>
      </c>
      <c r="L41">
        <v>17</v>
      </c>
      <c r="N41">
        <v>11</v>
      </c>
      <c r="O41">
        <v>18</v>
      </c>
      <c r="P41">
        <v>4</v>
      </c>
      <c r="Q41">
        <v>11</v>
      </c>
      <c r="R41">
        <v>13</v>
      </c>
      <c r="S41">
        <v>6</v>
      </c>
      <c r="U41">
        <v>16</v>
      </c>
      <c r="V41">
        <v>26</v>
      </c>
      <c r="W41">
        <v>10</v>
      </c>
      <c r="X41">
        <v>7</v>
      </c>
      <c r="Y41">
        <v>10</v>
      </c>
      <c r="Z41">
        <v>15</v>
      </c>
      <c r="AB41">
        <v>8</v>
      </c>
      <c r="AC41">
        <v>32</v>
      </c>
      <c r="AD41">
        <v>10</v>
      </c>
      <c r="AE41">
        <v>26</v>
      </c>
      <c r="AF41">
        <v>9</v>
      </c>
      <c r="AG41">
        <v>387</v>
      </c>
    </row>
    <row r="42" spans="1:33">
      <c r="A42" t="s">
        <v>53</v>
      </c>
      <c r="B42">
        <v>3</v>
      </c>
      <c r="D42">
        <v>3</v>
      </c>
      <c r="E42">
        <v>41</v>
      </c>
      <c r="G42">
        <v>1</v>
      </c>
      <c r="H42">
        <v>10</v>
      </c>
      <c r="I42">
        <v>11</v>
      </c>
      <c r="J42">
        <v>10</v>
      </c>
      <c r="K42">
        <v>15</v>
      </c>
      <c r="L42">
        <v>17</v>
      </c>
      <c r="N42">
        <v>1</v>
      </c>
      <c r="Q42">
        <v>3</v>
      </c>
      <c r="R42">
        <v>5</v>
      </c>
      <c r="S42">
        <v>7</v>
      </c>
      <c r="U42">
        <v>4</v>
      </c>
      <c r="W42">
        <v>1</v>
      </c>
      <c r="X42">
        <v>1</v>
      </c>
      <c r="Y42">
        <v>1</v>
      </c>
      <c r="Z42">
        <v>15</v>
      </c>
      <c r="AB42">
        <v>7</v>
      </c>
      <c r="AC42">
        <v>3</v>
      </c>
      <c r="AD42">
        <v>4</v>
      </c>
      <c r="AE42">
        <v>3</v>
      </c>
      <c r="AF42">
        <v>4</v>
      </c>
      <c r="AG42">
        <v>170</v>
      </c>
    </row>
    <row r="43" spans="1:33">
      <c r="A43" t="s">
        <v>47</v>
      </c>
      <c r="B43">
        <v>1</v>
      </c>
      <c r="C43">
        <v>1</v>
      </c>
      <c r="D43">
        <v>1</v>
      </c>
      <c r="E43">
        <v>1</v>
      </c>
      <c r="G43">
        <v>1</v>
      </c>
      <c r="K43">
        <v>3</v>
      </c>
      <c r="R43">
        <v>1</v>
      </c>
      <c r="Z43">
        <v>1</v>
      </c>
      <c r="AE43">
        <v>2</v>
      </c>
      <c r="AG43">
        <v>12</v>
      </c>
    </row>
    <row r="44" spans="1:33">
      <c r="A44" t="s">
        <v>48</v>
      </c>
      <c r="B44">
        <v>7</v>
      </c>
      <c r="D44">
        <v>5</v>
      </c>
      <c r="E44">
        <v>3</v>
      </c>
      <c r="G44">
        <v>12</v>
      </c>
      <c r="H44">
        <v>7</v>
      </c>
      <c r="I44">
        <v>4</v>
      </c>
      <c r="J44">
        <v>1</v>
      </c>
      <c r="K44">
        <v>1</v>
      </c>
      <c r="N44">
        <v>4</v>
      </c>
      <c r="O44">
        <v>1</v>
      </c>
      <c r="P44">
        <v>1</v>
      </c>
      <c r="Q44">
        <v>3</v>
      </c>
      <c r="R44">
        <v>1</v>
      </c>
      <c r="U44">
        <v>2</v>
      </c>
      <c r="V44">
        <v>2</v>
      </c>
      <c r="W44">
        <v>2</v>
      </c>
      <c r="Y44">
        <v>1</v>
      </c>
      <c r="Z44">
        <v>1</v>
      </c>
      <c r="AB44">
        <v>1</v>
      </c>
      <c r="AC44">
        <v>21</v>
      </c>
      <c r="AD44">
        <v>2</v>
      </c>
      <c r="AG44">
        <v>82</v>
      </c>
    </row>
    <row r="45" spans="1:33">
      <c r="A45" t="s">
        <v>35</v>
      </c>
      <c r="B45">
        <v>8</v>
      </c>
      <c r="C45">
        <v>1</v>
      </c>
      <c r="D45">
        <v>5</v>
      </c>
      <c r="E45">
        <v>3</v>
      </c>
      <c r="G45">
        <v>12</v>
      </c>
      <c r="H45">
        <v>6</v>
      </c>
      <c r="I45">
        <v>4</v>
      </c>
      <c r="K45">
        <v>1</v>
      </c>
      <c r="N45">
        <v>8</v>
      </c>
      <c r="Q45">
        <v>4</v>
      </c>
      <c r="R45">
        <v>1</v>
      </c>
      <c r="U45">
        <v>2</v>
      </c>
      <c r="V45">
        <v>2</v>
      </c>
      <c r="W45">
        <v>2</v>
      </c>
      <c r="Y45">
        <v>1</v>
      </c>
      <c r="AC45">
        <v>21</v>
      </c>
      <c r="AD45">
        <v>2</v>
      </c>
      <c r="AF45">
        <v>1</v>
      </c>
      <c r="AG45">
        <v>84</v>
      </c>
    </row>
    <row r="46" spans="1:33">
      <c r="A46" t="s">
        <v>46</v>
      </c>
      <c r="B46">
        <v>8</v>
      </c>
      <c r="C46">
        <v>1</v>
      </c>
      <c r="D46">
        <v>5</v>
      </c>
      <c r="E46">
        <v>3</v>
      </c>
      <c r="G46">
        <v>12</v>
      </c>
      <c r="H46">
        <v>6</v>
      </c>
      <c r="I46">
        <v>4</v>
      </c>
      <c r="K46">
        <v>1</v>
      </c>
      <c r="N46">
        <v>8</v>
      </c>
      <c r="Q46">
        <v>5</v>
      </c>
      <c r="R46">
        <v>1</v>
      </c>
      <c r="U46">
        <v>3</v>
      </c>
      <c r="V46">
        <v>2</v>
      </c>
      <c r="W46">
        <v>2</v>
      </c>
      <c r="Y46">
        <v>1</v>
      </c>
      <c r="AB46">
        <v>2</v>
      </c>
      <c r="AC46">
        <v>21</v>
      </c>
      <c r="AD46">
        <v>2</v>
      </c>
      <c r="AF46">
        <v>1</v>
      </c>
      <c r="AG46">
        <v>88</v>
      </c>
    </row>
    <row r="47" spans="1:33">
      <c r="A47" t="s">
        <v>67</v>
      </c>
      <c r="B47">
        <v>1</v>
      </c>
      <c r="C47">
        <v>1</v>
      </c>
      <c r="D47">
        <v>1</v>
      </c>
      <c r="G47">
        <v>1</v>
      </c>
      <c r="H47">
        <v>1</v>
      </c>
      <c r="I47">
        <v>3</v>
      </c>
      <c r="J47">
        <v>2</v>
      </c>
      <c r="K47">
        <v>3</v>
      </c>
      <c r="N47">
        <v>2</v>
      </c>
      <c r="O47">
        <v>3</v>
      </c>
      <c r="R47">
        <v>4</v>
      </c>
      <c r="U47">
        <v>7</v>
      </c>
      <c r="V47">
        <v>2</v>
      </c>
      <c r="W47">
        <v>2</v>
      </c>
      <c r="X47">
        <v>3</v>
      </c>
      <c r="Y47">
        <v>4</v>
      </c>
      <c r="AB47">
        <v>3</v>
      </c>
      <c r="AC47">
        <v>5</v>
      </c>
      <c r="AD47">
        <v>2</v>
      </c>
      <c r="AF47">
        <v>1</v>
      </c>
      <c r="AG47">
        <v>51</v>
      </c>
    </row>
    <row r="48" spans="1:33">
      <c r="A48" t="s">
        <v>58</v>
      </c>
      <c r="B48">
        <v>2</v>
      </c>
      <c r="C48">
        <v>3</v>
      </c>
      <c r="D48">
        <v>4</v>
      </c>
      <c r="E48">
        <v>12</v>
      </c>
      <c r="G48">
        <v>3</v>
      </c>
      <c r="H48">
        <v>2</v>
      </c>
      <c r="I48">
        <v>4</v>
      </c>
      <c r="J48">
        <v>1</v>
      </c>
      <c r="K48">
        <v>14</v>
      </c>
      <c r="L48">
        <v>4</v>
      </c>
      <c r="N48">
        <v>2</v>
      </c>
      <c r="O48">
        <v>1</v>
      </c>
      <c r="P48">
        <v>2</v>
      </c>
      <c r="Q48">
        <v>1</v>
      </c>
      <c r="R48">
        <v>3</v>
      </c>
      <c r="S48">
        <v>2</v>
      </c>
      <c r="U48">
        <v>4</v>
      </c>
      <c r="V48">
        <v>3</v>
      </c>
      <c r="W48">
        <v>2</v>
      </c>
      <c r="X48">
        <v>1</v>
      </c>
      <c r="Y48">
        <v>2</v>
      </c>
      <c r="Z48">
        <v>4</v>
      </c>
      <c r="AB48">
        <v>2</v>
      </c>
      <c r="AC48">
        <v>7</v>
      </c>
      <c r="AD48">
        <v>3</v>
      </c>
      <c r="AE48">
        <v>3</v>
      </c>
      <c r="AF48">
        <v>2</v>
      </c>
      <c r="AG48">
        <v>93</v>
      </c>
    </row>
    <row r="49" spans="1:33">
      <c r="A49" t="s">
        <v>108</v>
      </c>
      <c r="B49">
        <v>3</v>
      </c>
      <c r="C49">
        <v>3</v>
      </c>
      <c r="D49">
        <v>1</v>
      </c>
      <c r="E49">
        <v>5</v>
      </c>
      <c r="G49">
        <v>1</v>
      </c>
      <c r="H49">
        <v>1</v>
      </c>
      <c r="I49">
        <v>5</v>
      </c>
      <c r="J49">
        <v>1</v>
      </c>
      <c r="K49">
        <v>4</v>
      </c>
      <c r="L49">
        <v>5</v>
      </c>
      <c r="N49">
        <v>4</v>
      </c>
      <c r="O49">
        <v>5</v>
      </c>
      <c r="P49">
        <v>7</v>
      </c>
      <c r="R49">
        <v>1</v>
      </c>
      <c r="S49">
        <v>5</v>
      </c>
      <c r="U49">
        <v>4</v>
      </c>
      <c r="V49">
        <v>1</v>
      </c>
      <c r="W49">
        <v>2</v>
      </c>
      <c r="X49">
        <v>2</v>
      </c>
      <c r="Y49">
        <v>1</v>
      </c>
      <c r="Z49">
        <v>4</v>
      </c>
      <c r="AB49">
        <v>2</v>
      </c>
      <c r="AC49">
        <v>1</v>
      </c>
      <c r="AD49">
        <v>3</v>
      </c>
      <c r="AG49">
        <v>71</v>
      </c>
    </row>
    <row r="50" spans="1:33">
      <c r="A50" t="s">
        <v>462</v>
      </c>
      <c r="B50">
        <v>2</v>
      </c>
      <c r="C50">
        <v>1</v>
      </c>
      <c r="D50">
        <v>3</v>
      </c>
      <c r="E50">
        <v>5</v>
      </c>
      <c r="G50">
        <v>6</v>
      </c>
      <c r="H50">
        <v>5</v>
      </c>
      <c r="I50">
        <v>5</v>
      </c>
      <c r="J50">
        <v>4</v>
      </c>
      <c r="K50">
        <v>5</v>
      </c>
      <c r="L50">
        <v>4</v>
      </c>
      <c r="N50">
        <v>15</v>
      </c>
      <c r="O50">
        <v>4</v>
      </c>
      <c r="P50">
        <v>1</v>
      </c>
      <c r="Q50">
        <v>8</v>
      </c>
      <c r="R50">
        <v>4</v>
      </c>
      <c r="S50">
        <v>4</v>
      </c>
      <c r="U50">
        <v>14</v>
      </c>
      <c r="V50">
        <v>3</v>
      </c>
      <c r="W50">
        <v>2</v>
      </c>
      <c r="X50">
        <v>4</v>
      </c>
      <c r="Y50">
        <v>4</v>
      </c>
      <c r="Z50">
        <v>3</v>
      </c>
      <c r="AB50">
        <v>7</v>
      </c>
      <c r="AC50">
        <v>4</v>
      </c>
      <c r="AD50">
        <v>3</v>
      </c>
      <c r="AE50">
        <v>4</v>
      </c>
      <c r="AF50">
        <v>1</v>
      </c>
      <c r="AG50">
        <v>125</v>
      </c>
    </row>
    <row r="51" spans="1:33">
      <c r="A51" t="s">
        <v>129</v>
      </c>
      <c r="B51">
        <v>5</v>
      </c>
      <c r="C51">
        <v>2</v>
      </c>
      <c r="D51">
        <v>2</v>
      </c>
      <c r="E51">
        <v>2</v>
      </c>
      <c r="G51">
        <v>3</v>
      </c>
      <c r="H51">
        <v>4</v>
      </c>
      <c r="I51">
        <v>4</v>
      </c>
      <c r="J51">
        <v>2</v>
      </c>
      <c r="K51">
        <v>2</v>
      </c>
      <c r="L51">
        <v>3</v>
      </c>
      <c r="N51">
        <v>5</v>
      </c>
      <c r="O51">
        <v>2</v>
      </c>
      <c r="P51">
        <v>4</v>
      </c>
      <c r="Q51">
        <v>1</v>
      </c>
      <c r="R51">
        <v>2</v>
      </c>
      <c r="S51">
        <v>2</v>
      </c>
      <c r="U51">
        <v>2</v>
      </c>
      <c r="V51">
        <v>2</v>
      </c>
      <c r="W51">
        <v>2</v>
      </c>
      <c r="X51">
        <v>3</v>
      </c>
      <c r="Y51">
        <v>3</v>
      </c>
      <c r="Z51">
        <v>2</v>
      </c>
      <c r="AB51">
        <v>3</v>
      </c>
      <c r="AC51">
        <v>2</v>
      </c>
      <c r="AD51">
        <v>5</v>
      </c>
      <c r="AF51">
        <v>1</v>
      </c>
      <c r="AG51">
        <v>70</v>
      </c>
    </row>
    <row r="52" spans="1:33">
      <c r="A52" t="s">
        <v>107</v>
      </c>
      <c r="B52">
        <v>2</v>
      </c>
      <c r="C52">
        <v>1</v>
      </c>
      <c r="D52">
        <v>3</v>
      </c>
      <c r="G52">
        <v>11</v>
      </c>
      <c r="H52">
        <v>2</v>
      </c>
      <c r="I52">
        <v>6</v>
      </c>
      <c r="J52">
        <v>1</v>
      </c>
      <c r="K52">
        <v>4</v>
      </c>
      <c r="N52">
        <v>4</v>
      </c>
      <c r="O52">
        <v>1</v>
      </c>
      <c r="Q52">
        <v>3</v>
      </c>
      <c r="S52">
        <v>1</v>
      </c>
      <c r="U52">
        <v>1</v>
      </c>
      <c r="V52">
        <v>7</v>
      </c>
      <c r="W52">
        <v>3</v>
      </c>
      <c r="X52">
        <v>4</v>
      </c>
      <c r="Y52">
        <v>4</v>
      </c>
      <c r="Z52">
        <v>10</v>
      </c>
      <c r="AC52">
        <v>8</v>
      </c>
      <c r="AD52">
        <v>1</v>
      </c>
      <c r="AE52">
        <v>1</v>
      </c>
      <c r="AF52">
        <v>3</v>
      </c>
      <c r="AG52">
        <v>81</v>
      </c>
    </row>
    <row r="53" spans="1:33">
      <c r="A53" t="s">
        <v>72</v>
      </c>
      <c r="B53">
        <v>7</v>
      </c>
      <c r="D53">
        <v>2</v>
      </c>
      <c r="E53">
        <v>2</v>
      </c>
      <c r="G53">
        <v>15</v>
      </c>
      <c r="H53">
        <v>14</v>
      </c>
      <c r="I53">
        <v>10</v>
      </c>
      <c r="J53">
        <v>8</v>
      </c>
      <c r="K53">
        <v>15</v>
      </c>
      <c r="L53">
        <v>9</v>
      </c>
      <c r="N53">
        <v>11</v>
      </c>
      <c r="O53">
        <v>20</v>
      </c>
      <c r="P53">
        <v>5</v>
      </c>
      <c r="Q53">
        <v>7</v>
      </c>
      <c r="R53">
        <v>11</v>
      </c>
      <c r="S53">
        <v>1</v>
      </c>
      <c r="U53">
        <v>11</v>
      </c>
      <c r="V53">
        <v>25</v>
      </c>
      <c r="W53">
        <v>11</v>
      </c>
      <c r="X53">
        <v>7</v>
      </c>
      <c r="Y53">
        <v>10</v>
      </c>
      <c r="Z53">
        <v>3</v>
      </c>
      <c r="AB53">
        <v>2</v>
      </c>
      <c r="AC53">
        <v>29</v>
      </c>
      <c r="AD53">
        <v>5</v>
      </c>
      <c r="AE53">
        <v>17</v>
      </c>
      <c r="AF53">
        <v>6</v>
      </c>
      <c r="AG53">
        <v>263</v>
      </c>
    </row>
    <row r="54" spans="1:33">
      <c r="A54" t="s">
        <v>75</v>
      </c>
      <c r="B54">
        <v>1</v>
      </c>
      <c r="C54">
        <v>1</v>
      </c>
      <c r="P54">
        <v>1</v>
      </c>
      <c r="Y54">
        <v>1</v>
      </c>
      <c r="AG54">
        <v>4</v>
      </c>
    </row>
    <row r="55" spans="1:33">
      <c r="A55" t="s">
        <v>92</v>
      </c>
      <c r="C55">
        <v>1</v>
      </c>
      <c r="I55">
        <v>1</v>
      </c>
      <c r="Z55">
        <v>1</v>
      </c>
      <c r="AE55">
        <v>1</v>
      </c>
      <c r="AG55">
        <v>4</v>
      </c>
    </row>
    <row r="56" spans="1:33">
      <c r="A56" t="s">
        <v>94</v>
      </c>
      <c r="C56">
        <v>1</v>
      </c>
      <c r="I56">
        <v>1</v>
      </c>
      <c r="AE56">
        <v>1</v>
      </c>
      <c r="AG56">
        <v>3</v>
      </c>
    </row>
    <row r="57" spans="1:33">
      <c r="A57" t="s">
        <v>120</v>
      </c>
      <c r="C57">
        <v>1</v>
      </c>
      <c r="L57">
        <v>1</v>
      </c>
      <c r="N57">
        <v>1</v>
      </c>
      <c r="R57">
        <v>1</v>
      </c>
      <c r="U57">
        <v>1</v>
      </c>
      <c r="V57">
        <v>1</v>
      </c>
      <c r="Y57">
        <v>1</v>
      </c>
      <c r="Z57">
        <v>2</v>
      </c>
      <c r="AB57">
        <v>1</v>
      </c>
      <c r="AF57">
        <v>2</v>
      </c>
      <c r="AG57">
        <v>12</v>
      </c>
    </row>
    <row r="58" spans="1:33">
      <c r="A58" t="s">
        <v>71</v>
      </c>
      <c r="C58">
        <v>1</v>
      </c>
      <c r="E58">
        <v>2</v>
      </c>
      <c r="I58">
        <v>1</v>
      </c>
      <c r="J58">
        <v>1</v>
      </c>
      <c r="P58">
        <v>2</v>
      </c>
      <c r="Q58">
        <v>1</v>
      </c>
      <c r="AE58">
        <v>3</v>
      </c>
      <c r="AG58">
        <v>11</v>
      </c>
    </row>
    <row r="59" spans="1:33">
      <c r="A59" t="s">
        <v>124</v>
      </c>
      <c r="C59">
        <v>1</v>
      </c>
      <c r="D59">
        <v>1</v>
      </c>
      <c r="E59">
        <v>4</v>
      </c>
      <c r="G59">
        <v>1</v>
      </c>
      <c r="H59">
        <v>1</v>
      </c>
      <c r="J59">
        <v>1</v>
      </c>
      <c r="K59">
        <v>3</v>
      </c>
      <c r="L59">
        <v>4</v>
      </c>
      <c r="N59">
        <v>3</v>
      </c>
      <c r="O59">
        <v>2</v>
      </c>
      <c r="P59">
        <v>1</v>
      </c>
      <c r="R59">
        <v>3</v>
      </c>
      <c r="S59">
        <v>4</v>
      </c>
      <c r="U59">
        <v>6</v>
      </c>
      <c r="V59">
        <v>1</v>
      </c>
      <c r="W59">
        <v>1</v>
      </c>
      <c r="X59">
        <v>2</v>
      </c>
      <c r="Y59">
        <v>3</v>
      </c>
      <c r="Z59">
        <v>2</v>
      </c>
      <c r="AB59">
        <v>6</v>
      </c>
      <c r="AD59">
        <v>1</v>
      </c>
      <c r="AE59">
        <v>1</v>
      </c>
      <c r="AF59">
        <v>1</v>
      </c>
      <c r="AG59">
        <v>53</v>
      </c>
    </row>
    <row r="60" spans="1:33">
      <c r="A60" t="s">
        <v>104</v>
      </c>
      <c r="C60">
        <v>2</v>
      </c>
      <c r="D60">
        <v>1</v>
      </c>
      <c r="G60">
        <v>1</v>
      </c>
      <c r="H60">
        <v>2</v>
      </c>
      <c r="K60">
        <v>1</v>
      </c>
      <c r="L60">
        <v>3</v>
      </c>
      <c r="N60">
        <v>2</v>
      </c>
      <c r="O60">
        <v>2</v>
      </c>
      <c r="P60">
        <v>4</v>
      </c>
      <c r="Q60">
        <v>1</v>
      </c>
      <c r="R60">
        <v>1</v>
      </c>
      <c r="U60">
        <v>1</v>
      </c>
      <c r="V60">
        <v>2</v>
      </c>
      <c r="W60">
        <v>2</v>
      </c>
      <c r="Y60">
        <v>2</v>
      </c>
      <c r="AB60">
        <v>2</v>
      </c>
      <c r="AC60">
        <v>1</v>
      </c>
      <c r="AD60">
        <v>1</v>
      </c>
      <c r="AE60">
        <v>1</v>
      </c>
      <c r="AF60">
        <v>3</v>
      </c>
      <c r="AG60">
        <v>35</v>
      </c>
    </row>
    <row r="61" spans="1:33">
      <c r="A61" t="s">
        <v>113</v>
      </c>
      <c r="C61">
        <v>1</v>
      </c>
      <c r="D61">
        <v>1</v>
      </c>
      <c r="E61">
        <v>1</v>
      </c>
      <c r="G61">
        <v>1</v>
      </c>
      <c r="H61">
        <v>2</v>
      </c>
      <c r="K61">
        <v>1</v>
      </c>
      <c r="N61">
        <v>3</v>
      </c>
      <c r="O61">
        <v>2</v>
      </c>
      <c r="P61">
        <v>3</v>
      </c>
      <c r="Q61">
        <v>1</v>
      </c>
      <c r="R61">
        <v>1</v>
      </c>
      <c r="U61">
        <v>1</v>
      </c>
      <c r="V61">
        <v>2</v>
      </c>
      <c r="W61">
        <v>1</v>
      </c>
      <c r="X61">
        <v>1</v>
      </c>
      <c r="Y61">
        <v>2</v>
      </c>
      <c r="AB61">
        <v>2</v>
      </c>
      <c r="AC61">
        <v>1</v>
      </c>
      <c r="AD61">
        <v>1</v>
      </c>
      <c r="AE61">
        <v>1</v>
      </c>
      <c r="AF61">
        <v>2</v>
      </c>
      <c r="AG61">
        <v>31</v>
      </c>
    </row>
    <row r="62" spans="1:33">
      <c r="A62" t="s">
        <v>102</v>
      </c>
      <c r="C62">
        <v>4</v>
      </c>
      <c r="E62">
        <v>1</v>
      </c>
      <c r="G62">
        <v>1</v>
      </c>
      <c r="J62">
        <v>1</v>
      </c>
      <c r="L62">
        <v>1</v>
      </c>
      <c r="N62">
        <v>2</v>
      </c>
      <c r="P62">
        <v>3</v>
      </c>
      <c r="Q62">
        <v>1</v>
      </c>
      <c r="R62">
        <v>4</v>
      </c>
      <c r="U62">
        <v>2</v>
      </c>
      <c r="W62">
        <v>1</v>
      </c>
      <c r="X62">
        <v>1</v>
      </c>
      <c r="AB62">
        <v>2</v>
      </c>
      <c r="AE62">
        <v>1</v>
      </c>
      <c r="AF62">
        <v>2</v>
      </c>
      <c r="AG62">
        <v>27</v>
      </c>
    </row>
    <row r="63" spans="1:33">
      <c r="A63" t="s">
        <v>60</v>
      </c>
      <c r="D63">
        <v>2</v>
      </c>
      <c r="G63">
        <v>2</v>
      </c>
      <c r="I63">
        <v>1</v>
      </c>
      <c r="Q63">
        <v>2</v>
      </c>
      <c r="AG63">
        <v>7</v>
      </c>
    </row>
    <row r="64" spans="1:33">
      <c r="A64" t="s">
        <v>82</v>
      </c>
      <c r="D64">
        <v>1</v>
      </c>
      <c r="J64">
        <v>1</v>
      </c>
      <c r="L64">
        <v>1</v>
      </c>
      <c r="O64">
        <v>1</v>
      </c>
      <c r="S64">
        <v>2</v>
      </c>
      <c r="V64">
        <v>2</v>
      </c>
      <c r="Z64">
        <v>1</v>
      </c>
      <c r="AG64">
        <v>9</v>
      </c>
    </row>
    <row r="65" spans="1:33">
      <c r="A65" t="s">
        <v>121</v>
      </c>
      <c r="D65">
        <v>1</v>
      </c>
      <c r="E65">
        <v>4</v>
      </c>
      <c r="G65">
        <v>1</v>
      </c>
      <c r="J65">
        <v>1</v>
      </c>
      <c r="K65">
        <v>2</v>
      </c>
      <c r="L65">
        <v>1</v>
      </c>
      <c r="N65">
        <v>3</v>
      </c>
      <c r="O65">
        <v>1</v>
      </c>
      <c r="Q65">
        <v>1</v>
      </c>
      <c r="R65">
        <v>1</v>
      </c>
      <c r="S65">
        <v>1</v>
      </c>
      <c r="U65">
        <v>1</v>
      </c>
      <c r="Y65">
        <v>1</v>
      </c>
      <c r="AB65">
        <v>2</v>
      </c>
      <c r="AF65">
        <v>1</v>
      </c>
      <c r="AG65">
        <v>22</v>
      </c>
    </row>
    <row r="66" spans="1:33">
      <c r="A66" t="s">
        <v>132</v>
      </c>
      <c r="D66">
        <v>1</v>
      </c>
      <c r="H66">
        <v>1</v>
      </c>
      <c r="I66">
        <v>1</v>
      </c>
      <c r="J66">
        <v>1</v>
      </c>
      <c r="K66">
        <v>1</v>
      </c>
      <c r="L66">
        <v>1</v>
      </c>
      <c r="N66">
        <v>2</v>
      </c>
      <c r="O66">
        <v>1</v>
      </c>
      <c r="R66">
        <v>1</v>
      </c>
      <c r="AF66">
        <v>1</v>
      </c>
      <c r="AG66">
        <v>11</v>
      </c>
    </row>
    <row r="67" spans="1:33">
      <c r="A67" t="s">
        <v>123</v>
      </c>
      <c r="D67">
        <v>1</v>
      </c>
      <c r="E67">
        <v>1</v>
      </c>
      <c r="H67">
        <v>2</v>
      </c>
      <c r="I67">
        <v>2</v>
      </c>
      <c r="J67">
        <v>2</v>
      </c>
      <c r="L67">
        <v>2</v>
      </c>
      <c r="N67">
        <v>2</v>
      </c>
      <c r="O67">
        <v>2</v>
      </c>
      <c r="S67">
        <v>2</v>
      </c>
      <c r="U67">
        <v>3</v>
      </c>
      <c r="X67">
        <v>1</v>
      </c>
      <c r="Y67">
        <v>2</v>
      </c>
      <c r="Z67">
        <v>1</v>
      </c>
      <c r="AB67">
        <v>3</v>
      </c>
      <c r="AC67">
        <v>1</v>
      </c>
      <c r="AF67">
        <v>1</v>
      </c>
      <c r="AG67">
        <v>28</v>
      </c>
    </row>
    <row r="68" spans="1:33">
      <c r="A68" t="s">
        <v>125</v>
      </c>
      <c r="D68">
        <v>1</v>
      </c>
      <c r="G68">
        <v>1</v>
      </c>
      <c r="H68">
        <v>1</v>
      </c>
      <c r="J68">
        <v>1</v>
      </c>
      <c r="L68">
        <v>2</v>
      </c>
      <c r="N68">
        <v>1</v>
      </c>
      <c r="O68">
        <v>1</v>
      </c>
      <c r="S68">
        <v>2</v>
      </c>
      <c r="U68">
        <v>1</v>
      </c>
      <c r="X68">
        <v>1</v>
      </c>
      <c r="Y68">
        <v>2</v>
      </c>
      <c r="Z68">
        <v>1</v>
      </c>
      <c r="AB68">
        <v>2</v>
      </c>
      <c r="AG68">
        <v>17</v>
      </c>
    </row>
    <row r="69" spans="1:33">
      <c r="A69" t="s">
        <v>127</v>
      </c>
      <c r="D69">
        <v>1</v>
      </c>
      <c r="G69">
        <v>1</v>
      </c>
      <c r="H69">
        <v>1</v>
      </c>
      <c r="J69">
        <v>1</v>
      </c>
      <c r="L69">
        <v>3</v>
      </c>
      <c r="N69">
        <v>1</v>
      </c>
      <c r="O69">
        <v>2</v>
      </c>
      <c r="S69">
        <v>1</v>
      </c>
      <c r="U69">
        <v>1</v>
      </c>
      <c r="W69">
        <v>1</v>
      </c>
      <c r="Y69">
        <v>2</v>
      </c>
      <c r="Z69">
        <v>1</v>
      </c>
      <c r="AB69">
        <v>2</v>
      </c>
      <c r="AC69">
        <v>1</v>
      </c>
      <c r="AG69">
        <v>19</v>
      </c>
    </row>
    <row r="70" spans="1:33">
      <c r="A70" t="s">
        <v>66</v>
      </c>
      <c r="D70">
        <v>2</v>
      </c>
      <c r="H70">
        <v>1</v>
      </c>
      <c r="J70">
        <v>1</v>
      </c>
      <c r="K70">
        <v>1</v>
      </c>
      <c r="L70">
        <v>2</v>
      </c>
      <c r="N70">
        <v>1</v>
      </c>
      <c r="O70">
        <v>1</v>
      </c>
      <c r="R70">
        <v>1</v>
      </c>
      <c r="V70">
        <v>1</v>
      </c>
      <c r="Y70">
        <v>1</v>
      </c>
      <c r="Z70">
        <v>2</v>
      </c>
      <c r="AB70">
        <v>2</v>
      </c>
      <c r="AF70">
        <v>1</v>
      </c>
      <c r="AG70">
        <v>17</v>
      </c>
    </row>
    <row r="71" spans="1:33">
      <c r="A71" t="s">
        <v>110</v>
      </c>
      <c r="D71">
        <v>1</v>
      </c>
      <c r="G71">
        <v>1</v>
      </c>
      <c r="I71">
        <v>1</v>
      </c>
      <c r="J71">
        <v>1</v>
      </c>
      <c r="K71">
        <v>1</v>
      </c>
      <c r="Q71">
        <v>2</v>
      </c>
      <c r="R71">
        <v>1</v>
      </c>
      <c r="Y71">
        <v>1</v>
      </c>
      <c r="AG71">
        <v>9</v>
      </c>
    </row>
    <row r="72" spans="1:33">
      <c r="A72" t="s">
        <v>99</v>
      </c>
      <c r="D72">
        <v>1</v>
      </c>
      <c r="H72">
        <v>1</v>
      </c>
      <c r="K72">
        <v>1</v>
      </c>
      <c r="N72">
        <v>1</v>
      </c>
      <c r="Q72">
        <v>1</v>
      </c>
      <c r="R72">
        <v>1</v>
      </c>
      <c r="V72">
        <v>1</v>
      </c>
      <c r="Y72">
        <v>1</v>
      </c>
      <c r="AC72">
        <v>1</v>
      </c>
      <c r="AF72">
        <v>1</v>
      </c>
      <c r="AG72">
        <v>10</v>
      </c>
    </row>
    <row r="73" spans="1:33">
      <c r="A73" t="s">
        <v>36</v>
      </c>
      <c r="E73">
        <v>1</v>
      </c>
      <c r="O73">
        <v>1</v>
      </c>
      <c r="P73">
        <v>1</v>
      </c>
      <c r="R73">
        <v>1</v>
      </c>
      <c r="S73">
        <v>1</v>
      </c>
      <c r="U73">
        <v>1</v>
      </c>
      <c r="W73">
        <v>1</v>
      </c>
      <c r="Z73">
        <v>1</v>
      </c>
      <c r="AB73">
        <v>1</v>
      </c>
      <c r="AC73">
        <v>1</v>
      </c>
      <c r="AD73">
        <v>2</v>
      </c>
      <c r="AG73">
        <v>12</v>
      </c>
    </row>
    <row r="74" spans="1:33">
      <c r="A74" t="s">
        <v>118</v>
      </c>
      <c r="D74">
        <v>1</v>
      </c>
      <c r="G74">
        <v>2</v>
      </c>
      <c r="H74">
        <v>1</v>
      </c>
      <c r="I74">
        <v>1</v>
      </c>
      <c r="J74">
        <v>1</v>
      </c>
      <c r="L74">
        <v>3</v>
      </c>
      <c r="N74">
        <v>4</v>
      </c>
      <c r="P74">
        <v>1</v>
      </c>
      <c r="Q74">
        <v>1</v>
      </c>
      <c r="S74">
        <v>2</v>
      </c>
      <c r="U74">
        <v>3</v>
      </c>
      <c r="V74">
        <v>1</v>
      </c>
      <c r="W74">
        <v>1</v>
      </c>
      <c r="AB74">
        <v>1</v>
      </c>
      <c r="AC74">
        <v>1</v>
      </c>
      <c r="AD74">
        <v>1</v>
      </c>
      <c r="AE74">
        <v>1</v>
      </c>
      <c r="AG74">
        <v>26</v>
      </c>
    </row>
    <row r="75" spans="1:33">
      <c r="A75" t="s">
        <v>130</v>
      </c>
      <c r="E75">
        <v>1</v>
      </c>
      <c r="G75">
        <v>1</v>
      </c>
      <c r="H75">
        <v>1</v>
      </c>
      <c r="L75">
        <v>4</v>
      </c>
      <c r="N75">
        <v>1</v>
      </c>
      <c r="P75">
        <v>1</v>
      </c>
      <c r="R75">
        <v>1</v>
      </c>
      <c r="U75">
        <v>2</v>
      </c>
      <c r="W75">
        <v>2</v>
      </c>
      <c r="Y75">
        <v>1</v>
      </c>
      <c r="AB75">
        <v>1</v>
      </c>
      <c r="AE75">
        <v>1</v>
      </c>
      <c r="AG75">
        <v>17</v>
      </c>
    </row>
    <row r="76" spans="1:33">
      <c r="A76" t="s">
        <v>103</v>
      </c>
      <c r="E76">
        <v>1</v>
      </c>
      <c r="K76">
        <v>1</v>
      </c>
      <c r="L76">
        <v>2</v>
      </c>
      <c r="N76">
        <v>1</v>
      </c>
      <c r="P76">
        <v>2</v>
      </c>
      <c r="Q76">
        <v>1</v>
      </c>
      <c r="R76">
        <v>2</v>
      </c>
      <c r="U76">
        <v>1</v>
      </c>
      <c r="W76">
        <v>3</v>
      </c>
      <c r="X76">
        <v>1</v>
      </c>
      <c r="Z76">
        <v>1</v>
      </c>
      <c r="AC76">
        <v>1</v>
      </c>
      <c r="AF76">
        <v>1</v>
      </c>
      <c r="AG76">
        <v>18</v>
      </c>
    </row>
    <row r="77" spans="1:33">
      <c r="A77" t="s">
        <v>105</v>
      </c>
      <c r="D77">
        <v>3</v>
      </c>
      <c r="E77">
        <v>1</v>
      </c>
      <c r="G77">
        <v>10</v>
      </c>
      <c r="H77">
        <v>3</v>
      </c>
      <c r="I77">
        <v>3</v>
      </c>
      <c r="K77">
        <v>1</v>
      </c>
      <c r="N77">
        <v>2</v>
      </c>
      <c r="Q77">
        <v>2</v>
      </c>
      <c r="S77">
        <v>1</v>
      </c>
      <c r="U77">
        <v>1</v>
      </c>
      <c r="V77">
        <v>3</v>
      </c>
      <c r="W77">
        <v>2</v>
      </c>
      <c r="Y77">
        <v>1</v>
      </c>
      <c r="AB77">
        <v>1</v>
      </c>
      <c r="AC77">
        <v>8</v>
      </c>
      <c r="AF77">
        <v>1</v>
      </c>
      <c r="AG77">
        <v>43</v>
      </c>
    </row>
    <row r="78" spans="1:33">
      <c r="A78" t="s">
        <v>106</v>
      </c>
      <c r="D78">
        <v>3</v>
      </c>
      <c r="G78">
        <v>10</v>
      </c>
      <c r="H78">
        <v>3</v>
      </c>
      <c r="I78">
        <v>3</v>
      </c>
      <c r="K78">
        <v>1</v>
      </c>
      <c r="N78">
        <v>2</v>
      </c>
      <c r="Q78">
        <v>2</v>
      </c>
      <c r="S78">
        <v>1</v>
      </c>
      <c r="U78">
        <v>1</v>
      </c>
      <c r="V78">
        <v>4</v>
      </c>
      <c r="W78">
        <v>2</v>
      </c>
      <c r="Y78">
        <v>1</v>
      </c>
      <c r="AC78">
        <v>8</v>
      </c>
      <c r="AF78">
        <v>1</v>
      </c>
      <c r="AG78">
        <v>42</v>
      </c>
    </row>
    <row r="79" spans="1:33">
      <c r="A79" t="s">
        <v>111</v>
      </c>
      <c r="G79">
        <v>3</v>
      </c>
      <c r="I79">
        <v>3</v>
      </c>
      <c r="K79">
        <v>1</v>
      </c>
      <c r="L79">
        <v>2</v>
      </c>
      <c r="N79">
        <v>3</v>
      </c>
      <c r="Q79">
        <v>2</v>
      </c>
      <c r="R79">
        <v>1</v>
      </c>
      <c r="S79">
        <v>1</v>
      </c>
      <c r="U79">
        <v>6</v>
      </c>
      <c r="V79">
        <v>1</v>
      </c>
      <c r="Z79">
        <v>6</v>
      </c>
      <c r="AB79">
        <v>2</v>
      </c>
      <c r="AC79">
        <v>1</v>
      </c>
      <c r="AD79">
        <v>2</v>
      </c>
      <c r="AE79">
        <v>1</v>
      </c>
      <c r="AF79">
        <v>1</v>
      </c>
      <c r="AG79">
        <v>36</v>
      </c>
    </row>
    <row r="80" spans="1:33">
      <c r="A80" t="s">
        <v>460</v>
      </c>
      <c r="G80">
        <v>1</v>
      </c>
      <c r="L80">
        <v>1</v>
      </c>
      <c r="AD80">
        <v>1</v>
      </c>
      <c r="AG80">
        <v>3</v>
      </c>
    </row>
    <row r="81" spans="1:33">
      <c r="A81" t="s">
        <v>84</v>
      </c>
      <c r="G81">
        <v>1</v>
      </c>
      <c r="H81">
        <v>1</v>
      </c>
      <c r="N81">
        <v>1</v>
      </c>
      <c r="V81">
        <v>1</v>
      </c>
      <c r="AB81">
        <v>1</v>
      </c>
      <c r="AG81">
        <v>5</v>
      </c>
    </row>
    <row r="82" spans="1:33">
      <c r="A82" t="s">
        <v>87</v>
      </c>
      <c r="G82">
        <v>2</v>
      </c>
      <c r="J82">
        <v>1</v>
      </c>
      <c r="O82">
        <v>1</v>
      </c>
      <c r="Y82">
        <v>1</v>
      </c>
      <c r="Z82">
        <v>1</v>
      </c>
      <c r="AB82">
        <v>1</v>
      </c>
      <c r="AD82">
        <v>1</v>
      </c>
      <c r="AG82">
        <v>8</v>
      </c>
    </row>
    <row r="83" spans="1:33">
      <c r="A83" t="s">
        <v>126</v>
      </c>
      <c r="G83">
        <v>1</v>
      </c>
      <c r="H83">
        <v>1</v>
      </c>
      <c r="K83">
        <v>1</v>
      </c>
      <c r="L83">
        <v>2</v>
      </c>
      <c r="N83">
        <v>1</v>
      </c>
      <c r="O83">
        <v>2</v>
      </c>
      <c r="P83">
        <v>1</v>
      </c>
      <c r="R83">
        <v>2</v>
      </c>
      <c r="S83">
        <v>1</v>
      </c>
      <c r="U83">
        <v>4</v>
      </c>
      <c r="W83">
        <v>2</v>
      </c>
      <c r="X83">
        <v>2</v>
      </c>
      <c r="Y83">
        <v>1</v>
      </c>
      <c r="AB83">
        <v>3</v>
      </c>
      <c r="AC83">
        <v>1</v>
      </c>
      <c r="AD83">
        <v>1</v>
      </c>
      <c r="AG83">
        <v>26</v>
      </c>
    </row>
    <row r="84" spans="1:33">
      <c r="A84" t="s">
        <v>40</v>
      </c>
      <c r="H84">
        <v>1</v>
      </c>
      <c r="K84">
        <v>3</v>
      </c>
      <c r="L84">
        <v>3</v>
      </c>
      <c r="N84">
        <v>1</v>
      </c>
      <c r="O84">
        <v>3</v>
      </c>
      <c r="P84">
        <v>1</v>
      </c>
      <c r="Z84">
        <v>4</v>
      </c>
      <c r="AB84">
        <v>1</v>
      </c>
      <c r="AG84">
        <v>17</v>
      </c>
    </row>
    <row r="85" spans="1:33">
      <c r="A85" t="s">
        <v>97</v>
      </c>
      <c r="G85">
        <v>1</v>
      </c>
      <c r="H85">
        <v>1</v>
      </c>
      <c r="N85">
        <v>4</v>
      </c>
      <c r="O85">
        <v>3</v>
      </c>
      <c r="AG85">
        <v>9</v>
      </c>
    </row>
    <row r="86" spans="1:33">
      <c r="A86" t="s">
        <v>74</v>
      </c>
      <c r="G86">
        <v>1</v>
      </c>
      <c r="I86">
        <v>1</v>
      </c>
      <c r="L86">
        <v>2</v>
      </c>
      <c r="N86">
        <v>1</v>
      </c>
      <c r="Q86">
        <v>1</v>
      </c>
      <c r="R86">
        <v>1</v>
      </c>
      <c r="U86">
        <v>1</v>
      </c>
      <c r="V86">
        <v>1</v>
      </c>
      <c r="Y86">
        <v>1</v>
      </c>
      <c r="Z86">
        <v>1</v>
      </c>
      <c r="AB86">
        <v>1</v>
      </c>
      <c r="AF86">
        <v>1</v>
      </c>
      <c r="AG86">
        <v>13</v>
      </c>
    </row>
    <row r="87" spans="1:33">
      <c r="A87" t="s">
        <v>131</v>
      </c>
      <c r="I87">
        <v>1</v>
      </c>
      <c r="N87">
        <v>1</v>
      </c>
      <c r="U87">
        <v>1</v>
      </c>
      <c r="W87">
        <v>1</v>
      </c>
      <c r="AD87">
        <v>1</v>
      </c>
      <c r="AG87">
        <v>5</v>
      </c>
    </row>
    <row r="88" spans="1:33">
      <c r="A88" t="s">
        <v>116</v>
      </c>
      <c r="I88">
        <v>5</v>
      </c>
      <c r="K88">
        <v>5</v>
      </c>
      <c r="L88">
        <v>1</v>
      </c>
      <c r="N88">
        <v>1</v>
      </c>
      <c r="O88">
        <v>7</v>
      </c>
      <c r="Q88">
        <v>1</v>
      </c>
      <c r="U88">
        <v>1</v>
      </c>
      <c r="W88">
        <v>1</v>
      </c>
      <c r="AE88">
        <v>3</v>
      </c>
      <c r="AF88">
        <v>1</v>
      </c>
      <c r="AG88">
        <v>26</v>
      </c>
    </row>
    <row r="89" spans="1:33">
      <c r="A89" t="s">
        <v>90</v>
      </c>
      <c r="I89">
        <v>1</v>
      </c>
      <c r="AG89">
        <v>1</v>
      </c>
    </row>
    <row r="90" spans="1:33">
      <c r="A90" t="s">
        <v>88</v>
      </c>
      <c r="K90">
        <v>1</v>
      </c>
      <c r="L90">
        <v>1</v>
      </c>
      <c r="R90">
        <v>1</v>
      </c>
      <c r="AG90">
        <v>3</v>
      </c>
    </row>
    <row r="91" spans="1:33">
      <c r="A91" t="s">
        <v>83</v>
      </c>
      <c r="L91">
        <v>1</v>
      </c>
      <c r="P91">
        <v>1</v>
      </c>
      <c r="R91">
        <v>1</v>
      </c>
      <c r="S91">
        <v>1</v>
      </c>
      <c r="W91">
        <v>1</v>
      </c>
      <c r="AG91">
        <v>5</v>
      </c>
    </row>
    <row r="92" spans="1:33">
      <c r="A92" t="s">
        <v>62</v>
      </c>
      <c r="L92">
        <v>1</v>
      </c>
      <c r="P92">
        <v>1</v>
      </c>
      <c r="U92">
        <v>1</v>
      </c>
      <c r="V92">
        <v>1</v>
      </c>
      <c r="Y92">
        <v>1</v>
      </c>
      <c r="AB92">
        <v>1</v>
      </c>
      <c r="AG92">
        <v>6</v>
      </c>
    </row>
    <row r="93" spans="1:33">
      <c r="A93" t="s">
        <v>117</v>
      </c>
      <c r="K93">
        <v>1</v>
      </c>
      <c r="N93">
        <v>1</v>
      </c>
      <c r="Q93">
        <v>1</v>
      </c>
      <c r="S93">
        <v>1</v>
      </c>
      <c r="U93">
        <v>1</v>
      </c>
      <c r="AG93">
        <v>5</v>
      </c>
    </row>
    <row r="94" spans="1:33">
      <c r="A94" t="s">
        <v>93</v>
      </c>
      <c r="K94">
        <v>1</v>
      </c>
      <c r="O94">
        <v>2</v>
      </c>
      <c r="V94">
        <v>1</v>
      </c>
      <c r="Z94">
        <v>1</v>
      </c>
      <c r="AC94">
        <v>1</v>
      </c>
      <c r="AG94">
        <v>6</v>
      </c>
    </row>
    <row r="95" spans="1:33">
      <c r="A95" t="s">
        <v>114</v>
      </c>
      <c r="N95">
        <v>2</v>
      </c>
      <c r="R95">
        <v>1</v>
      </c>
      <c r="U95">
        <v>2</v>
      </c>
      <c r="W95">
        <v>1</v>
      </c>
      <c r="X95">
        <v>1</v>
      </c>
      <c r="Y95">
        <v>2</v>
      </c>
      <c r="Z95">
        <v>1</v>
      </c>
      <c r="AC95">
        <v>2</v>
      </c>
      <c r="AG95">
        <v>12</v>
      </c>
    </row>
    <row r="96" spans="1:33">
      <c r="A96" t="s">
        <v>85</v>
      </c>
      <c r="N96">
        <v>1</v>
      </c>
      <c r="P96">
        <v>2</v>
      </c>
      <c r="U96">
        <v>1</v>
      </c>
      <c r="W96">
        <v>1</v>
      </c>
      <c r="Y96">
        <v>1</v>
      </c>
      <c r="AG96">
        <v>6</v>
      </c>
    </row>
    <row r="97" spans="1:33">
      <c r="A97" t="s">
        <v>91</v>
      </c>
      <c r="V97">
        <v>1</v>
      </c>
      <c r="AD97">
        <v>1</v>
      </c>
      <c r="AG97">
        <v>2</v>
      </c>
    </row>
    <row r="98" spans="1:33">
      <c r="A98" t="s">
        <v>63</v>
      </c>
      <c r="Z98">
        <v>1</v>
      </c>
      <c r="AG98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I1000"/>
  <sheetViews>
    <sheetView workbookViewId="0">
      <selection activeCell="B428" sqref="B428"/>
    </sheetView>
  </sheetViews>
  <sheetFormatPr defaultColWidth="9" defaultRowHeight="12.75"/>
  <cols>
    <col min="1" max="1" width="17.85546875" customWidth="1"/>
    <col min="2" max="2" width="31" customWidth="1"/>
    <col min="3" max="11" width="4.28515625" customWidth="1"/>
    <col min="12" max="33" width="5.28515625" customWidth="1"/>
    <col min="34" max="34" width="7.85546875" customWidth="1"/>
    <col min="35" max="35" width="13.85546875" customWidth="1"/>
  </cols>
  <sheetData>
    <row r="1" spans="1:35">
      <c r="A1" t="s">
        <v>172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173</v>
      </c>
    </row>
    <row r="2" spans="1:35">
      <c r="A2" t="s">
        <v>174</v>
      </c>
      <c r="B2" t="s">
        <v>175</v>
      </c>
      <c r="C2">
        <v>8</v>
      </c>
      <c r="AH2">
        <v>8</v>
      </c>
      <c r="AI2" t="s">
        <v>176</v>
      </c>
    </row>
    <row r="3" spans="1:35">
      <c r="B3" t="s">
        <v>177</v>
      </c>
      <c r="C3">
        <v>6</v>
      </c>
      <c r="AH3">
        <v>6</v>
      </c>
      <c r="AI3" t="s">
        <v>176</v>
      </c>
    </row>
    <row r="4" spans="1:35">
      <c r="B4" t="s">
        <v>178</v>
      </c>
      <c r="C4">
        <v>9</v>
      </c>
      <c r="AH4">
        <v>9</v>
      </c>
      <c r="AI4" t="s">
        <v>176</v>
      </c>
    </row>
    <row r="5" spans="1:35">
      <c r="B5" t="s">
        <v>179</v>
      </c>
      <c r="C5">
        <v>1</v>
      </c>
      <c r="AH5">
        <v>1</v>
      </c>
      <c r="AI5" t="s">
        <v>176</v>
      </c>
    </row>
    <row r="6" spans="1:35">
      <c r="B6" t="s">
        <v>180</v>
      </c>
      <c r="C6">
        <v>1</v>
      </c>
      <c r="AH6">
        <v>1</v>
      </c>
      <c r="AI6" t="s">
        <v>176</v>
      </c>
    </row>
    <row r="7" spans="1:35">
      <c r="B7" t="s">
        <v>181</v>
      </c>
      <c r="C7">
        <v>2</v>
      </c>
      <c r="AH7">
        <v>2</v>
      </c>
      <c r="AI7" t="s">
        <v>176</v>
      </c>
    </row>
    <row r="8" spans="1:35">
      <c r="B8" t="s">
        <v>182</v>
      </c>
      <c r="C8">
        <v>8</v>
      </c>
      <c r="AH8">
        <v>8</v>
      </c>
      <c r="AI8" t="s">
        <v>176</v>
      </c>
    </row>
    <row r="9" spans="1:35">
      <c r="B9" t="s">
        <v>183</v>
      </c>
      <c r="C9">
        <v>8</v>
      </c>
      <c r="AH9">
        <v>8</v>
      </c>
      <c r="AI9" t="s">
        <v>176</v>
      </c>
    </row>
    <row r="10" spans="1:35">
      <c r="B10" t="s">
        <v>184</v>
      </c>
      <c r="C10">
        <v>1</v>
      </c>
      <c r="AH10">
        <v>1</v>
      </c>
      <c r="AI10" t="s">
        <v>176</v>
      </c>
    </row>
    <row r="11" spans="1:35">
      <c r="A11" t="s">
        <v>185</v>
      </c>
      <c r="B11" t="s">
        <v>186</v>
      </c>
      <c r="C11">
        <v>6</v>
      </c>
      <c r="AH11">
        <v>6</v>
      </c>
      <c r="AI11" t="s">
        <v>176</v>
      </c>
    </row>
    <row r="12" spans="1:35">
      <c r="B12" t="s">
        <v>187</v>
      </c>
      <c r="C12">
        <v>6</v>
      </c>
      <c r="AH12">
        <v>6</v>
      </c>
      <c r="AI12" t="s">
        <v>176</v>
      </c>
    </row>
    <row r="13" spans="1:35">
      <c r="A13" t="s">
        <v>188</v>
      </c>
      <c r="B13" t="s">
        <v>189</v>
      </c>
      <c r="C13">
        <v>8</v>
      </c>
      <c r="AH13">
        <v>8</v>
      </c>
      <c r="AI13" t="s">
        <v>176</v>
      </c>
    </row>
    <row r="14" spans="1:35">
      <c r="B14" t="s">
        <v>190</v>
      </c>
      <c r="C14">
        <v>1</v>
      </c>
      <c r="AH14">
        <v>1</v>
      </c>
      <c r="AI14" t="s">
        <v>176</v>
      </c>
    </row>
    <row r="15" spans="1:35">
      <c r="B15" t="s">
        <v>191</v>
      </c>
      <c r="C15">
        <v>1</v>
      </c>
      <c r="AH15">
        <v>1</v>
      </c>
      <c r="AI15" t="s">
        <v>176</v>
      </c>
    </row>
    <row r="16" spans="1:35">
      <c r="B16" t="s">
        <v>192</v>
      </c>
      <c r="C16">
        <v>2</v>
      </c>
      <c r="AH16">
        <v>2</v>
      </c>
      <c r="AI16" t="s">
        <v>176</v>
      </c>
    </row>
    <row r="17" spans="1:35">
      <c r="B17" t="s">
        <v>193</v>
      </c>
      <c r="C17">
        <v>1</v>
      </c>
      <c r="AH17">
        <v>1</v>
      </c>
      <c r="AI17" t="s">
        <v>176</v>
      </c>
    </row>
    <row r="18" spans="1:35">
      <c r="B18" t="s">
        <v>194</v>
      </c>
      <c r="C18">
        <v>1</v>
      </c>
      <c r="AH18">
        <v>1</v>
      </c>
      <c r="AI18" t="s">
        <v>176</v>
      </c>
    </row>
    <row r="19" spans="1:35">
      <c r="B19" t="s">
        <v>128</v>
      </c>
      <c r="C19">
        <v>1</v>
      </c>
      <c r="AH19">
        <v>1</v>
      </c>
      <c r="AI19" t="s">
        <v>176</v>
      </c>
    </row>
    <row r="20" spans="1:35">
      <c r="B20" t="s">
        <v>195</v>
      </c>
      <c r="C20">
        <v>1</v>
      </c>
      <c r="AH20">
        <v>1</v>
      </c>
      <c r="AI20" t="s">
        <v>176</v>
      </c>
    </row>
    <row r="21" spans="1:35">
      <c r="B21" t="s">
        <v>196</v>
      </c>
      <c r="C21">
        <v>1</v>
      </c>
      <c r="AH21">
        <v>1</v>
      </c>
      <c r="AI21" t="s">
        <v>176</v>
      </c>
    </row>
    <row r="22" spans="1:35">
      <c r="B22" t="s">
        <v>197</v>
      </c>
      <c r="C22">
        <v>2</v>
      </c>
      <c r="AH22">
        <v>2</v>
      </c>
      <c r="AI22" t="s">
        <v>176</v>
      </c>
    </row>
    <row r="23" spans="1:35">
      <c r="B23" t="s">
        <v>112</v>
      </c>
      <c r="C23">
        <v>1</v>
      </c>
      <c r="AH23">
        <v>1</v>
      </c>
      <c r="AI23" t="s">
        <v>176</v>
      </c>
    </row>
    <row r="24" spans="1:35">
      <c r="B24" t="s">
        <v>198</v>
      </c>
      <c r="C24">
        <v>2</v>
      </c>
      <c r="AH24">
        <v>2</v>
      </c>
      <c r="AI24" t="s">
        <v>176</v>
      </c>
    </row>
    <row r="25" spans="1:35">
      <c r="B25" t="s">
        <v>199</v>
      </c>
      <c r="C25">
        <v>1</v>
      </c>
      <c r="AH25">
        <v>1</v>
      </c>
      <c r="AI25" t="s">
        <v>176</v>
      </c>
    </row>
    <row r="26" spans="1:35">
      <c r="B26" t="s">
        <v>200</v>
      </c>
      <c r="C26">
        <v>2</v>
      </c>
      <c r="AH26">
        <v>2</v>
      </c>
      <c r="AI26" t="s">
        <v>176</v>
      </c>
    </row>
    <row r="27" spans="1:35">
      <c r="B27" t="s">
        <v>81</v>
      </c>
      <c r="C27">
        <v>1</v>
      </c>
      <c r="AH27">
        <v>1</v>
      </c>
      <c r="AI27" t="s">
        <v>176</v>
      </c>
    </row>
    <row r="28" spans="1:35">
      <c r="B28" t="s">
        <v>101</v>
      </c>
      <c r="C28">
        <v>2</v>
      </c>
      <c r="AH28">
        <v>2</v>
      </c>
      <c r="AI28" t="s">
        <v>176</v>
      </c>
    </row>
    <row r="29" spans="1:35">
      <c r="B29" t="s">
        <v>100</v>
      </c>
      <c r="C29">
        <v>2</v>
      </c>
      <c r="AH29">
        <v>2</v>
      </c>
      <c r="AI29" t="s">
        <v>176</v>
      </c>
    </row>
    <row r="30" spans="1:35">
      <c r="B30" t="s">
        <v>201</v>
      </c>
      <c r="C30">
        <v>1</v>
      </c>
      <c r="AH30">
        <v>1</v>
      </c>
      <c r="AI30" t="s">
        <v>176</v>
      </c>
    </row>
    <row r="31" spans="1:35">
      <c r="A31" t="s">
        <v>202</v>
      </c>
      <c r="B31" t="s">
        <v>203</v>
      </c>
      <c r="C31">
        <v>7</v>
      </c>
      <c r="AH31">
        <v>7</v>
      </c>
      <c r="AI31" t="s">
        <v>176</v>
      </c>
    </row>
    <row r="32" spans="1:35">
      <c r="B32" t="s">
        <v>204</v>
      </c>
      <c r="C32">
        <v>7</v>
      </c>
      <c r="AH32">
        <v>7</v>
      </c>
      <c r="AI32" t="s">
        <v>176</v>
      </c>
    </row>
    <row r="33" spans="2:35">
      <c r="B33" t="s">
        <v>205</v>
      </c>
      <c r="C33">
        <v>6</v>
      </c>
      <c r="AH33">
        <v>6</v>
      </c>
      <c r="AI33" t="s">
        <v>176</v>
      </c>
    </row>
    <row r="34" spans="2:35">
      <c r="B34" t="s">
        <v>206</v>
      </c>
      <c r="C34">
        <v>7</v>
      </c>
      <c r="AH34">
        <v>7</v>
      </c>
      <c r="AI34" t="s">
        <v>176</v>
      </c>
    </row>
    <row r="35" spans="2:35">
      <c r="B35" t="s">
        <v>207</v>
      </c>
      <c r="C35">
        <v>3</v>
      </c>
      <c r="AH35">
        <v>3</v>
      </c>
      <c r="AI35" t="s">
        <v>176</v>
      </c>
    </row>
    <row r="36" spans="2:35">
      <c r="B36" t="s">
        <v>208</v>
      </c>
      <c r="C36">
        <v>7</v>
      </c>
      <c r="AH36">
        <v>7</v>
      </c>
      <c r="AI36" t="s">
        <v>176</v>
      </c>
    </row>
    <row r="37" spans="2:35">
      <c r="B37" t="s">
        <v>209</v>
      </c>
      <c r="C37">
        <v>7</v>
      </c>
      <c r="AH37">
        <v>7</v>
      </c>
      <c r="AI37" t="s">
        <v>176</v>
      </c>
    </row>
    <row r="38" spans="2:35">
      <c r="B38" t="s">
        <v>210</v>
      </c>
      <c r="C38">
        <v>1</v>
      </c>
      <c r="AH38">
        <v>1</v>
      </c>
      <c r="AI38" t="s">
        <v>176</v>
      </c>
    </row>
    <row r="39" spans="2:35">
      <c r="B39" t="s">
        <v>211</v>
      </c>
      <c r="C39">
        <v>8</v>
      </c>
      <c r="AH39">
        <v>8</v>
      </c>
      <c r="AI39" t="s">
        <v>176</v>
      </c>
    </row>
    <row r="40" spans="2:35">
      <c r="B40" t="s">
        <v>212</v>
      </c>
      <c r="C40">
        <v>8</v>
      </c>
      <c r="AH40">
        <v>8</v>
      </c>
      <c r="AI40" t="s">
        <v>176</v>
      </c>
    </row>
    <row r="41" spans="2:35">
      <c r="B41" t="s">
        <v>213</v>
      </c>
      <c r="C41">
        <v>9</v>
      </c>
      <c r="AH41">
        <v>9</v>
      </c>
      <c r="AI41" t="s">
        <v>176</v>
      </c>
    </row>
    <row r="42" spans="2:35">
      <c r="B42" t="s">
        <v>214</v>
      </c>
      <c r="C42">
        <v>11</v>
      </c>
      <c r="AH42">
        <v>11</v>
      </c>
      <c r="AI42" t="s">
        <v>176</v>
      </c>
    </row>
    <row r="43" spans="2:35">
      <c r="B43" t="s">
        <v>215</v>
      </c>
      <c r="C43">
        <v>11</v>
      </c>
      <c r="AH43">
        <v>11</v>
      </c>
      <c r="AI43" t="s">
        <v>176</v>
      </c>
    </row>
    <row r="44" spans="2:35">
      <c r="B44" t="s">
        <v>216</v>
      </c>
      <c r="C44">
        <v>10</v>
      </c>
      <c r="AH44">
        <v>10</v>
      </c>
      <c r="AI44" t="s">
        <v>176</v>
      </c>
    </row>
    <row r="45" spans="2:35">
      <c r="B45" t="s">
        <v>217</v>
      </c>
      <c r="C45">
        <v>7</v>
      </c>
      <c r="AH45">
        <v>7</v>
      </c>
      <c r="AI45" t="s">
        <v>176</v>
      </c>
    </row>
    <row r="46" spans="2:35">
      <c r="B46" t="s">
        <v>218</v>
      </c>
      <c r="C46">
        <v>3</v>
      </c>
      <c r="AH46">
        <v>3</v>
      </c>
      <c r="AI46" t="s">
        <v>176</v>
      </c>
    </row>
    <row r="47" spans="2:35">
      <c r="B47" t="s">
        <v>219</v>
      </c>
      <c r="C47">
        <v>7</v>
      </c>
      <c r="AH47">
        <v>7</v>
      </c>
      <c r="AI47" t="s">
        <v>176</v>
      </c>
    </row>
    <row r="48" spans="2:35">
      <c r="B48" t="s">
        <v>220</v>
      </c>
      <c r="C48">
        <v>12</v>
      </c>
      <c r="AH48">
        <v>12</v>
      </c>
      <c r="AI48" t="s">
        <v>176</v>
      </c>
    </row>
    <row r="49" spans="2:35">
      <c r="B49" t="s">
        <v>221</v>
      </c>
      <c r="C49">
        <v>5</v>
      </c>
      <c r="AH49">
        <v>5</v>
      </c>
      <c r="AI49" t="s">
        <v>176</v>
      </c>
    </row>
    <row r="50" spans="2:35">
      <c r="B50" t="s">
        <v>222</v>
      </c>
      <c r="C50">
        <v>5</v>
      </c>
      <c r="AH50">
        <v>5</v>
      </c>
      <c r="AI50" t="s">
        <v>176</v>
      </c>
    </row>
    <row r="51" spans="2:35">
      <c r="B51" t="s">
        <v>223</v>
      </c>
      <c r="C51">
        <v>5</v>
      </c>
      <c r="AH51">
        <v>5</v>
      </c>
      <c r="AI51" t="s">
        <v>176</v>
      </c>
    </row>
    <row r="52" spans="2:35">
      <c r="B52" t="s">
        <v>224</v>
      </c>
      <c r="C52">
        <v>1</v>
      </c>
      <c r="AH52">
        <v>1</v>
      </c>
      <c r="AI52" t="s">
        <v>176</v>
      </c>
    </row>
    <row r="53" spans="2:35">
      <c r="B53" t="s">
        <v>225</v>
      </c>
      <c r="C53">
        <v>7</v>
      </c>
      <c r="AH53">
        <v>7</v>
      </c>
      <c r="AI53" t="s">
        <v>176</v>
      </c>
    </row>
    <row r="54" spans="2:35">
      <c r="B54" t="s">
        <v>226</v>
      </c>
      <c r="C54">
        <v>6</v>
      </c>
      <c r="AH54">
        <v>6</v>
      </c>
      <c r="AI54" t="s">
        <v>176</v>
      </c>
    </row>
    <row r="55" spans="2:35">
      <c r="B55" t="s">
        <v>227</v>
      </c>
      <c r="C55">
        <v>7</v>
      </c>
      <c r="AH55">
        <v>7</v>
      </c>
      <c r="AI55" t="s">
        <v>176</v>
      </c>
    </row>
    <row r="56" spans="2:35">
      <c r="B56" t="s">
        <v>228</v>
      </c>
      <c r="C56">
        <v>11</v>
      </c>
      <c r="AH56">
        <v>11</v>
      </c>
      <c r="AI56" t="s">
        <v>176</v>
      </c>
    </row>
    <row r="57" spans="2:35">
      <c r="B57" t="s">
        <v>229</v>
      </c>
      <c r="C57">
        <v>7</v>
      </c>
      <c r="AH57">
        <v>7</v>
      </c>
      <c r="AI57" t="s">
        <v>176</v>
      </c>
    </row>
    <row r="58" spans="2:35">
      <c r="B58" t="s">
        <v>230</v>
      </c>
      <c r="C58">
        <v>11</v>
      </c>
      <c r="AH58">
        <v>11</v>
      </c>
      <c r="AI58" t="s">
        <v>176</v>
      </c>
    </row>
    <row r="59" spans="2:35">
      <c r="B59" t="s">
        <v>231</v>
      </c>
      <c r="C59">
        <v>3</v>
      </c>
      <c r="AH59">
        <v>3</v>
      </c>
      <c r="AI59" t="s">
        <v>176</v>
      </c>
    </row>
    <row r="60" spans="2:35">
      <c r="B60" t="s">
        <v>232</v>
      </c>
      <c r="C60">
        <v>1</v>
      </c>
      <c r="AH60">
        <v>1</v>
      </c>
      <c r="AI60" t="s">
        <v>176</v>
      </c>
    </row>
    <row r="61" spans="2:35">
      <c r="B61" t="s">
        <v>233</v>
      </c>
      <c r="C61">
        <v>7</v>
      </c>
      <c r="AH61">
        <v>7</v>
      </c>
      <c r="AI61" t="s">
        <v>176</v>
      </c>
    </row>
    <row r="62" spans="2:35">
      <c r="B62" t="s">
        <v>234</v>
      </c>
      <c r="C62">
        <v>8</v>
      </c>
      <c r="AH62">
        <v>8</v>
      </c>
      <c r="AI62" t="s">
        <v>176</v>
      </c>
    </row>
    <row r="63" spans="2:35">
      <c r="B63" t="s">
        <v>235</v>
      </c>
      <c r="C63">
        <v>8</v>
      </c>
      <c r="AH63">
        <v>8</v>
      </c>
      <c r="AI63" t="s">
        <v>176</v>
      </c>
    </row>
    <row r="64" spans="2:35">
      <c r="B64" t="s">
        <v>236</v>
      </c>
      <c r="C64">
        <v>2</v>
      </c>
      <c r="AH64">
        <v>2</v>
      </c>
      <c r="AI64" t="s">
        <v>176</v>
      </c>
    </row>
    <row r="65" spans="1:35">
      <c r="A65" t="s">
        <v>237</v>
      </c>
      <c r="B65" t="s">
        <v>238</v>
      </c>
      <c r="C65">
        <v>3</v>
      </c>
      <c r="AH65">
        <v>3</v>
      </c>
      <c r="AI65" t="s">
        <v>176</v>
      </c>
    </row>
    <row r="66" spans="1:35">
      <c r="B66" t="s">
        <v>239</v>
      </c>
      <c r="C66">
        <v>1</v>
      </c>
      <c r="AH66">
        <v>1</v>
      </c>
      <c r="AI66" t="s">
        <v>176</v>
      </c>
    </row>
    <row r="67" spans="1:35">
      <c r="B67" t="s">
        <v>240</v>
      </c>
      <c r="C67">
        <v>7</v>
      </c>
      <c r="AH67">
        <v>7</v>
      </c>
      <c r="AI67" t="s">
        <v>176</v>
      </c>
    </row>
    <row r="68" spans="1:35">
      <c r="B68" t="s">
        <v>241</v>
      </c>
      <c r="C68">
        <v>3</v>
      </c>
      <c r="AH68">
        <v>3</v>
      </c>
      <c r="AI68" t="s">
        <v>176</v>
      </c>
    </row>
    <row r="69" spans="1:35">
      <c r="B69" t="s">
        <v>242</v>
      </c>
      <c r="C69">
        <v>4</v>
      </c>
      <c r="AH69">
        <v>4</v>
      </c>
      <c r="AI69" t="s">
        <v>176</v>
      </c>
    </row>
    <row r="70" spans="1:35">
      <c r="B70" t="s">
        <v>243</v>
      </c>
      <c r="C70">
        <v>1</v>
      </c>
      <c r="AH70">
        <v>1</v>
      </c>
      <c r="AI70" t="s">
        <v>176</v>
      </c>
    </row>
    <row r="71" spans="1:35">
      <c r="B71" t="s">
        <v>244</v>
      </c>
      <c r="C71">
        <v>1</v>
      </c>
      <c r="AH71">
        <v>1</v>
      </c>
      <c r="AI71" t="s">
        <v>176</v>
      </c>
    </row>
    <row r="72" spans="1:35">
      <c r="B72" t="s">
        <v>245</v>
      </c>
      <c r="C72">
        <v>1</v>
      </c>
      <c r="AH72">
        <v>1</v>
      </c>
      <c r="AI72" t="s">
        <v>176</v>
      </c>
    </row>
    <row r="73" spans="1:35">
      <c r="A73" t="s">
        <v>246</v>
      </c>
      <c r="B73" t="s">
        <v>247</v>
      </c>
      <c r="C73">
        <v>2</v>
      </c>
      <c r="AH73">
        <v>2</v>
      </c>
      <c r="AI73" t="s">
        <v>176</v>
      </c>
    </row>
    <row r="74" spans="1:35">
      <c r="A74" t="s">
        <v>248</v>
      </c>
      <c r="B74" t="s">
        <v>108</v>
      </c>
      <c r="C74">
        <v>3</v>
      </c>
      <c r="AH74">
        <v>3</v>
      </c>
      <c r="AI74" t="s">
        <v>176</v>
      </c>
    </row>
    <row r="75" spans="1:35">
      <c r="B75" t="s">
        <v>129</v>
      </c>
      <c r="C75">
        <v>5</v>
      </c>
      <c r="AH75">
        <v>5</v>
      </c>
      <c r="AI75" t="s">
        <v>176</v>
      </c>
    </row>
    <row r="76" spans="1:35">
      <c r="B76" t="s">
        <v>249</v>
      </c>
      <c r="C76">
        <v>2</v>
      </c>
      <c r="AH76">
        <v>2</v>
      </c>
      <c r="AI76" t="s">
        <v>176</v>
      </c>
    </row>
    <row r="77" spans="1:35">
      <c r="B77" t="s">
        <v>107</v>
      </c>
      <c r="C77">
        <v>2</v>
      </c>
      <c r="AH77">
        <v>2</v>
      </c>
      <c r="AI77" t="s">
        <v>176</v>
      </c>
    </row>
    <row r="78" spans="1:35">
      <c r="A78" t="s">
        <v>250</v>
      </c>
      <c r="B78" t="s">
        <v>251</v>
      </c>
      <c r="C78">
        <v>7</v>
      </c>
      <c r="AH78">
        <v>7</v>
      </c>
      <c r="AI78" t="s">
        <v>176</v>
      </c>
    </row>
    <row r="79" spans="1:35">
      <c r="B79" t="s">
        <v>252</v>
      </c>
      <c r="C79">
        <v>6</v>
      </c>
      <c r="AH79">
        <v>6</v>
      </c>
      <c r="AI79" t="s">
        <v>176</v>
      </c>
    </row>
    <row r="80" spans="1:35">
      <c r="A80" t="s">
        <v>253</v>
      </c>
      <c r="B80" t="s">
        <v>254</v>
      </c>
      <c r="C80">
        <v>1</v>
      </c>
      <c r="AH80">
        <v>1</v>
      </c>
      <c r="AI80" t="s">
        <v>176</v>
      </c>
    </row>
    <row r="81" spans="1:35">
      <c r="B81" t="s">
        <v>255</v>
      </c>
      <c r="C81">
        <v>1</v>
      </c>
      <c r="AH81">
        <v>1</v>
      </c>
      <c r="AI81" t="s">
        <v>176</v>
      </c>
    </row>
    <row r="82" spans="1:35">
      <c r="A82" t="s">
        <v>256</v>
      </c>
      <c r="B82" t="s">
        <v>257</v>
      </c>
      <c r="C82">
        <v>1</v>
      </c>
      <c r="AH82">
        <v>1</v>
      </c>
      <c r="AI82" t="s">
        <v>176</v>
      </c>
    </row>
    <row r="83" spans="1:35">
      <c r="A83" t="s">
        <v>174</v>
      </c>
      <c r="B83" t="s">
        <v>175</v>
      </c>
      <c r="D83">
        <v>2</v>
      </c>
      <c r="AH83">
        <v>2</v>
      </c>
      <c r="AI83" t="s">
        <v>258</v>
      </c>
    </row>
    <row r="84" spans="1:35">
      <c r="B84" t="s">
        <v>259</v>
      </c>
      <c r="D84">
        <v>1</v>
      </c>
      <c r="AH84">
        <v>1</v>
      </c>
      <c r="AI84" t="s">
        <v>258</v>
      </c>
    </row>
    <row r="85" spans="1:35">
      <c r="B85" t="s">
        <v>178</v>
      </c>
      <c r="D85">
        <v>1</v>
      </c>
      <c r="AH85">
        <v>1</v>
      </c>
      <c r="AI85" t="s">
        <v>258</v>
      </c>
    </row>
    <row r="86" spans="1:35">
      <c r="B86" t="s">
        <v>260</v>
      </c>
      <c r="D86">
        <v>1</v>
      </c>
      <c r="AH86">
        <v>1</v>
      </c>
      <c r="AI86" t="s">
        <v>258</v>
      </c>
    </row>
    <row r="87" spans="1:35">
      <c r="B87" t="s">
        <v>180</v>
      </c>
      <c r="D87">
        <v>1</v>
      </c>
      <c r="AH87">
        <v>1</v>
      </c>
      <c r="AI87" t="s">
        <v>258</v>
      </c>
    </row>
    <row r="88" spans="1:35">
      <c r="B88" t="s">
        <v>261</v>
      </c>
      <c r="D88">
        <v>1</v>
      </c>
      <c r="AH88">
        <v>1</v>
      </c>
      <c r="AI88" t="s">
        <v>258</v>
      </c>
    </row>
    <row r="89" spans="1:35">
      <c r="B89" t="s">
        <v>262</v>
      </c>
      <c r="D89">
        <v>1</v>
      </c>
      <c r="AH89">
        <v>1</v>
      </c>
      <c r="AI89" t="s">
        <v>258</v>
      </c>
    </row>
    <row r="90" spans="1:35">
      <c r="B90" t="s">
        <v>181</v>
      </c>
      <c r="D90">
        <v>1</v>
      </c>
      <c r="AH90">
        <v>1</v>
      </c>
      <c r="AI90" t="s">
        <v>258</v>
      </c>
    </row>
    <row r="91" spans="1:35">
      <c r="B91" t="s">
        <v>182</v>
      </c>
      <c r="D91">
        <v>2</v>
      </c>
      <c r="AH91">
        <v>2</v>
      </c>
      <c r="AI91" t="s">
        <v>258</v>
      </c>
    </row>
    <row r="92" spans="1:35">
      <c r="B92" t="s">
        <v>183</v>
      </c>
      <c r="D92">
        <v>2</v>
      </c>
      <c r="AH92">
        <v>2</v>
      </c>
      <c r="AI92" t="s">
        <v>258</v>
      </c>
    </row>
    <row r="93" spans="1:35">
      <c r="A93" t="s">
        <v>188</v>
      </c>
      <c r="B93" t="s">
        <v>263</v>
      </c>
      <c r="D93">
        <v>1</v>
      </c>
      <c r="AH93">
        <v>1</v>
      </c>
      <c r="AI93" t="s">
        <v>258</v>
      </c>
    </row>
    <row r="94" spans="1:35">
      <c r="B94" t="s">
        <v>264</v>
      </c>
      <c r="D94">
        <v>1</v>
      </c>
      <c r="AH94">
        <v>1</v>
      </c>
      <c r="AI94" t="s">
        <v>258</v>
      </c>
    </row>
    <row r="95" spans="1:35">
      <c r="B95" t="s">
        <v>190</v>
      </c>
      <c r="D95">
        <v>1</v>
      </c>
      <c r="AH95">
        <v>1</v>
      </c>
      <c r="AI95" t="s">
        <v>258</v>
      </c>
    </row>
    <row r="96" spans="1:35">
      <c r="B96" t="s">
        <v>265</v>
      </c>
      <c r="D96">
        <v>2</v>
      </c>
      <c r="AH96">
        <v>2</v>
      </c>
      <c r="AI96" t="s">
        <v>258</v>
      </c>
    </row>
    <row r="97" spans="1:35">
      <c r="B97" t="s">
        <v>192</v>
      </c>
      <c r="D97">
        <v>3</v>
      </c>
      <c r="AH97">
        <v>3</v>
      </c>
      <c r="AI97" t="s">
        <v>258</v>
      </c>
    </row>
    <row r="98" spans="1:35">
      <c r="B98" t="s">
        <v>193</v>
      </c>
      <c r="D98">
        <v>2</v>
      </c>
      <c r="AH98">
        <v>2</v>
      </c>
      <c r="AI98" t="s">
        <v>258</v>
      </c>
    </row>
    <row r="99" spans="1:35">
      <c r="B99" t="s">
        <v>194</v>
      </c>
      <c r="D99">
        <v>1</v>
      </c>
      <c r="AH99">
        <v>1</v>
      </c>
      <c r="AI99" t="s">
        <v>258</v>
      </c>
    </row>
    <row r="100" spans="1:35">
      <c r="B100" t="s">
        <v>266</v>
      </c>
      <c r="D100">
        <v>1</v>
      </c>
      <c r="AH100">
        <v>1</v>
      </c>
      <c r="AI100" t="s">
        <v>258</v>
      </c>
    </row>
    <row r="101" spans="1:35">
      <c r="B101" t="s">
        <v>267</v>
      </c>
      <c r="D101">
        <v>1</v>
      </c>
      <c r="AH101">
        <v>1</v>
      </c>
      <c r="AI101" t="s">
        <v>258</v>
      </c>
    </row>
    <row r="102" spans="1:35">
      <c r="B102" t="s">
        <v>268</v>
      </c>
      <c r="D102">
        <v>1</v>
      </c>
      <c r="AH102">
        <v>1</v>
      </c>
      <c r="AI102" t="s">
        <v>258</v>
      </c>
    </row>
    <row r="103" spans="1:35">
      <c r="B103" t="s">
        <v>112</v>
      </c>
      <c r="D103">
        <v>3</v>
      </c>
      <c r="AH103">
        <v>3</v>
      </c>
      <c r="AI103" t="s">
        <v>258</v>
      </c>
    </row>
    <row r="104" spans="1:35">
      <c r="B104" t="s">
        <v>198</v>
      </c>
      <c r="D104">
        <v>1</v>
      </c>
      <c r="AH104">
        <v>1</v>
      </c>
      <c r="AI104" t="s">
        <v>258</v>
      </c>
    </row>
    <row r="105" spans="1:35">
      <c r="B105" t="s">
        <v>199</v>
      </c>
      <c r="D105">
        <v>1</v>
      </c>
      <c r="AH105">
        <v>1</v>
      </c>
      <c r="AI105" t="s">
        <v>258</v>
      </c>
    </row>
    <row r="106" spans="1:35">
      <c r="B106" t="s">
        <v>81</v>
      </c>
      <c r="D106">
        <v>2</v>
      </c>
      <c r="AH106">
        <v>2</v>
      </c>
      <c r="AI106" t="s">
        <v>258</v>
      </c>
    </row>
    <row r="107" spans="1:35">
      <c r="B107" t="s">
        <v>100</v>
      </c>
      <c r="D107">
        <v>2</v>
      </c>
      <c r="AH107">
        <v>2</v>
      </c>
      <c r="AI107" t="s">
        <v>258</v>
      </c>
    </row>
    <row r="108" spans="1:35">
      <c r="A108" t="s">
        <v>202</v>
      </c>
      <c r="B108" t="s">
        <v>205</v>
      </c>
      <c r="D108">
        <v>2</v>
      </c>
      <c r="AH108">
        <v>2</v>
      </c>
      <c r="AI108" t="s">
        <v>258</v>
      </c>
    </row>
    <row r="109" spans="1:35">
      <c r="B109" t="s">
        <v>207</v>
      </c>
      <c r="D109">
        <v>1</v>
      </c>
      <c r="AH109">
        <v>1</v>
      </c>
      <c r="AI109" t="s">
        <v>258</v>
      </c>
    </row>
    <row r="110" spans="1:35">
      <c r="B110" t="s">
        <v>269</v>
      </c>
      <c r="D110">
        <v>1</v>
      </c>
      <c r="AH110">
        <v>1</v>
      </c>
      <c r="AI110" t="s">
        <v>258</v>
      </c>
    </row>
    <row r="111" spans="1:35">
      <c r="B111" t="s">
        <v>232</v>
      </c>
      <c r="D111">
        <v>1</v>
      </c>
      <c r="AH111">
        <v>1</v>
      </c>
      <c r="AI111" t="s">
        <v>258</v>
      </c>
    </row>
    <row r="112" spans="1:35">
      <c r="B112" t="s">
        <v>234</v>
      </c>
      <c r="D112">
        <v>1</v>
      </c>
      <c r="AH112">
        <v>1</v>
      </c>
      <c r="AI112" t="s">
        <v>258</v>
      </c>
    </row>
    <row r="113" spans="1:35">
      <c r="B113" t="s">
        <v>235</v>
      </c>
      <c r="D113">
        <v>1</v>
      </c>
      <c r="AH113">
        <v>1</v>
      </c>
      <c r="AI113" t="s">
        <v>258</v>
      </c>
    </row>
    <row r="114" spans="1:35">
      <c r="A114" t="s">
        <v>237</v>
      </c>
      <c r="B114" t="s">
        <v>270</v>
      </c>
      <c r="D114">
        <v>1</v>
      </c>
      <c r="AH114">
        <v>1</v>
      </c>
      <c r="AI114" t="s">
        <v>258</v>
      </c>
    </row>
    <row r="115" spans="1:35">
      <c r="B115" t="s">
        <v>271</v>
      </c>
      <c r="D115">
        <v>20</v>
      </c>
      <c r="AH115">
        <v>20</v>
      </c>
      <c r="AI115" t="s">
        <v>258</v>
      </c>
    </row>
    <row r="116" spans="1:35">
      <c r="B116" t="s">
        <v>238</v>
      </c>
      <c r="D116">
        <v>1</v>
      </c>
      <c r="AH116">
        <v>1</v>
      </c>
      <c r="AI116" t="s">
        <v>258</v>
      </c>
    </row>
    <row r="117" spans="1:35">
      <c r="B117" t="s">
        <v>239</v>
      </c>
      <c r="D117">
        <v>1</v>
      </c>
      <c r="AH117">
        <v>1</v>
      </c>
      <c r="AI117" t="s">
        <v>258</v>
      </c>
    </row>
    <row r="118" spans="1:35">
      <c r="B118" t="s">
        <v>272</v>
      </c>
      <c r="D118">
        <v>2</v>
      </c>
      <c r="AH118">
        <v>2</v>
      </c>
      <c r="AI118" t="s">
        <v>258</v>
      </c>
    </row>
    <row r="119" spans="1:35">
      <c r="B119" t="s">
        <v>273</v>
      </c>
      <c r="D119">
        <v>1</v>
      </c>
      <c r="AH119">
        <v>1</v>
      </c>
      <c r="AI119" t="s">
        <v>258</v>
      </c>
    </row>
    <row r="120" spans="1:35">
      <c r="B120" t="s">
        <v>240</v>
      </c>
      <c r="D120">
        <v>5</v>
      </c>
      <c r="AH120">
        <v>5</v>
      </c>
      <c r="AI120" t="s">
        <v>258</v>
      </c>
    </row>
    <row r="121" spans="1:35">
      <c r="B121" t="s">
        <v>241</v>
      </c>
      <c r="D121">
        <v>2</v>
      </c>
      <c r="AH121">
        <v>2</v>
      </c>
      <c r="AI121" t="s">
        <v>258</v>
      </c>
    </row>
    <row r="122" spans="1:35">
      <c r="B122" t="s">
        <v>242</v>
      </c>
      <c r="D122">
        <v>3</v>
      </c>
      <c r="AH122">
        <v>3</v>
      </c>
      <c r="AI122" t="s">
        <v>258</v>
      </c>
    </row>
    <row r="123" spans="1:35">
      <c r="B123" t="s">
        <v>243</v>
      </c>
      <c r="D123">
        <v>1</v>
      </c>
      <c r="AH123">
        <v>1</v>
      </c>
      <c r="AI123" t="s">
        <v>258</v>
      </c>
    </row>
    <row r="124" spans="1:35">
      <c r="B124" t="s">
        <v>274</v>
      </c>
      <c r="D124">
        <v>1</v>
      </c>
      <c r="AH124">
        <v>1</v>
      </c>
      <c r="AI124" t="s">
        <v>258</v>
      </c>
    </row>
    <row r="125" spans="1:35">
      <c r="B125" t="s">
        <v>244</v>
      </c>
      <c r="D125">
        <v>1</v>
      </c>
      <c r="AH125">
        <v>1</v>
      </c>
      <c r="AI125" t="s">
        <v>258</v>
      </c>
    </row>
    <row r="126" spans="1:35">
      <c r="B126" t="s">
        <v>245</v>
      </c>
      <c r="D126">
        <v>1</v>
      </c>
      <c r="AH126">
        <v>1</v>
      </c>
      <c r="AI126" t="s">
        <v>258</v>
      </c>
    </row>
    <row r="127" spans="1:35">
      <c r="A127" t="s">
        <v>246</v>
      </c>
      <c r="B127" t="s">
        <v>247</v>
      </c>
      <c r="D127">
        <v>1</v>
      </c>
      <c r="AH127">
        <v>1</v>
      </c>
      <c r="AI127" t="s">
        <v>258</v>
      </c>
    </row>
    <row r="128" spans="1:35">
      <c r="A128" t="s">
        <v>248</v>
      </c>
      <c r="B128" t="s">
        <v>108</v>
      </c>
      <c r="D128">
        <v>3</v>
      </c>
      <c r="AH128">
        <v>3</v>
      </c>
      <c r="AI128" t="s">
        <v>258</v>
      </c>
    </row>
    <row r="129" spans="1:35">
      <c r="B129" t="s">
        <v>129</v>
      </c>
      <c r="D129">
        <v>2</v>
      </c>
      <c r="AH129">
        <v>2</v>
      </c>
      <c r="AI129" t="s">
        <v>258</v>
      </c>
    </row>
    <row r="130" spans="1:35">
      <c r="B130" t="s">
        <v>249</v>
      </c>
      <c r="D130">
        <v>1</v>
      </c>
      <c r="AH130">
        <v>1</v>
      </c>
      <c r="AI130" t="s">
        <v>258</v>
      </c>
    </row>
    <row r="131" spans="1:35">
      <c r="B131" t="s">
        <v>275</v>
      </c>
      <c r="D131">
        <v>1</v>
      </c>
      <c r="AH131">
        <v>1</v>
      </c>
      <c r="AI131" t="s">
        <v>258</v>
      </c>
    </row>
    <row r="132" spans="1:35">
      <c r="B132" t="s">
        <v>104</v>
      </c>
      <c r="D132">
        <v>2</v>
      </c>
      <c r="AH132">
        <v>2</v>
      </c>
      <c r="AI132" t="s">
        <v>258</v>
      </c>
    </row>
    <row r="133" spans="1:35">
      <c r="B133" t="s">
        <v>113</v>
      </c>
      <c r="D133">
        <v>1</v>
      </c>
      <c r="AH133">
        <v>1</v>
      </c>
      <c r="AI133" t="s">
        <v>258</v>
      </c>
    </row>
    <row r="134" spans="1:35">
      <c r="B134" t="s">
        <v>102</v>
      </c>
      <c r="D134">
        <v>4</v>
      </c>
      <c r="AH134">
        <v>4</v>
      </c>
      <c r="AI134" t="s">
        <v>258</v>
      </c>
    </row>
    <row r="135" spans="1:35">
      <c r="B135" t="s">
        <v>107</v>
      </c>
      <c r="D135">
        <v>1</v>
      </c>
      <c r="AH135">
        <v>1</v>
      </c>
      <c r="AI135" t="s">
        <v>258</v>
      </c>
    </row>
    <row r="136" spans="1:35">
      <c r="A136" t="s">
        <v>253</v>
      </c>
      <c r="B136" t="s">
        <v>254</v>
      </c>
      <c r="D136">
        <v>1</v>
      </c>
      <c r="AH136">
        <v>1</v>
      </c>
      <c r="AI136" t="s">
        <v>258</v>
      </c>
    </row>
    <row r="137" spans="1:35">
      <c r="A137" t="s">
        <v>174</v>
      </c>
      <c r="B137" t="s">
        <v>175</v>
      </c>
      <c r="E137">
        <v>2</v>
      </c>
      <c r="F137">
        <v>3</v>
      </c>
      <c r="AH137">
        <v>5</v>
      </c>
      <c r="AI137" t="s">
        <v>276</v>
      </c>
    </row>
    <row r="138" spans="1:35">
      <c r="B138" t="s">
        <v>177</v>
      </c>
      <c r="E138">
        <v>2</v>
      </c>
      <c r="F138">
        <v>2</v>
      </c>
      <c r="AH138">
        <v>4</v>
      </c>
      <c r="AI138" t="s">
        <v>276</v>
      </c>
    </row>
    <row r="139" spans="1:35">
      <c r="B139" t="s">
        <v>178</v>
      </c>
      <c r="E139">
        <v>5</v>
      </c>
      <c r="F139">
        <v>2</v>
      </c>
      <c r="AH139">
        <v>7</v>
      </c>
      <c r="AI139" t="s">
        <v>276</v>
      </c>
    </row>
    <row r="140" spans="1:35">
      <c r="B140" t="s">
        <v>179</v>
      </c>
      <c r="E140">
        <v>1</v>
      </c>
      <c r="AH140">
        <v>1</v>
      </c>
      <c r="AI140" t="s">
        <v>276</v>
      </c>
    </row>
    <row r="141" spans="1:35">
      <c r="B141" t="s">
        <v>277</v>
      </c>
      <c r="E141">
        <v>1</v>
      </c>
      <c r="F141">
        <v>1</v>
      </c>
      <c r="AH141">
        <v>2</v>
      </c>
      <c r="AI141" t="s">
        <v>276</v>
      </c>
    </row>
    <row r="142" spans="1:35">
      <c r="B142" t="s">
        <v>181</v>
      </c>
      <c r="E142">
        <v>2</v>
      </c>
      <c r="F142">
        <v>4</v>
      </c>
      <c r="AH142">
        <v>6</v>
      </c>
      <c r="AI142" t="s">
        <v>276</v>
      </c>
    </row>
    <row r="143" spans="1:35">
      <c r="B143" t="s">
        <v>182</v>
      </c>
      <c r="E143">
        <v>3</v>
      </c>
      <c r="F143">
        <v>3</v>
      </c>
      <c r="AH143">
        <v>6</v>
      </c>
      <c r="AI143" t="s">
        <v>276</v>
      </c>
    </row>
    <row r="144" spans="1:35">
      <c r="B144" t="s">
        <v>183</v>
      </c>
      <c r="E144">
        <v>2</v>
      </c>
      <c r="F144">
        <v>3</v>
      </c>
      <c r="AH144">
        <v>5</v>
      </c>
      <c r="AI144" t="s">
        <v>276</v>
      </c>
    </row>
    <row r="145" spans="1:35">
      <c r="A145" t="s">
        <v>185</v>
      </c>
      <c r="B145" t="s">
        <v>186</v>
      </c>
      <c r="E145">
        <v>4</v>
      </c>
      <c r="F145">
        <v>3</v>
      </c>
      <c r="AH145">
        <v>7</v>
      </c>
      <c r="AI145" t="s">
        <v>276</v>
      </c>
    </row>
    <row r="146" spans="1:35">
      <c r="B146" t="s">
        <v>187</v>
      </c>
      <c r="E146">
        <v>4</v>
      </c>
      <c r="F146">
        <v>3</v>
      </c>
      <c r="AH146">
        <v>7</v>
      </c>
      <c r="AI146" t="s">
        <v>276</v>
      </c>
    </row>
    <row r="147" spans="1:35">
      <c r="B147" t="s">
        <v>278</v>
      </c>
      <c r="E147">
        <v>2</v>
      </c>
      <c r="AH147">
        <v>2</v>
      </c>
      <c r="AI147" t="s">
        <v>276</v>
      </c>
    </row>
    <row r="148" spans="1:35">
      <c r="B148" t="s">
        <v>279</v>
      </c>
      <c r="E148">
        <v>2</v>
      </c>
      <c r="AH148">
        <v>2</v>
      </c>
      <c r="AI148" t="s">
        <v>276</v>
      </c>
    </row>
    <row r="149" spans="1:35">
      <c r="A149" t="s">
        <v>188</v>
      </c>
      <c r="B149" t="s">
        <v>189</v>
      </c>
      <c r="E149">
        <v>6</v>
      </c>
      <c r="F149">
        <v>2</v>
      </c>
      <c r="AH149">
        <v>8</v>
      </c>
      <c r="AI149" t="s">
        <v>276</v>
      </c>
    </row>
    <row r="150" spans="1:35">
      <c r="B150" t="s">
        <v>264</v>
      </c>
      <c r="E150">
        <v>2</v>
      </c>
      <c r="F150">
        <v>1</v>
      </c>
      <c r="AH150">
        <v>3</v>
      </c>
      <c r="AI150" t="s">
        <v>276</v>
      </c>
    </row>
    <row r="151" spans="1:35">
      <c r="B151" t="s">
        <v>265</v>
      </c>
      <c r="E151">
        <v>2</v>
      </c>
      <c r="F151">
        <v>1</v>
      </c>
      <c r="AH151">
        <v>3</v>
      </c>
      <c r="AI151" t="s">
        <v>276</v>
      </c>
    </row>
    <row r="152" spans="1:35">
      <c r="B152" t="s">
        <v>263</v>
      </c>
      <c r="F152">
        <v>2</v>
      </c>
      <c r="AH152">
        <v>2</v>
      </c>
      <c r="AI152" t="s">
        <v>276</v>
      </c>
    </row>
    <row r="153" spans="1:35">
      <c r="B153" t="s">
        <v>280</v>
      </c>
      <c r="F153">
        <v>1</v>
      </c>
      <c r="AH153">
        <v>1</v>
      </c>
      <c r="AI153" t="s">
        <v>276</v>
      </c>
    </row>
    <row r="154" spans="1:35">
      <c r="B154" t="s">
        <v>281</v>
      </c>
      <c r="F154">
        <v>1</v>
      </c>
      <c r="AH154">
        <v>1</v>
      </c>
      <c r="AI154" t="s">
        <v>276</v>
      </c>
    </row>
    <row r="155" spans="1:35">
      <c r="B155" t="s">
        <v>282</v>
      </c>
      <c r="F155">
        <v>1</v>
      </c>
      <c r="AH155">
        <v>1</v>
      </c>
      <c r="AI155" t="s">
        <v>276</v>
      </c>
    </row>
    <row r="156" spans="1:35">
      <c r="B156" t="s">
        <v>283</v>
      </c>
      <c r="F156">
        <v>1</v>
      </c>
      <c r="AH156">
        <v>1</v>
      </c>
      <c r="AI156" t="s">
        <v>276</v>
      </c>
    </row>
    <row r="157" spans="1:35">
      <c r="B157" t="s">
        <v>190</v>
      </c>
      <c r="F157">
        <v>1</v>
      </c>
      <c r="AH157">
        <v>1</v>
      </c>
      <c r="AI157" t="s">
        <v>276</v>
      </c>
    </row>
    <row r="158" spans="1:35">
      <c r="B158" t="s">
        <v>284</v>
      </c>
      <c r="E158">
        <v>2</v>
      </c>
      <c r="AH158">
        <v>2</v>
      </c>
      <c r="AI158" t="s">
        <v>276</v>
      </c>
    </row>
    <row r="159" spans="1:35">
      <c r="B159" t="s">
        <v>285</v>
      </c>
      <c r="E159">
        <v>2</v>
      </c>
      <c r="AH159">
        <v>2</v>
      </c>
      <c r="AI159" t="s">
        <v>276</v>
      </c>
    </row>
    <row r="160" spans="1:35">
      <c r="B160" t="s">
        <v>286</v>
      </c>
      <c r="E160">
        <v>2</v>
      </c>
      <c r="AH160">
        <v>2</v>
      </c>
      <c r="AI160" t="s">
        <v>276</v>
      </c>
    </row>
    <row r="161" spans="2:35">
      <c r="B161" t="s">
        <v>287</v>
      </c>
      <c r="E161">
        <v>1</v>
      </c>
      <c r="AH161">
        <v>1</v>
      </c>
      <c r="AI161" t="s">
        <v>276</v>
      </c>
    </row>
    <row r="162" spans="2:35">
      <c r="B162" t="s">
        <v>192</v>
      </c>
      <c r="E162">
        <v>1</v>
      </c>
      <c r="AH162">
        <v>1</v>
      </c>
      <c r="AI162" t="s">
        <v>276</v>
      </c>
    </row>
    <row r="163" spans="2:35">
      <c r="B163" t="s">
        <v>193</v>
      </c>
      <c r="E163">
        <v>1</v>
      </c>
      <c r="F163">
        <v>1</v>
      </c>
      <c r="AH163">
        <v>2</v>
      </c>
      <c r="AI163" t="s">
        <v>276</v>
      </c>
    </row>
    <row r="164" spans="2:35">
      <c r="B164" t="s">
        <v>288</v>
      </c>
      <c r="E164">
        <v>2</v>
      </c>
      <c r="AH164">
        <v>2</v>
      </c>
      <c r="AI164" t="s">
        <v>276</v>
      </c>
    </row>
    <row r="165" spans="2:35">
      <c r="B165" t="s">
        <v>121</v>
      </c>
      <c r="E165">
        <v>1</v>
      </c>
      <c r="F165">
        <v>4</v>
      </c>
      <c r="AH165">
        <v>5</v>
      </c>
      <c r="AI165" t="s">
        <v>276</v>
      </c>
    </row>
    <row r="166" spans="2:35">
      <c r="B166" t="s">
        <v>132</v>
      </c>
      <c r="E166">
        <v>1</v>
      </c>
      <c r="AH166">
        <v>1</v>
      </c>
      <c r="AI166" t="s">
        <v>276</v>
      </c>
    </row>
    <row r="167" spans="2:35">
      <c r="B167" t="s">
        <v>267</v>
      </c>
      <c r="F167">
        <v>2</v>
      </c>
      <c r="AH167">
        <v>2</v>
      </c>
      <c r="AI167" t="s">
        <v>276</v>
      </c>
    </row>
    <row r="168" spans="2:35">
      <c r="B168" t="s">
        <v>195</v>
      </c>
      <c r="F168">
        <v>2</v>
      </c>
      <c r="AH168">
        <v>2</v>
      </c>
      <c r="AI168" t="s">
        <v>276</v>
      </c>
    </row>
    <row r="169" spans="2:35">
      <c r="B169" t="s">
        <v>289</v>
      </c>
      <c r="E169">
        <v>1</v>
      </c>
      <c r="F169">
        <v>1</v>
      </c>
      <c r="AH169">
        <v>2</v>
      </c>
      <c r="AI169" t="s">
        <v>276</v>
      </c>
    </row>
    <row r="170" spans="2:35">
      <c r="B170" t="s">
        <v>268</v>
      </c>
      <c r="E170">
        <v>1</v>
      </c>
      <c r="F170">
        <v>4</v>
      </c>
      <c r="AH170">
        <v>5</v>
      </c>
      <c r="AI170" t="s">
        <v>276</v>
      </c>
    </row>
    <row r="171" spans="2:35">
      <c r="B171" t="s">
        <v>290</v>
      </c>
      <c r="E171">
        <v>1</v>
      </c>
      <c r="AH171">
        <v>1</v>
      </c>
      <c r="AI171" t="s">
        <v>276</v>
      </c>
    </row>
    <row r="172" spans="2:35">
      <c r="B172" t="s">
        <v>291</v>
      </c>
      <c r="E172">
        <v>1</v>
      </c>
      <c r="AH172">
        <v>1</v>
      </c>
      <c r="AI172" t="s">
        <v>276</v>
      </c>
    </row>
    <row r="173" spans="2:35">
      <c r="B173" t="s">
        <v>292</v>
      </c>
      <c r="E173">
        <v>1</v>
      </c>
      <c r="F173">
        <v>5</v>
      </c>
      <c r="AH173">
        <v>6</v>
      </c>
      <c r="AI173" t="s">
        <v>276</v>
      </c>
    </row>
    <row r="174" spans="2:35">
      <c r="B174" t="s">
        <v>112</v>
      </c>
      <c r="E174">
        <v>3</v>
      </c>
      <c r="F174">
        <v>3</v>
      </c>
      <c r="AH174">
        <v>6</v>
      </c>
      <c r="AI174" t="s">
        <v>276</v>
      </c>
    </row>
    <row r="175" spans="2:35">
      <c r="B175" t="s">
        <v>198</v>
      </c>
      <c r="F175">
        <v>1</v>
      </c>
      <c r="AH175">
        <v>1</v>
      </c>
      <c r="AI175" t="s">
        <v>276</v>
      </c>
    </row>
    <row r="176" spans="2:35">
      <c r="B176" t="s">
        <v>199</v>
      </c>
      <c r="F176">
        <v>2</v>
      </c>
      <c r="AH176">
        <v>2</v>
      </c>
      <c r="AI176" t="s">
        <v>276</v>
      </c>
    </row>
    <row r="177" spans="1:35">
      <c r="B177" t="s">
        <v>293</v>
      </c>
      <c r="E177">
        <v>2</v>
      </c>
      <c r="AH177">
        <v>2</v>
      </c>
      <c r="AI177" t="s">
        <v>276</v>
      </c>
    </row>
    <row r="178" spans="1:35">
      <c r="B178" t="s">
        <v>200</v>
      </c>
      <c r="E178">
        <v>3</v>
      </c>
      <c r="AH178">
        <v>3</v>
      </c>
      <c r="AI178" t="s">
        <v>276</v>
      </c>
    </row>
    <row r="179" spans="1:35">
      <c r="B179" t="s">
        <v>110</v>
      </c>
      <c r="E179">
        <v>1</v>
      </c>
      <c r="AH179">
        <v>1</v>
      </c>
      <c r="AI179" t="s">
        <v>276</v>
      </c>
    </row>
    <row r="180" spans="1:35">
      <c r="B180" t="s">
        <v>81</v>
      </c>
      <c r="E180">
        <v>2</v>
      </c>
      <c r="F180">
        <v>1</v>
      </c>
      <c r="AH180">
        <v>3</v>
      </c>
      <c r="AI180" t="s">
        <v>276</v>
      </c>
    </row>
    <row r="181" spans="1:35">
      <c r="B181" t="s">
        <v>101</v>
      </c>
      <c r="E181">
        <v>1</v>
      </c>
      <c r="F181">
        <v>1</v>
      </c>
      <c r="AH181">
        <v>2</v>
      </c>
      <c r="AI181" t="s">
        <v>276</v>
      </c>
    </row>
    <row r="182" spans="1:35">
      <c r="B182" t="s">
        <v>100</v>
      </c>
      <c r="E182">
        <v>3</v>
      </c>
      <c r="AH182">
        <v>3</v>
      </c>
      <c r="AI182" t="s">
        <v>276</v>
      </c>
    </row>
    <row r="183" spans="1:35">
      <c r="B183" t="s">
        <v>99</v>
      </c>
      <c r="E183">
        <v>1</v>
      </c>
      <c r="AH183">
        <v>1</v>
      </c>
      <c r="AI183" t="s">
        <v>276</v>
      </c>
    </row>
    <row r="184" spans="1:35">
      <c r="B184" t="s">
        <v>201</v>
      </c>
      <c r="F184">
        <v>1</v>
      </c>
      <c r="AH184">
        <v>1</v>
      </c>
      <c r="AI184" t="s">
        <v>276</v>
      </c>
    </row>
    <row r="185" spans="1:35">
      <c r="A185" t="s">
        <v>202</v>
      </c>
      <c r="B185" t="s">
        <v>203</v>
      </c>
      <c r="E185">
        <v>4</v>
      </c>
      <c r="F185">
        <v>2</v>
      </c>
      <c r="AH185">
        <v>6</v>
      </c>
      <c r="AI185" t="s">
        <v>276</v>
      </c>
    </row>
    <row r="186" spans="1:35">
      <c r="B186" t="s">
        <v>204</v>
      </c>
      <c r="E186">
        <v>4</v>
      </c>
      <c r="F186">
        <v>2</v>
      </c>
      <c r="AH186">
        <v>6</v>
      </c>
      <c r="AI186" t="s">
        <v>276</v>
      </c>
    </row>
    <row r="187" spans="1:35">
      <c r="B187" t="s">
        <v>205</v>
      </c>
      <c r="E187">
        <v>3</v>
      </c>
      <c r="F187">
        <v>41</v>
      </c>
      <c r="AH187">
        <v>44</v>
      </c>
      <c r="AI187" t="s">
        <v>276</v>
      </c>
    </row>
    <row r="188" spans="1:35">
      <c r="B188" t="s">
        <v>206</v>
      </c>
      <c r="E188">
        <v>1</v>
      </c>
      <c r="F188">
        <v>3</v>
      </c>
      <c r="AH188">
        <v>4</v>
      </c>
      <c r="AI188" t="s">
        <v>276</v>
      </c>
    </row>
    <row r="189" spans="1:35">
      <c r="B189" t="s">
        <v>208</v>
      </c>
      <c r="E189">
        <v>1</v>
      </c>
      <c r="F189">
        <v>2</v>
      </c>
      <c r="AH189">
        <v>3</v>
      </c>
      <c r="AI189" t="s">
        <v>276</v>
      </c>
    </row>
    <row r="190" spans="1:35">
      <c r="B190" t="s">
        <v>209</v>
      </c>
      <c r="E190">
        <v>4</v>
      </c>
      <c r="F190">
        <v>2</v>
      </c>
      <c r="AH190">
        <v>6</v>
      </c>
      <c r="AI190" t="s">
        <v>276</v>
      </c>
    </row>
    <row r="191" spans="1:35">
      <c r="B191" t="s">
        <v>207</v>
      </c>
      <c r="E191">
        <v>2</v>
      </c>
      <c r="AH191">
        <v>2</v>
      </c>
      <c r="AI191" t="s">
        <v>276</v>
      </c>
    </row>
    <row r="192" spans="1:35">
      <c r="B192" t="s">
        <v>211</v>
      </c>
      <c r="E192">
        <v>4</v>
      </c>
      <c r="F192">
        <v>2</v>
      </c>
      <c r="AH192">
        <v>6</v>
      </c>
      <c r="AI192" t="s">
        <v>276</v>
      </c>
    </row>
    <row r="193" spans="2:35">
      <c r="B193" t="s">
        <v>212</v>
      </c>
      <c r="E193">
        <v>4</v>
      </c>
      <c r="F193">
        <v>2</v>
      </c>
      <c r="AH193">
        <v>6</v>
      </c>
      <c r="AI193" t="s">
        <v>276</v>
      </c>
    </row>
    <row r="194" spans="2:35">
      <c r="B194" t="s">
        <v>213</v>
      </c>
      <c r="E194">
        <v>4</v>
      </c>
      <c r="F194">
        <v>2</v>
      </c>
      <c r="AH194">
        <v>6</v>
      </c>
      <c r="AI194" t="s">
        <v>276</v>
      </c>
    </row>
    <row r="195" spans="2:35">
      <c r="B195" t="s">
        <v>214</v>
      </c>
      <c r="E195">
        <v>7</v>
      </c>
      <c r="F195">
        <v>44</v>
      </c>
      <c r="AH195">
        <v>51</v>
      </c>
      <c r="AI195" t="s">
        <v>276</v>
      </c>
    </row>
    <row r="196" spans="2:35">
      <c r="B196" t="s">
        <v>215</v>
      </c>
      <c r="E196">
        <v>7</v>
      </c>
      <c r="F196">
        <v>44</v>
      </c>
      <c r="AH196">
        <v>51</v>
      </c>
      <c r="AI196" t="s">
        <v>276</v>
      </c>
    </row>
    <row r="197" spans="2:35">
      <c r="B197" t="s">
        <v>216</v>
      </c>
      <c r="E197">
        <v>4</v>
      </c>
      <c r="F197">
        <v>2</v>
      </c>
      <c r="AH197">
        <v>6</v>
      </c>
      <c r="AI197" t="s">
        <v>276</v>
      </c>
    </row>
    <row r="198" spans="2:35">
      <c r="B198" t="s">
        <v>217</v>
      </c>
      <c r="E198">
        <v>4</v>
      </c>
      <c r="F198">
        <v>2</v>
      </c>
      <c r="AH198">
        <v>6</v>
      </c>
      <c r="AI198" t="s">
        <v>276</v>
      </c>
    </row>
    <row r="199" spans="2:35">
      <c r="B199" t="s">
        <v>218</v>
      </c>
      <c r="E199">
        <v>3</v>
      </c>
      <c r="F199">
        <v>39</v>
      </c>
      <c r="AH199">
        <v>42</v>
      </c>
      <c r="AI199" t="s">
        <v>276</v>
      </c>
    </row>
    <row r="200" spans="2:35">
      <c r="B200" t="s">
        <v>219</v>
      </c>
      <c r="E200">
        <v>2</v>
      </c>
      <c r="F200">
        <v>4</v>
      </c>
      <c r="AH200">
        <v>6</v>
      </c>
      <c r="AI200" t="s">
        <v>276</v>
      </c>
    </row>
    <row r="201" spans="2:35">
      <c r="B201" t="s">
        <v>269</v>
      </c>
      <c r="E201">
        <v>1</v>
      </c>
      <c r="AH201">
        <v>1</v>
      </c>
      <c r="AI201" t="s">
        <v>276</v>
      </c>
    </row>
    <row r="202" spans="2:35">
      <c r="B202" t="s">
        <v>220</v>
      </c>
      <c r="E202">
        <v>9</v>
      </c>
      <c r="F202">
        <v>43</v>
      </c>
      <c r="AH202">
        <v>52</v>
      </c>
      <c r="AI202" t="s">
        <v>276</v>
      </c>
    </row>
    <row r="203" spans="2:35">
      <c r="B203" t="s">
        <v>221</v>
      </c>
      <c r="E203">
        <v>5</v>
      </c>
      <c r="F203">
        <v>41</v>
      </c>
      <c r="AH203">
        <v>46</v>
      </c>
      <c r="AI203" t="s">
        <v>276</v>
      </c>
    </row>
    <row r="204" spans="2:35">
      <c r="B204" t="s">
        <v>222</v>
      </c>
      <c r="E204">
        <v>5</v>
      </c>
      <c r="F204">
        <v>41</v>
      </c>
      <c r="AH204">
        <v>46</v>
      </c>
      <c r="AI204" t="s">
        <v>276</v>
      </c>
    </row>
    <row r="205" spans="2:35">
      <c r="B205" t="s">
        <v>223</v>
      </c>
      <c r="E205">
        <v>5</v>
      </c>
      <c r="F205">
        <v>39</v>
      </c>
      <c r="AH205">
        <v>44</v>
      </c>
      <c r="AI205" t="s">
        <v>276</v>
      </c>
    </row>
    <row r="206" spans="2:35">
      <c r="B206" t="s">
        <v>224</v>
      </c>
      <c r="E206">
        <v>1</v>
      </c>
      <c r="F206">
        <v>2</v>
      </c>
      <c r="AH206">
        <v>3</v>
      </c>
      <c r="AI206" t="s">
        <v>276</v>
      </c>
    </row>
    <row r="207" spans="2:35">
      <c r="B207" t="s">
        <v>225</v>
      </c>
      <c r="E207">
        <v>4</v>
      </c>
      <c r="F207">
        <v>3</v>
      </c>
      <c r="AH207">
        <v>7</v>
      </c>
      <c r="AI207" t="s">
        <v>276</v>
      </c>
    </row>
    <row r="208" spans="2:35">
      <c r="B208" t="s">
        <v>226</v>
      </c>
      <c r="E208">
        <v>4</v>
      </c>
      <c r="F208">
        <v>2</v>
      </c>
      <c r="AH208">
        <v>6</v>
      </c>
      <c r="AI208" t="s">
        <v>276</v>
      </c>
    </row>
    <row r="209" spans="1:35">
      <c r="B209" t="s">
        <v>227</v>
      </c>
      <c r="E209">
        <v>4</v>
      </c>
      <c r="F209">
        <v>2</v>
      </c>
      <c r="AH209">
        <v>6</v>
      </c>
      <c r="AI209" t="s">
        <v>276</v>
      </c>
    </row>
    <row r="210" spans="1:35">
      <c r="B210" t="s">
        <v>228</v>
      </c>
      <c r="E210">
        <v>7</v>
      </c>
      <c r="F210">
        <v>44</v>
      </c>
      <c r="AH210">
        <v>51</v>
      </c>
      <c r="AI210" t="s">
        <v>276</v>
      </c>
    </row>
    <row r="211" spans="1:35">
      <c r="B211" t="s">
        <v>229</v>
      </c>
      <c r="E211">
        <v>4</v>
      </c>
      <c r="F211">
        <v>2</v>
      </c>
      <c r="AH211">
        <v>6</v>
      </c>
      <c r="AI211" t="s">
        <v>276</v>
      </c>
    </row>
    <row r="212" spans="1:35">
      <c r="B212" t="s">
        <v>230</v>
      </c>
      <c r="E212">
        <v>7</v>
      </c>
      <c r="F212">
        <v>44</v>
      </c>
      <c r="AH212">
        <v>51</v>
      </c>
      <c r="AI212" t="s">
        <v>276</v>
      </c>
    </row>
    <row r="213" spans="1:35">
      <c r="B213" t="s">
        <v>231</v>
      </c>
      <c r="E213">
        <v>3</v>
      </c>
      <c r="F213">
        <v>41</v>
      </c>
      <c r="AH213">
        <v>44</v>
      </c>
      <c r="AI213" t="s">
        <v>276</v>
      </c>
    </row>
    <row r="214" spans="1:35">
      <c r="B214" t="s">
        <v>294</v>
      </c>
      <c r="F214">
        <v>1</v>
      </c>
      <c r="AH214">
        <v>1</v>
      </c>
      <c r="AI214" t="s">
        <v>276</v>
      </c>
    </row>
    <row r="215" spans="1:35">
      <c r="B215" t="s">
        <v>295</v>
      </c>
      <c r="F215">
        <v>1</v>
      </c>
      <c r="AH215">
        <v>1</v>
      </c>
      <c r="AI215" t="s">
        <v>276</v>
      </c>
    </row>
    <row r="216" spans="1:35">
      <c r="B216" t="s">
        <v>232</v>
      </c>
      <c r="E216">
        <v>1</v>
      </c>
      <c r="F216">
        <v>1</v>
      </c>
      <c r="AH216">
        <v>2</v>
      </c>
      <c r="AI216" t="s">
        <v>276</v>
      </c>
    </row>
    <row r="217" spans="1:35">
      <c r="B217" t="s">
        <v>233</v>
      </c>
      <c r="E217">
        <v>5</v>
      </c>
      <c r="F217">
        <v>3</v>
      </c>
      <c r="AH217">
        <v>8</v>
      </c>
      <c r="AI217" t="s">
        <v>276</v>
      </c>
    </row>
    <row r="218" spans="1:35">
      <c r="B218" t="s">
        <v>234</v>
      </c>
      <c r="E218">
        <v>5</v>
      </c>
      <c r="F218">
        <v>3</v>
      </c>
      <c r="AH218">
        <v>8</v>
      </c>
      <c r="AI218" t="s">
        <v>276</v>
      </c>
    </row>
    <row r="219" spans="1:35">
      <c r="B219" t="s">
        <v>235</v>
      </c>
      <c r="E219">
        <v>5</v>
      </c>
      <c r="F219">
        <v>3</v>
      </c>
      <c r="AH219">
        <v>8</v>
      </c>
      <c r="AI219" t="s">
        <v>276</v>
      </c>
    </row>
    <row r="220" spans="1:35">
      <c r="B220" t="s">
        <v>296</v>
      </c>
      <c r="E220">
        <v>2</v>
      </c>
      <c r="AH220">
        <v>2</v>
      </c>
      <c r="AI220" t="s">
        <v>276</v>
      </c>
    </row>
    <row r="221" spans="1:35">
      <c r="A221" t="s">
        <v>237</v>
      </c>
      <c r="B221" t="s">
        <v>238</v>
      </c>
      <c r="E221">
        <v>4</v>
      </c>
      <c r="F221">
        <v>2</v>
      </c>
      <c r="AH221">
        <v>6</v>
      </c>
      <c r="AI221" t="s">
        <v>276</v>
      </c>
    </row>
    <row r="222" spans="1:35">
      <c r="B222" t="s">
        <v>272</v>
      </c>
      <c r="E222">
        <v>1</v>
      </c>
      <c r="F222">
        <v>1</v>
      </c>
      <c r="AH222">
        <v>2</v>
      </c>
      <c r="AI222" t="s">
        <v>276</v>
      </c>
    </row>
    <row r="223" spans="1:35">
      <c r="B223" t="s">
        <v>240</v>
      </c>
      <c r="E223">
        <v>8</v>
      </c>
      <c r="F223">
        <v>3</v>
      </c>
      <c r="AH223">
        <v>11</v>
      </c>
      <c r="AI223" t="s">
        <v>276</v>
      </c>
    </row>
    <row r="224" spans="1:35">
      <c r="B224" t="s">
        <v>241</v>
      </c>
      <c r="E224">
        <v>1</v>
      </c>
      <c r="F224">
        <v>1</v>
      </c>
      <c r="AH224">
        <v>2</v>
      </c>
      <c r="AI224" t="s">
        <v>276</v>
      </c>
    </row>
    <row r="225" spans="1:35">
      <c r="B225" t="s">
        <v>242</v>
      </c>
      <c r="E225">
        <v>8</v>
      </c>
      <c r="F225">
        <v>2</v>
      </c>
      <c r="AH225">
        <v>10</v>
      </c>
      <c r="AI225" t="s">
        <v>276</v>
      </c>
    </row>
    <row r="226" spans="1:35">
      <c r="B226" t="s">
        <v>297</v>
      </c>
      <c r="F226">
        <v>1</v>
      </c>
      <c r="AH226">
        <v>1</v>
      </c>
      <c r="AI226" t="s">
        <v>276</v>
      </c>
    </row>
    <row r="227" spans="1:35">
      <c r="B227" t="s">
        <v>298</v>
      </c>
      <c r="F227">
        <v>1</v>
      </c>
      <c r="AH227">
        <v>1</v>
      </c>
      <c r="AI227" t="s">
        <v>276</v>
      </c>
    </row>
    <row r="228" spans="1:35">
      <c r="B228" t="s">
        <v>243</v>
      </c>
      <c r="F228">
        <v>1</v>
      </c>
      <c r="AH228">
        <v>1</v>
      </c>
      <c r="AI228" t="s">
        <v>276</v>
      </c>
    </row>
    <row r="229" spans="1:35">
      <c r="B229" t="s">
        <v>274</v>
      </c>
      <c r="F229">
        <v>1</v>
      </c>
      <c r="AH229">
        <v>1</v>
      </c>
      <c r="AI229" t="s">
        <v>276</v>
      </c>
    </row>
    <row r="230" spans="1:35">
      <c r="B230" t="s">
        <v>270</v>
      </c>
      <c r="E230">
        <v>1</v>
      </c>
      <c r="AH230">
        <v>1</v>
      </c>
      <c r="AI230" t="s">
        <v>276</v>
      </c>
    </row>
    <row r="231" spans="1:35">
      <c r="B231" t="s">
        <v>239</v>
      </c>
      <c r="E231">
        <v>1</v>
      </c>
      <c r="AH231">
        <v>1</v>
      </c>
      <c r="AI231" t="s">
        <v>276</v>
      </c>
    </row>
    <row r="232" spans="1:35">
      <c r="B232" t="s">
        <v>273</v>
      </c>
      <c r="E232">
        <v>2</v>
      </c>
      <c r="AH232">
        <v>2</v>
      </c>
      <c r="AI232" t="s">
        <v>276</v>
      </c>
    </row>
    <row r="233" spans="1:35">
      <c r="B233" t="s">
        <v>244</v>
      </c>
      <c r="F233">
        <v>3</v>
      </c>
      <c r="AH233">
        <v>3</v>
      </c>
      <c r="AI233" t="s">
        <v>276</v>
      </c>
    </row>
    <row r="234" spans="1:35">
      <c r="B234" t="s">
        <v>245</v>
      </c>
      <c r="F234">
        <v>1</v>
      </c>
      <c r="AH234">
        <v>1</v>
      </c>
      <c r="AI234" t="s">
        <v>276</v>
      </c>
    </row>
    <row r="235" spans="1:35">
      <c r="A235" t="s">
        <v>246</v>
      </c>
      <c r="B235" t="s">
        <v>247</v>
      </c>
      <c r="E235">
        <v>2</v>
      </c>
      <c r="F235">
        <v>11</v>
      </c>
      <c r="AH235">
        <v>13</v>
      </c>
      <c r="AI235" t="s">
        <v>276</v>
      </c>
    </row>
    <row r="236" spans="1:35">
      <c r="A236" t="s">
        <v>299</v>
      </c>
      <c r="B236" t="s">
        <v>300</v>
      </c>
      <c r="E236">
        <v>1</v>
      </c>
      <c r="AH236">
        <v>1</v>
      </c>
      <c r="AI236" t="s">
        <v>276</v>
      </c>
    </row>
    <row r="237" spans="1:35">
      <c r="B237" t="s">
        <v>301</v>
      </c>
      <c r="E237">
        <v>2</v>
      </c>
      <c r="AH237">
        <v>2</v>
      </c>
      <c r="AI237" t="s">
        <v>276</v>
      </c>
    </row>
    <row r="238" spans="1:35">
      <c r="A238" t="s">
        <v>248</v>
      </c>
      <c r="B238" t="s">
        <v>108</v>
      </c>
      <c r="E238">
        <v>1</v>
      </c>
      <c r="F238">
        <v>5</v>
      </c>
      <c r="AH238">
        <v>6</v>
      </c>
      <c r="AI238" t="s">
        <v>276</v>
      </c>
    </row>
    <row r="239" spans="1:35">
      <c r="B239" t="s">
        <v>129</v>
      </c>
      <c r="E239">
        <v>2</v>
      </c>
      <c r="F239">
        <v>2</v>
      </c>
      <c r="AH239">
        <v>4</v>
      </c>
      <c r="AI239" t="s">
        <v>276</v>
      </c>
    </row>
    <row r="240" spans="1:35">
      <c r="B240" t="s">
        <v>249</v>
      </c>
      <c r="E240">
        <v>3</v>
      </c>
      <c r="F240">
        <v>5</v>
      </c>
      <c r="AH240">
        <v>8</v>
      </c>
      <c r="AI240" t="s">
        <v>276</v>
      </c>
    </row>
    <row r="241" spans="1:35">
      <c r="B241" t="s">
        <v>302</v>
      </c>
      <c r="F241">
        <v>1</v>
      </c>
      <c r="AH241">
        <v>1</v>
      </c>
      <c r="AI241" t="s">
        <v>276</v>
      </c>
    </row>
    <row r="242" spans="1:35">
      <c r="B242" t="s">
        <v>130</v>
      </c>
      <c r="F242">
        <v>1</v>
      </c>
      <c r="AH242">
        <v>1</v>
      </c>
      <c r="AI242" t="s">
        <v>276</v>
      </c>
    </row>
    <row r="243" spans="1:35">
      <c r="B243" t="s">
        <v>118</v>
      </c>
      <c r="E243">
        <v>1</v>
      </c>
      <c r="AH243">
        <v>1</v>
      </c>
      <c r="AI243" t="s">
        <v>276</v>
      </c>
    </row>
    <row r="244" spans="1:35">
      <c r="B244" t="s">
        <v>104</v>
      </c>
      <c r="E244">
        <v>1</v>
      </c>
      <c r="AH244">
        <v>1</v>
      </c>
      <c r="AI244" t="s">
        <v>276</v>
      </c>
    </row>
    <row r="245" spans="1:35">
      <c r="B245" t="s">
        <v>103</v>
      </c>
      <c r="F245">
        <v>1</v>
      </c>
      <c r="AH245">
        <v>1</v>
      </c>
      <c r="AI245" t="s">
        <v>276</v>
      </c>
    </row>
    <row r="246" spans="1:35">
      <c r="B246" t="s">
        <v>113</v>
      </c>
      <c r="E246">
        <v>1</v>
      </c>
      <c r="F246">
        <v>1</v>
      </c>
      <c r="AH246">
        <v>2</v>
      </c>
      <c r="AI246" t="s">
        <v>276</v>
      </c>
    </row>
    <row r="247" spans="1:35">
      <c r="B247" t="s">
        <v>102</v>
      </c>
      <c r="F247">
        <v>1</v>
      </c>
      <c r="AH247">
        <v>1</v>
      </c>
      <c r="AI247" t="s">
        <v>276</v>
      </c>
    </row>
    <row r="248" spans="1:35">
      <c r="B248" t="s">
        <v>107</v>
      </c>
      <c r="E248">
        <v>3</v>
      </c>
      <c r="AH248">
        <v>3</v>
      </c>
      <c r="AI248" t="s">
        <v>276</v>
      </c>
    </row>
    <row r="249" spans="1:35">
      <c r="B249" t="s">
        <v>105</v>
      </c>
      <c r="E249">
        <v>3</v>
      </c>
      <c r="F249">
        <v>1</v>
      </c>
      <c r="AH249">
        <v>4</v>
      </c>
      <c r="AI249" t="s">
        <v>276</v>
      </c>
    </row>
    <row r="250" spans="1:35">
      <c r="B250" t="s">
        <v>106</v>
      </c>
      <c r="E250">
        <v>3</v>
      </c>
      <c r="AH250">
        <v>3</v>
      </c>
      <c r="AI250" t="s">
        <v>276</v>
      </c>
    </row>
    <row r="251" spans="1:35">
      <c r="A251" t="s">
        <v>250</v>
      </c>
      <c r="B251" t="s">
        <v>251</v>
      </c>
      <c r="E251">
        <v>2</v>
      </c>
      <c r="F251">
        <v>2</v>
      </c>
      <c r="AH251">
        <v>4</v>
      </c>
      <c r="AI251" t="s">
        <v>276</v>
      </c>
    </row>
    <row r="252" spans="1:35">
      <c r="B252" t="s">
        <v>252</v>
      </c>
      <c r="E252">
        <v>2</v>
      </c>
      <c r="F252">
        <v>2</v>
      </c>
      <c r="AH252">
        <v>4</v>
      </c>
      <c r="AI252" t="s">
        <v>276</v>
      </c>
    </row>
    <row r="253" spans="1:35">
      <c r="A253" t="s">
        <v>253</v>
      </c>
      <c r="B253" t="s">
        <v>255</v>
      </c>
      <c r="F253">
        <v>1</v>
      </c>
      <c r="AH253">
        <v>1</v>
      </c>
      <c r="AI253" t="s">
        <v>276</v>
      </c>
    </row>
    <row r="254" spans="1:35">
      <c r="B254" t="s">
        <v>303</v>
      </c>
      <c r="E254">
        <v>1</v>
      </c>
      <c r="AH254">
        <v>1</v>
      </c>
      <c r="AI254" t="s">
        <v>276</v>
      </c>
    </row>
    <row r="255" spans="1:35">
      <c r="A255" t="s">
        <v>256</v>
      </c>
      <c r="B255" t="s">
        <v>304</v>
      </c>
      <c r="F255">
        <v>1</v>
      </c>
      <c r="AH255">
        <v>1</v>
      </c>
      <c r="AI255" t="s">
        <v>276</v>
      </c>
    </row>
    <row r="256" spans="1:35">
      <c r="B256" t="s">
        <v>305</v>
      </c>
      <c r="F256">
        <v>1</v>
      </c>
      <c r="AH256">
        <v>1</v>
      </c>
      <c r="AI256" t="s">
        <v>276</v>
      </c>
    </row>
    <row r="257" spans="1:35">
      <c r="A257" t="s">
        <v>174</v>
      </c>
      <c r="B257" t="s">
        <v>175</v>
      </c>
      <c r="H257">
        <v>1</v>
      </c>
      <c r="I257">
        <v>1</v>
      </c>
      <c r="AH257">
        <v>2</v>
      </c>
      <c r="AI257" t="s">
        <v>306</v>
      </c>
    </row>
    <row r="258" spans="1:35">
      <c r="B258" t="s">
        <v>177</v>
      </c>
      <c r="H258">
        <v>13</v>
      </c>
      <c r="I258">
        <v>5</v>
      </c>
      <c r="AH258">
        <v>18</v>
      </c>
      <c r="AI258" t="s">
        <v>306</v>
      </c>
    </row>
    <row r="259" spans="1:35">
      <c r="B259" t="s">
        <v>178</v>
      </c>
      <c r="H259">
        <v>12</v>
      </c>
      <c r="I259">
        <v>6</v>
      </c>
      <c r="AH259">
        <v>18</v>
      </c>
      <c r="AI259" t="s">
        <v>306</v>
      </c>
    </row>
    <row r="260" spans="1:35">
      <c r="B260" t="s">
        <v>179</v>
      </c>
      <c r="H260">
        <v>3</v>
      </c>
      <c r="I260">
        <v>9</v>
      </c>
      <c r="AH260">
        <v>12</v>
      </c>
      <c r="AI260" t="s">
        <v>306</v>
      </c>
    </row>
    <row r="261" spans="1:35">
      <c r="B261" t="s">
        <v>260</v>
      </c>
      <c r="H261">
        <v>1</v>
      </c>
      <c r="AH261">
        <v>1</v>
      </c>
      <c r="AI261" t="s">
        <v>306</v>
      </c>
    </row>
    <row r="262" spans="1:35">
      <c r="B262" t="s">
        <v>277</v>
      </c>
      <c r="H262">
        <v>1</v>
      </c>
      <c r="AH262">
        <v>1</v>
      </c>
      <c r="AI262" t="s">
        <v>306</v>
      </c>
    </row>
    <row r="263" spans="1:35">
      <c r="B263" t="s">
        <v>180</v>
      </c>
      <c r="I263">
        <v>1</v>
      </c>
      <c r="AH263">
        <v>1</v>
      </c>
      <c r="AI263" t="s">
        <v>306</v>
      </c>
    </row>
    <row r="264" spans="1:35">
      <c r="B264" t="s">
        <v>181</v>
      </c>
      <c r="H264">
        <v>7</v>
      </c>
      <c r="I264">
        <v>5</v>
      </c>
      <c r="AH264">
        <v>12</v>
      </c>
      <c r="AI264" t="s">
        <v>306</v>
      </c>
    </row>
    <row r="265" spans="1:35">
      <c r="B265" t="s">
        <v>111</v>
      </c>
      <c r="H265">
        <v>3</v>
      </c>
      <c r="AH265">
        <v>3</v>
      </c>
      <c r="AI265" t="s">
        <v>306</v>
      </c>
    </row>
    <row r="266" spans="1:35">
      <c r="B266" t="s">
        <v>182</v>
      </c>
      <c r="H266">
        <v>1</v>
      </c>
      <c r="I266">
        <v>1</v>
      </c>
      <c r="AH266">
        <v>2</v>
      </c>
      <c r="AI266" t="s">
        <v>306</v>
      </c>
    </row>
    <row r="267" spans="1:35">
      <c r="B267" t="s">
        <v>183</v>
      </c>
      <c r="H267">
        <v>1</v>
      </c>
      <c r="I267">
        <v>1</v>
      </c>
      <c r="AH267">
        <v>2</v>
      </c>
      <c r="AI267" t="s">
        <v>306</v>
      </c>
    </row>
    <row r="268" spans="1:35">
      <c r="B268" t="s">
        <v>184</v>
      </c>
      <c r="I268">
        <v>1</v>
      </c>
      <c r="AH268">
        <v>1</v>
      </c>
      <c r="AI268" t="s">
        <v>306</v>
      </c>
    </row>
    <row r="269" spans="1:35">
      <c r="A269" t="s">
        <v>185</v>
      </c>
      <c r="B269" t="s">
        <v>186</v>
      </c>
      <c r="H269">
        <v>12</v>
      </c>
      <c r="I269">
        <v>14</v>
      </c>
      <c r="AH269">
        <v>26</v>
      </c>
      <c r="AI269" t="s">
        <v>306</v>
      </c>
    </row>
    <row r="270" spans="1:35">
      <c r="B270" t="s">
        <v>187</v>
      </c>
      <c r="H270">
        <v>12</v>
      </c>
      <c r="I270">
        <v>14</v>
      </c>
      <c r="AH270">
        <v>26</v>
      </c>
      <c r="AI270" t="s">
        <v>306</v>
      </c>
    </row>
    <row r="271" spans="1:35">
      <c r="B271" t="s">
        <v>307</v>
      </c>
      <c r="H271">
        <v>1</v>
      </c>
      <c r="AH271">
        <v>1</v>
      </c>
      <c r="AI271" t="s">
        <v>306</v>
      </c>
    </row>
    <row r="272" spans="1:35">
      <c r="B272" t="s">
        <v>278</v>
      </c>
      <c r="H272">
        <v>2</v>
      </c>
      <c r="AH272">
        <v>2</v>
      </c>
      <c r="AI272" t="s">
        <v>306</v>
      </c>
    </row>
    <row r="273" spans="1:35">
      <c r="A273" t="s">
        <v>188</v>
      </c>
      <c r="B273" t="s">
        <v>189</v>
      </c>
      <c r="H273">
        <v>13</v>
      </c>
      <c r="I273">
        <v>5</v>
      </c>
      <c r="AH273">
        <v>18</v>
      </c>
      <c r="AI273" t="s">
        <v>306</v>
      </c>
    </row>
    <row r="274" spans="1:35">
      <c r="B274" t="s">
        <v>308</v>
      </c>
      <c r="H274">
        <v>1</v>
      </c>
      <c r="I274">
        <v>1</v>
      </c>
      <c r="AH274">
        <v>2</v>
      </c>
      <c r="AI274" t="s">
        <v>306</v>
      </c>
    </row>
    <row r="275" spans="1:35">
      <c r="B275" t="s">
        <v>265</v>
      </c>
      <c r="H275">
        <v>3</v>
      </c>
      <c r="I275">
        <v>2</v>
      </c>
      <c r="AH275">
        <v>5</v>
      </c>
      <c r="AI275" t="s">
        <v>306</v>
      </c>
    </row>
    <row r="276" spans="1:35">
      <c r="B276" t="s">
        <v>190</v>
      </c>
      <c r="I276">
        <v>1</v>
      </c>
      <c r="AH276">
        <v>1</v>
      </c>
      <c r="AI276" t="s">
        <v>306</v>
      </c>
    </row>
    <row r="277" spans="1:35">
      <c r="B277" t="s">
        <v>284</v>
      </c>
      <c r="H277">
        <v>2</v>
      </c>
      <c r="AH277">
        <v>2</v>
      </c>
      <c r="AI277" t="s">
        <v>306</v>
      </c>
    </row>
    <row r="278" spans="1:35">
      <c r="B278" t="s">
        <v>309</v>
      </c>
      <c r="H278">
        <v>1</v>
      </c>
      <c r="AH278">
        <v>1</v>
      </c>
      <c r="AI278" t="s">
        <v>306</v>
      </c>
    </row>
    <row r="279" spans="1:35">
      <c r="B279" t="s">
        <v>285</v>
      </c>
      <c r="H279">
        <v>2</v>
      </c>
      <c r="AH279">
        <v>2</v>
      </c>
      <c r="AI279" t="s">
        <v>306</v>
      </c>
    </row>
    <row r="280" spans="1:35">
      <c r="B280" t="s">
        <v>310</v>
      </c>
      <c r="H280">
        <v>2</v>
      </c>
      <c r="AH280">
        <v>2</v>
      </c>
      <c r="AI280" t="s">
        <v>306</v>
      </c>
    </row>
    <row r="281" spans="1:35">
      <c r="B281" t="s">
        <v>286</v>
      </c>
      <c r="H281">
        <v>2</v>
      </c>
      <c r="AH281">
        <v>2</v>
      </c>
      <c r="AI281" t="s">
        <v>306</v>
      </c>
    </row>
    <row r="282" spans="1:35">
      <c r="B282" t="s">
        <v>193</v>
      </c>
      <c r="H282">
        <v>3</v>
      </c>
      <c r="I282">
        <v>3</v>
      </c>
      <c r="AH282">
        <v>6</v>
      </c>
      <c r="AI282" t="s">
        <v>306</v>
      </c>
    </row>
    <row r="283" spans="1:35">
      <c r="B283" t="s">
        <v>121</v>
      </c>
      <c r="H283">
        <v>1</v>
      </c>
      <c r="AH283">
        <v>1</v>
      </c>
      <c r="AI283" t="s">
        <v>306</v>
      </c>
    </row>
    <row r="284" spans="1:35">
      <c r="B284" t="s">
        <v>194</v>
      </c>
      <c r="I284">
        <v>1</v>
      </c>
      <c r="AH284">
        <v>1</v>
      </c>
      <c r="AI284" t="s">
        <v>306</v>
      </c>
    </row>
    <row r="285" spans="1:35">
      <c r="B285" t="s">
        <v>132</v>
      </c>
      <c r="I285">
        <v>1</v>
      </c>
      <c r="AH285">
        <v>1</v>
      </c>
      <c r="AI285" t="s">
        <v>306</v>
      </c>
    </row>
    <row r="286" spans="1:35">
      <c r="B286" t="s">
        <v>311</v>
      </c>
      <c r="H286">
        <v>1</v>
      </c>
      <c r="AH286">
        <v>1</v>
      </c>
      <c r="AI286" t="s">
        <v>306</v>
      </c>
    </row>
    <row r="287" spans="1:35">
      <c r="B287" t="s">
        <v>128</v>
      </c>
      <c r="H287">
        <v>1</v>
      </c>
      <c r="AH287">
        <v>1</v>
      </c>
      <c r="AI287" t="s">
        <v>306</v>
      </c>
    </row>
    <row r="288" spans="1:35">
      <c r="B288" t="s">
        <v>195</v>
      </c>
      <c r="I288">
        <v>2</v>
      </c>
      <c r="AH288">
        <v>2</v>
      </c>
      <c r="AI288" t="s">
        <v>306</v>
      </c>
    </row>
    <row r="289" spans="2:35">
      <c r="B289" t="s">
        <v>289</v>
      </c>
      <c r="I289">
        <v>2</v>
      </c>
      <c r="AH289">
        <v>2</v>
      </c>
      <c r="AI289" t="s">
        <v>306</v>
      </c>
    </row>
    <row r="290" spans="2:35">
      <c r="B290" t="s">
        <v>268</v>
      </c>
      <c r="H290">
        <v>1</v>
      </c>
      <c r="I290">
        <v>1</v>
      </c>
      <c r="AH290">
        <v>2</v>
      </c>
      <c r="AI290" t="s">
        <v>306</v>
      </c>
    </row>
    <row r="291" spans="2:35">
      <c r="B291" t="s">
        <v>290</v>
      </c>
      <c r="H291">
        <v>1</v>
      </c>
      <c r="I291">
        <v>1</v>
      </c>
      <c r="AH291">
        <v>2</v>
      </c>
      <c r="AI291" t="s">
        <v>306</v>
      </c>
    </row>
    <row r="292" spans="2:35">
      <c r="B292" t="s">
        <v>312</v>
      </c>
      <c r="H292">
        <v>1</v>
      </c>
      <c r="AH292">
        <v>1</v>
      </c>
      <c r="AI292" t="s">
        <v>306</v>
      </c>
    </row>
    <row r="293" spans="2:35">
      <c r="B293" t="s">
        <v>313</v>
      </c>
      <c r="H293">
        <v>1</v>
      </c>
      <c r="I293">
        <v>1</v>
      </c>
      <c r="AH293">
        <v>2</v>
      </c>
      <c r="AI293" t="s">
        <v>306</v>
      </c>
    </row>
    <row r="294" spans="2:35">
      <c r="B294" t="s">
        <v>291</v>
      </c>
      <c r="H294">
        <v>1</v>
      </c>
      <c r="I294">
        <v>1</v>
      </c>
      <c r="AH294">
        <v>2</v>
      </c>
      <c r="AI294" t="s">
        <v>306</v>
      </c>
    </row>
    <row r="295" spans="2:35">
      <c r="B295" t="s">
        <v>314</v>
      </c>
      <c r="H295">
        <v>1</v>
      </c>
      <c r="AH295">
        <v>1</v>
      </c>
      <c r="AI295" t="s">
        <v>306</v>
      </c>
    </row>
    <row r="296" spans="2:35">
      <c r="B296" t="s">
        <v>196</v>
      </c>
      <c r="H296">
        <v>2</v>
      </c>
      <c r="AH296">
        <v>2</v>
      </c>
      <c r="AI296" t="s">
        <v>306</v>
      </c>
    </row>
    <row r="297" spans="2:35">
      <c r="B297" t="s">
        <v>292</v>
      </c>
      <c r="H297">
        <v>1</v>
      </c>
      <c r="AH297">
        <v>1</v>
      </c>
      <c r="AI297" t="s">
        <v>306</v>
      </c>
    </row>
    <row r="298" spans="2:35">
      <c r="B298" t="s">
        <v>197</v>
      </c>
      <c r="I298">
        <v>2</v>
      </c>
      <c r="AH298">
        <v>2</v>
      </c>
      <c r="AI298" t="s">
        <v>306</v>
      </c>
    </row>
    <row r="299" spans="2:35">
      <c r="B299" t="s">
        <v>112</v>
      </c>
      <c r="H299">
        <v>1</v>
      </c>
      <c r="AH299">
        <v>1</v>
      </c>
      <c r="AI299" t="s">
        <v>306</v>
      </c>
    </row>
    <row r="300" spans="2:35">
      <c r="B300" t="s">
        <v>198</v>
      </c>
      <c r="H300">
        <v>2</v>
      </c>
      <c r="I300">
        <v>1</v>
      </c>
      <c r="AH300">
        <v>3</v>
      </c>
      <c r="AI300" t="s">
        <v>306</v>
      </c>
    </row>
    <row r="301" spans="2:35">
      <c r="B301" t="s">
        <v>199</v>
      </c>
      <c r="H301">
        <v>2</v>
      </c>
      <c r="I301">
        <v>1</v>
      </c>
      <c r="AH301">
        <v>3</v>
      </c>
      <c r="AI301" t="s">
        <v>306</v>
      </c>
    </row>
    <row r="302" spans="2:35">
      <c r="B302" t="s">
        <v>293</v>
      </c>
      <c r="I302">
        <v>1</v>
      </c>
      <c r="AH302">
        <v>1</v>
      </c>
      <c r="AI302" t="s">
        <v>306</v>
      </c>
    </row>
    <row r="303" spans="2:35">
      <c r="B303" t="s">
        <v>315</v>
      </c>
      <c r="H303">
        <v>4</v>
      </c>
      <c r="AH303">
        <v>4</v>
      </c>
      <c r="AI303" t="s">
        <v>306</v>
      </c>
    </row>
    <row r="304" spans="2:35">
      <c r="B304" t="s">
        <v>110</v>
      </c>
      <c r="H304">
        <v>1</v>
      </c>
      <c r="AH304">
        <v>1</v>
      </c>
      <c r="AI304" t="s">
        <v>306</v>
      </c>
    </row>
    <row r="305" spans="1:35">
      <c r="B305" t="s">
        <v>100</v>
      </c>
      <c r="I305">
        <v>1</v>
      </c>
      <c r="AH305">
        <v>1</v>
      </c>
      <c r="AI305" t="s">
        <v>306</v>
      </c>
    </row>
    <row r="306" spans="1:35">
      <c r="B306" t="s">
        <v>99</v>
      </c>
      <c r="I306">
        <v>1</v>
      </c>
      <c r="AH306">
        <v>1</v>
      </c>
      <c r="AI306" t="s">
        <v>306</v>
      </c>
    </row>
    <row r="307" spans="1:35">
      <c r="A307" t="s">
        <v>202</v>
      </c>
      <c r="B307" t="s">
        <v>203</v>
      </c>
      <c r="H307">
        <v>12</v>
      </c>
      <c r="I307">
        <v>6</v>
      </c>
      <c r="AH307">
        <v>18</v>
      </c>
      <c r="AI307" t="s">
        <v>306</v>
      </c>
    </row>
    <row r="308" spans="1:35">
      <c r="B308" t="s">
        <v>204</v>
      </c>
      <c r="H308">
        <v>12</v>
      </c>
      <c r="I308">
        <v>6</v>
      </c>
      <c r="AH308">
        <v>18</v>
      </c>
      <c r="AI308" t="s">
        <v>306</v>
      </c>
    </row>
    <row r="309" spans="1:35">
      <c r="B309" t="s">
        <v>205</v>
      </c>
      <c r="H309">
        <v>1</v>
      </c>
      <c r="I309">
        <v>3</v>
      </c>
      <c r="AH309">
        <v>4</v>
      </c>
      <c r="AI309" t="s">
        <v>306</v>
      </c>
    </row>
    <row r="310" spans="1:35">
      <c r="B310" t="s">
        <v>206</v>
      </c>
      <c r="H310">
        <v>2</v>
      </c>
      <c r="I310">
        <v>4</v>
      </c>
      <c r="AH310">
        <v>6</v>
      </c>
      <c r="AI310" t="s">
        <v>306</v>
      </c>
    </row>
    <row r="311" spans="1:35">
      <c r="B311" t="s">
        <v>208</v>
      </c>
      <c r="H311">
        <v>2</v>
      </c>
      <c r="I311">
        <v>4</v>
      </c>
      <c r="AH311">
        <v>6</v>
      </c>
      <c r="AI311" t="s">
        <v>306</v>
      </c>
    </row>
    <row r="312" spans="1:35">
      <c r="B312" t="s">
        <v>209</v>
      </c>
      <c r="H312">
        <v>12</v>
      </c>
      <c r="I312">
        <v>6</v>
      </c>
      <c r="AH312">
        <v>18</v>
      </c>
      <c r="AI312" t="s">
        <v>306</v>
      </c>
    </row>
    <row r="313" spans="1:35">
      <c r="B313" t="s">
        <v>207</v>
      </c>
      <c r="I313">
        <v>1</v>
      </c>
      <c r="AH313">
        <v>1</v>
      </c>
      <c r="AI313" t="s">
        <v>306</v>
      </c>
    </row>
    <row r="314" spans="1:35">
      <c r="B314" t="s">
        <v>211</v>
      </c>
      <c r="H314">
        <v>15</v>
      </c>
      <c r="I314">
        <v>15</v>
      </c>
      <c r="AH314">
        <v>30</v>
      </c>
      <c r="AI314" t="s">
        <v>306</v>
      </c>
    </row>
    <row r="315" spans="1:35">
      <c r="B315" t="s">
        <v>212</v>
      </c>
      <c r="H315">
        <v>15</v>
      </c>
      <c r="I315">
        <v>15</v>
      </c>
      <c r="AH315">
        <v>30</v>
      </c>
      <c r="AI315" t="s">
        <v>306</v>
      </c>
    </row>
    <row r="316" spans="1:35">
      <c r="B316" t="s">
        <v>213</v>
      </c>
      <c r="H316">
        <v>15</v>
      </c>
      <c r="I316">
        <v>15</v>
      </c>
      <c r="AH316">
        <v>30</v>
      </c>
      <c r="AI316" t="s">
        <v>306</v>
      </c>
    </row>
    <row r="317" spans="1:35">
      <c r="B317" t="s">
        <v>214</v>
      </c>
      <c r="H317">
        <v>16</v>
      </c>
      <c r="I317">
        <v>16</v>
      </c>
      <c r="AH317">
        <v>32</v>
      </c>
      <c r="AI317" t="s">
        <v>306</v>
      </c>
    </row>
    <row r="318" spans="1:35">
      <c r="B318" t="s">
        <v>215</v>
      </c>
      <c r="H318">
        <v>16</v>
      </c>
      <c r="I318">
        <v>16</v>
      </c>
      <c r="AH318">
        <v>32</v>
      </c>
      <c r="AI318" t="s">
        <v>306</v>
      </c>
    </row>
    <row r="319" spans="1:35">
      <c r="B319" t="s">
        <v>316</v>
      </c>
      <c r="I319">
        <v>1</v>
      </c>
      <c r="AH319">
        <v>1</v>
      </c>
      <c r="AI319" t="s">
        <v>306</v>
      </c>
    </row>
    <row r="320" spans="1:35">
      <c r="B320" t="s">
        <v>216</v>
      </c>
      <c r="H320">
        <v>12</v>
      </c>
      <c r="I320">
        <v>6</v>
      </c>
      <c r="AH320">
        <v>18</v>
      </c>
      <c r="AI320" t="s">
        <v>306</v>
      </c>
    </row>
    <row r="321" spans="2:35">
      <c r="B321" t="s">
        <v>217</v>
      </c>
      <c r="H321">
        <v>12</v>
      </c>
      <c r="I321">
        <v>6</v>
      </c>
      <c r="AH321">
        <v>18</v>
      </c>
      <c r="AI321" t="s">
        <v>306</v>
      </c>
    </row>
    <row r="322" spans="2:35">
      <c r="B322" t="s">
        <v>218</v>
      </c>
      <c r="H322">
        <v>1</v>
      </c>
      <c r="I322">
        <v>1</v>
      </c>
      <c r="AH322">
        <v>2</v>
      </c>
      <c r="AI322" t="s">
        <v>306</v>
      </c>
    </row>
    <row r="323" spans="2:35">
      <c r="B323" t="s">
        <v>219</v>
      </c>
      <c r="H323">
        <v>15</v>
      </c>
      <c r="I323">
        <v>14</v>
      </c>
      <c r="AH323">
        <v>29</v>
      </c>
      <c r="AI323" t="s">
        <v>306</v>
      </c>
    </row>
    <row r="324" spans="2:35">
      <c r="B324" t="s">
        <v>220</v>
      </c>
      <c r="H324">
        <v>13</v>
      </c>
      <c r="I324">
        <v>7</v>
      </c>
      <c r="AH324">
        <v>20</v>
      </c>
      <c r="AI324" t="s">
        <v>306</v>
      </c>
    </row>
    <row r="325" spans="2:35">
      <c r="B325" t="s">
        <v>221</v>
      </c>
      <c r="H325">
        <v>1</v>
      </c>
      <c r="I325">
        <v>1</v>
      </c>
      <c r="AH325">
        <v>2</v>
      </c>
      <c r="AI325" t="s">
        <v>306</v>
      </c>
    </row>
    <row r="326" spans="2:35">
      <c r="B326" t="s">
        <v>222</v>
      </c>
      <c r="H326">
        <v>1</v>
      </c>
      <c r="I326">
        <v>1</v>
      </c>
      <c r="AH326">
        <v>2</v>
      </c>
      <c r="AI326" t="s">
        <v>306</v>
      </c>
    </row>
    <row r="327" spans="2:35">
      <c r="B327" t="s">
        <v>223</v>
      </c>
      <c r="H327">
        <v>1</v>
      </c>
      <c r="I327">
        <v>1</v>
      </c>
      <c r="AH327">
        <v>2</v>
      </c>
      <c r="AI327" t="s">
        <v>306</v>
      </c>
    </row>
    <row r="328" spans="2:35">
      <c r="B328" t="s">
        <v>224</v>
      </c>
      <c r="I328">
        <v>1</v>
      </c>
      <c r="AH328">
        <v>1</v>
      </c>
      <c r="AI328" t="s">
        <v>306</v>
      </c>
    </row>
    <row r="329" spans="2:35">
      <c r="B329" t="s">
        <v>225</v>
      </c>
      <c r="H329">
        <v>12</v>
      </c>
      <c r="I329">
        <v>6</v>
      </c>
      <c r="AH329">
        <v>18</v>
      </c>
      <c r="AI329" t="s">
        <v>306</v>
      </c>
    </row>
    <row r="330" spans="2:35">
      <c r="B330" t="s">
        <v>226</v>
      </c>
      <c r="H330">
        <v>12</v>
      </c>
      <c r="I330">
        <v>5</v>
      </c>
      <c r="AH330">
        <v>17</v>
      </c>
      <c r="AI330" t="s">
        <v>306</v>
      </c>
    </row>
    <row r="331" spans="2:35">
      <c r="B331" t="s">
        <v>317</v>
      </c>
      <c r="H331">
        <v>1</v>
      </c>
      <c r="I331">
        <v>1</v>
      </c>
      <c r="AH331">
        <v>2</v>
      </c>
      <c r="AI331" t="s">
        <v>306</v>
      </c>
    </row>
    <row r="332" spans="2:35">
      <c r="B332" t="s">
        <v>227</v>
      </c>
      <c r="H332">
        <v>12</v>
      </c>
      <c r="I332">
        <v>6</v>
      </c>
      <c r="AH332">
        <v>18</v>
      </c>
      <c r="AI332" t="s">
        <v>306</v>
      </c>
    </row>
    <row r="333" spans="2:35">
      <c r="B333" t="s">
        <v>228</v>
      </c>
      <c r="H333">
        <v>16</v>
      </c>
      <c r="I333">
        <v>16</v>
      </c>
      <c r="AH333">
        <v>32</v>
      </c>
      <c r="AI333" t="s">
        <v>306</v>
      </c>
    </row>
    <row r="334" spans="2:35">
      <c r="B334" t="s">
        <v>229</v>
      </c>
      <c r="H334">
        <v>12</v>
      </c>
      <c r="I334">
        <v>6</v>
      </c>
      <c r="AH334">
        <v>18</v>
      </c>
      <c r="AI334" t="s">
        <v>306</v>
      </c>
    </row>
    <row r="335" spans="2:35">
      <c r="B335" t="s">
        <v>230</v>
      </c>
      <c r="H335">
        <v>16</v>
      </c>
      <c r="I335">
        <v>16</v>
      </c>
      <c r="AH335">
        <v>32</v>
      </c>
      <c r="AI335" t="s">
        <v>306</v>
      </c>
    </row>
    <row r="336" spans="2:35">
      <c r="B336" t="s">
        <v>231</v>
      </c>
      <c r="H336">
        <v>1</v>
      </c>
      <c r="I336">
        <v>10</v>
      </c>
      <c r="AH336">
        <v>11</v>
      </c>
      <c r="AI336" t="s">
        <v>306</v>
      </c>
    </row>
    <row r="337" spans="1:35">
      <c r="B337" t="s">
        <v>232</v>
      </c>
      <c r="H337">
        <v>1</v>
      </c>
      <c r="AH337">
        <v>1</v>
      </c>
      <c r="AI337" t="s">
        <v>306</v>
      </c>
    </row>
    <row r="338" spans="1:35">
      <c r="B338" t="s">
        <v>233</v>
      </c>
      <c r="H338">
        <v>12</v>
      </c>
      <c r="I338">
        <v>7</v>
      </c>
      <c r="AH338">
        <v>19</v>
      </c>
      <c r="AI338" t="s">
        <v>306</v>
      </c>
    </row>
    <row r="339" spans="1:35">
      <c r="B339" t="s">
        <v>234</v>
      </c>
      <c r="H339">
        <v>12</v>
      </c>
      <c r="I339">
        <v>6</v>
      </c>
      <c r="AH339">
        <v>18</v>
      </c>
      <c r="AI339" t="s">
        <v>306</v>
      </c>
    </row>
    <row r="340" spans="1:35">
      <c r="B340" t="s">
        <v>235</v>
      </c>
      <c r="H340">
        <v>12</v>
      </c>
      <c r="I340">
        <v>6</v>
      </c>
      <c r="AH340">
        <v>18</v>
      </c>
      <c r="AI340" t="s">
        <v>306</v>
      </c>
    </row>
    <row r="341" spans="1:35">
      <c r="A341" t="s">
        <v>237</v>
      </c>
      <c r="B341" t="s">
        <v>238</v>
      </c>
      <c r="H341">
        <v>8</v>
      </c>
      <c r="I341">
        <v>5</v>
      </c>
      <c r="AH341">
        <v>13</v>
      </c>
      <c r="AI341" t="s">
        <v>306</v>
      </c>
    </row>
    <row r="342" spans="1:35">
      <c r="B342" t="s">
        <v>239</v>
      </c>
      <c r="H342">
        <v>1</v>
      </c>
      <c r="I342">
        <v>1</v>
      </c>
      <c r="AH342">
        <v>2</v>
      </c>
      <c r="AI342" t="s">
        <v>306</v>
      </c>
    </row>
    <row r="343" spans="1:35">
      <c r="B343" t="s">
        <v>272</v>
      </c>
      <c r="H343">
        <v>1</v>
      </c>
      <c r="I343">
        <v>1</v>
      </c>
      <c r="AH343">
        <v>2</v>
      </c>
      <c r="AI343" t="s">
        <v>306</v>
      </c>
    </row>
    <row r="344" spans="1:35">
      <c r="B344" t="s">
        <v>240</v>
      </c>
      <c r="H344">
        <v>16</v>
      </c>
      <c r="I344">
        <v>7</v>
      </c>
      <c r="AH344">
        <v>23</v>
      </c>
      <c r="AI344" t="s">
        <v>306</v>
      </c>
    </row>
    <row r="345" spans="1:35">
      <c r="B345" t="s">
        <v>241</v>
      </c>
      <c r="H345">
        <v>6</v>
      </c>
      <c r="I345">
        <v>1</v>
      </c>
      <c r="AH345">
        <v>7</v>
      </c>
      <c r="AI345" t="s">
        <v>306</v>
      </c>
    </row>
    <row r="346" spans="1:35">
      <c r="B346" t="s">
        <v>242</v>
      </c>
      <c r="H346">
        <v>8</v>
      </c>
      <c r="I346">
        <v>7</v>
      </c>
      <c r="AH346">
        <v>15</v>
      </c>
      <c r="AI346" t="s">
        <v>306</v>
      </c>
    </row>
    <row r="347" spans="1:35">
      <c r="B347" t="s">
        <v>271</v>
      </c>
      <c r="I347">
        <v>18</v>
      </c>
      <c r="AH347">
        <v>18</v>
      </c>
      <c r="AI347" t="s">
        <v>306</v>
      </c>
    </row>
    <row r="348" spans="1:35">
      <c r="B348" t="s">
        <v>273</v>
      </c>
      <c r="I348">
        <v>1</v>
      </c>
      <c r="AH348">
        <v>1</v>
      </c>
      <c r="AI348" t="s">
        <v>306</v>
      </c>
    </row>
    <row r="349" spans="1:35">
      <c r="B349" t="s">
        <v>243</v>
      </c>
      <c r="I349">
        <v>1</v>
      </c>
      <c r="AH349">
        <v>1</v>
      </c>
      <c r="AI349" t="s">
        <v>306</v>
      </c>
    </row>
    <row r="350" spans="1:35">
      <c r="B350" t="s">
        <v>244</v>
      </c>
      <c r="I350">
        <v>1</v>
      </c>
      <c r="AH350">
        <v>1</v>
      </c>
      <c r="AI350" t="s">
        <v>306</v>
      </c>
    </row>
    <row r="351" spans="1:35">
      <c r="B351" t="s">
        <v>245</v>
      </c>
      <c r="I351">
        <v>2</v>
      </c>
      <c r="AH351">
        <v>2</v>
      </c>
      <c r="AI351" t="s">
        <v>306</v>
      </c>
    </row>
    <row r="352" spans="1:35">
      <c r="B352" t="s">
        <v>318</v>
      </c>
      <c r="H352">
        <v>2</v>
      </c>
      <c r="AH352">
        <v>2</v>
      </c>
      <c r="AI352" t="s">
        <v>306</v>
      </c>
    </row>
    <row r="353" spans="1:35">
      <c r="B353" t="s">
        <v>319</v>
      </c>
      <c r="I353">
        <v>2</v>
      </c>
      <c r="AH353">
        <v>2</v>
      </c>
      <c r="AI353" t="s">
        <v>306</v>
      </c>
    </row>
    <row r="354" spans="1:35">
      <c r="A354" t="s">
        <v>299</v>
      </c>
      <c r="B354" t="s">
        <v>300</v>
      </c>
      <c r="H354">
        <v>1</v>
      </c>
      <c r="AH354">
        <v>1</v>
      </c>
      <c r="AI354" t="s">
        <v>306</v>
      </c>
    </row>
    <row r="355" spans="1:35">
      <c r="B355" t="s">
        <v>301</v>
      </c>
      <c r="H355">
        <v>2</v>
      </c>
      <c r="AH355">
        <v>2</v>
      </c>
      <c r="AI355" t="s">
        <v>306</v>
      </c>
    </row>
    <row r="356" spans="1:35">
      <c r="A356" t="s">
        <v>248</v>
      </c>
      <c r="B356" t="s">
        <v>118</v>
      </c>
      <c r="H356">
        <v>2</v>
      </c>
      <c r="I356">
        <v>1</v>
      </c>
      <c r="AH356">
        <v>3</v>
      </c>
      <c r="AI356" t="s">
        <v>306</v>
      </c>
    </row>
    <row r="357" spans="1:35">
      <c r="B357" t="s">
        <v>108</v>
      </c>
      <c r="H357">
        <v>1</v>
      </c>
      <c r="I357">
        <v>1</v>
      </c>
      <c r="AH357">
        <v>2</v>
      </c>
      <c r="AI357" t="s">
        <v>306</v>
      </c>
    </row>
    <row r="358" spans="1:35">
      <c r="B358" t="s">
        <v>129</v>
      </c>
      <c r="H358">
        <v>3</v>
      </c>
      <c r="I358">
        <v>4</v>
      </c>
      <c r="AH358">
        <v>7</v>
      </c>
      <c r="AI358" t="s">
        <v>306</v>
      </c>
    </row>
    <row r="359" spans="1:35">
      <c r="B359" t="s">
        <v>130</v>
      </c>
      <c r="H359">
        <v>1</v>
      </c>
      <c r="I359">
        <v>1</v>
      </c>
      <c r="AH359">
        <v>2</v>
      </c>
      <c r="AI359" t="s">
        <v>306</v>
      </c>
    </row>
    <row r="360" spans="1:35">
      <c r="B360" t="s">
        <v>249</v>
      </c>
      <c r="H360">
        <v>6</v>
      </c>
      <c r="I360">
        <v>5</v>
      </c>
      <c r="AH360">
        <v>11</v>
      </c>
      <c r="AI360" t="s">
        <v>306</v>
      </c>
    </row>
    <row r="361" spans="1:35">
      <c r="B361" t="s">
        <v>320</v>
      </c>
      <c r="H361">
        <v>1</v>
      </c>
      <c r="AH361">
        <v>1</v>
      </c>
      <c r="AI361" t="s">
        <v>306</v>
      </c>
    </row>
    <row r="362" spans="1:35">
      <c r="B362" t="s">
        <v>104</v>
      </c>
      <c r="H362">
        <v>1</v>
      </c>
      <c r="I362">
        <v>2</v>
      </c>
      <c r="AH362">
        <v>3</v>
      </c>
      <c r="AI362" t="s">
        <v>306</v>
      </c>
    </row>
    <row r="363" spans="1:35">
      <c r="B363" t="s">
        <v>113</v>
      </c>
      <c r="H363">
        <v>1</v>
      </c>
      <c r="I363">
        <v>2</v>
      </c>
      <c r="AH363">
        <v>3</v>
      </c>
      <c r="AI363" t="s">
        <v>306</v>
      </c>
    </row>
    <row r="364" spans="1:35">
      <c r="B364" t="s">
        <v>102</v>
      </c>
      <c r="H364">
        <v>1</v>
      </c>
      <c r="AH364">
        <v>1</v>
      </c>
      <c r="AI364" t="s">
        <v>306</v>
      </c>
    </row>
    <row r="365" spans="1:35">
      <c r="B365" t="s">
        <v>107</v>
      </c>
      <c r="H365">
        <v>11</v>
      </c>
      <c r="I365">
        <v>2</v>
      </c>
      <c r="AH365">
        <v>13</v>
      </c>
      <c r="AI365" t="s">
        <v>306</v>
      </c>
    </row>
    <row r="366" spans="1:35">
      <c r="B366" t="s">
        <v>105</v>
      </c>
      <c r="H366">
        <v>10</v>
      </c>
      <c r="I366">
        <v>3</v>
      </c>
      <c r="AH366">
        <v>13</v>
      </c>
      <c r="AI366" t="s">
        <v>306</v>
      </c>
    </row>
    <row r="367" spans="1:35">
      <c r="B367" t="s">
        <v>106</v>
      </c>
      <c r="H367">
        <v>10</v>
      </c>
      <c r="I367">
        <v>3</v>
      </c>
      <c r="AH367">
        <v>13</v>
      </c>
      <c r="AI367" t="s">
        <v>306</v>
      </c>
    </row>
    <row r="368" spans="1:35">
      <c r="A368" t="s">
        <v>250</v>
      </c>
      <c r="B368" t="s">
        <v>321</v>
      </c>
      <c r="I368">
        <v>1</v>
      </c>
      <c r="AH368">
        <v>1</v>
      </c>
      <c r="AI368" t="s">
        <v>306</v>
      </c>
    </row>
    <row r="369" spans="1:35">
      <c r="B369" t="s">
        <v>251</v>
      </c>
      <c r="H369">
        <v>15</v>
      </c>
      <c r="I369">
        <v>14</v>
      </c>
      <c r="AH369">
        <v>29</v>
      </c>
      <c r="AI369" t="s">
        <v>306</v>
      </c>
    </row>
    <row r="370" spans="1:35">
      <c r="B370" t="s">
        <v>252</v>
      </c>
      <c r="H370">
        <v>12</v>
      </c>
      <c r="I370">
        <v>5</v>
      </c>
      <c r="AH370">
        <v>17</v>
      </c>
      <c r="AI370" t="s">
        <v>306</v>
      </c>
    </row>
    <row r="371" spans="1:35">
      <c r="A371" t="s">
        <v>253</v>
      </c>
      <c r="B371" t="s">
        <v>74</v>
      </c>
      <c r="H371">
        <v>1</v>
      </c>
      <c r="AH371">
        <v>1</v>
      </c>
      <c r="AI371" t="s">
        <v>306</v>
      </c>
    </row>
    <row r="372" spans="1:35">
      <c r="A372" t="s">
        <v>256</v>
      </c>
      <c r="B372" t="s">
        <v>322</v>
      </c>
      <c r="I372">
        <v>1</v>
      </c>
      <c r="AH372">
        <v>1</v>
      </c>
      <c r="AI372" t="s">
        <v>306</v>
      </c>
    </row>
    <row r="373" spans="1:35">
      <c r="A373" t="s">
        <v>174</v>
      </c>
      <c r="B373" t="s">
        <v>175</v>
      </c>
      <c r="J373">
        <v>2</v>
      </c>
      <c r="AH373">
        <v>2</v>
      </c>
      <c r="AI373" t="s">
        <v>323</v>
      </c>
    </row>
    <row r="374" spans="1:35">
      <c r="B374" t="s">
        <v>324</v>
      </c>
      <c r="J374">
        <v>1</v>
      </c>
      <c r="AH374">
        <v>1</v>
      </c>
      <c r="AI374" t="s">
        <v>323</v>
      </c>
    </row>
    <row r="375" spans="1:35">
      <c r="B375" t="s">
        <v>177</v>
      </c>
      <c r="J375">
        <v>1</v>
      </c>
      <c r="AH375">
        <v>1</v>
      </c>
      <c r="AI375" t="s">
        <v>323</v>
      </c>
    </row>
    <row r="376" spans="1:35">
      <c r="B376" t="s">
        <v>259</v>
      </c>
      <c r="J376">
        <v>1</v>
      </c>
      <c r="AH376">
        <v>1</v>
      </c>
      <c r="AI376" t="s">
        <v>323</v>
      </c>
    </row>
    <row r="377" spans="1:35">
      <c r="B377" t="s">
        <v>178</v>
      </c>
      <c r="J377">
        <v>1</v>
      </c>
      <c r="AH377">
        <v>1</v>
      </c>
      <c r="AI377" t="s">
        <v>323</v>
      </c>
    </row>
    <row r="378" spans="1:35">
      <c r="B378" t="s">
        <v>179</v>
      </c>
      <c r="J378">
        <v>10</v>
      </c>
      <c r="AH378">
        <v>10</v>
      </c>
      <c r="AI378" t="s">
        <v>323</v>
      </c>
    </row>
    <row r="379" spans="1:35">
      <c r="B379" t="s">
        <v>261</v>
      </c>
      <c r="J379">
        <v>1</v>
      </c>
      <c r="AH379">
        <v>1</v>
      </c>
      <c r="AI379" t="s">
        <v>323</v>
      </c>
    </row>
    <row r="380" spans="1:35">
      <c r="B380" t="s">
        <v>262</v>
      </c>
      <c r="J380">
        <v>1</v>
      </c>
      <c r="AH380">
        <v>1</v>
      </c>
      <c r="AI380" t="s">
        <v>323</v>
      </c>
    </row>
    <row r="381" spans="1:35">
      <c r="B381" t="s">
        <v>181</v>
      </c>
      <c r="J381">
        <v>5</v>
      </c>
      <c r="AH381">
        <v>5</v>
      </c>
      <c r="AI381" t="s">
        <v>323</v>
      </c>
    </row>
    <row r="382" spans="1:35">
      <c r="B382" t="s">
        <v>111</v>
      </c>
      <c r="J382">
        <v>3</v>
      </c>
      <c r="AH382">
        <v>3</v>
      </c>
      <c r="AI382" t="s">
        <v>323</v>
      </c>
    </row>
    <row r="383" spans="1:35">
      <c r="B383" t="s">
        <v>182</v>
      </c>
      <c r="J383">
        <v>2</v>
      </c>
      <c r="AH383">
        <v>2</v>
      </c>
      <c r="AI383" t="s">
        <v>323</v>
      </c>
    </row>
    <row r="384" spans="1:35">
      <c r="B384" t="s">
        <v>183</v>
      </c>
      <c r="J384">
        <v>2</v>
      </c>
      <c r="AH384">
        <v>2</v>
      </c>
      <c r="AI384" t="s">
        <v>323</v>
      </c>
    </row>
    <row r="385" spans="1:35">
      <c r="A385" t="s">
        <v>185</v>
      </c>
      <c r="B385" t="s">
        <v>186</v>
      </c>
      <c r="J385">
        <v>10</v>
      </c>
      <c r="AH385">
        <v>10</v>
      </c>
      <c r="AI385" t="s">
        <v>323</v>
      </c>
    </row>
    <row r="386" spans="1:35">
      <c r="B386" t="s">
        <v>187</v>
      </c>
      <c r="J386">
        <v>10</v>
      </c>
      <c r="AH386">
        <v>10</v>
      </c>
      <c r="AI386" t="s">
        <v>323</v>
      </c>
    </row>
    <row r="387" spans="1:35">
      <c r="B387" t="s">
        <v>278</v>
      </c>
      <c r="J387">
        <v>1</v>
      </c>
      <c r="AH387">
        <v>1</v>
      </c>
      <c r="AI387" t="s">
        <v>323</v>
      </c>
    </row>
    <row r="388" spans="1:35">
      <c r="A388" t="s">
        <v>188</v>
      </c>
      <c r="B388" t="s">
        <v>189</v>
      </c>
      <c r="J388">
        <v>1</v>
      </c>
      <c r="AH388">
        <v>1</v>
      </c>
      <c r="AI388" t="s">
        <v>323</v>
      </c>
    </row>
    <row r="389" spans="1:35">
      <c r="B389" t="s">
        <v>325</v>
      </c>
      <c r="J389">
        <v>1</v>
      </c>
      <c r="AH389">
        <v>1</v>
      </c>
      <c r="AI389" t="s">
        <v>323</v>
      </c>
    </row>
    <row r="390" spans="1:35">
      <c r="B390" t="s">
        <v>131</v>
      </c>
      <c r="J390">
        <v>1</v>
      </c>
      <c r="AH390">
        <v>1</v>
      </c>
      <c r="AI390" t="s">
        <v>323</v>
      </c>
    </row>
    <row r="391" spans="1:35">
      <c r="B391" t="s">
        <v>326</v>
      </c>
      <c r="J391">
        <v>1</v>
      </c>
      <c r="AH391">
        <v>1</v>
      </c>
      <c r="AI391" t="s">
        <v>323</v>
      </c>
    </row>
    <row r="392" spans="1:35">
      <c r="B392" t="s">
        <v>327</v>
      </c>
      <c r="J392">
        <v>1</v>
      </c>
      <c r="AH392">
        <v>1</v>
      </c>
      <c r="AI392" t="s">
        <v>323</v>
      </c>
    </row>
    <row r="393" spans="1:35">
      <c r="B393" t="s">
        <v>190</v>
      </c>
      <c r="J393">
        <v>1</v>
      </c>
      <c r="AH393">
        <v>1</v>
      </c>
      <c r="AI393" t="s">
        <v>323</v>
      </c>
    </row>
    <row r="394" spans="1:35">
      <c r="B394" t="s">
        <v>265</v>
      </c>
      <c r="J394">
        <v>1</v>
      </c>
      <c r="AH394">
        <v>1</v>
      </c>
      <c r="AI394" t="s">
        <v>323</v>
      </c>
    </row>
    <row r="395" spans="1:35">
      <c r="B395" t="s">
        <v>132</v>
      </c>
      <c r="J395">
        <v>1</v>
      </c>
      <c r="AH395">
        <v>1</v>
      </c>
      <c r="AI395" t="s">
        <v>323</v>
      </c>
    </row>
    <row r="396" spans="1:35">
      <c r="B396" t="s">
        <v>267</v>
      </c>
      <c r="J396">
        <v>1</v>
      </c>
      <c r="AH396">
        <v>1</v>
      </c>
      <c r="AI396" t="s">
        <v>323</v>
      </c>
    </row>
    <row r="397" spans="1:35">
      <c r="B397" t="s">
        <v>116</v>
      </c>
      <c r="J397">
        <v>5</v>
      </c>
      <c r="AH397">
        <v>5</v>
      </c>
      <c r="AI397" t="s">
        <v>323</v>
      </c>
    </row>
    <row r="398" spans="1:35">
      <c r="B398" t="s">
        <v>195</v>
      </c>
      <c r="J398">
        <v>1</v>
      </c>
      <c r="AH398">
        <v>1</v>
      </c>
      <c r="AI398" t="s">
        <v>323</v>
      </c>
    </row>
    <row r="399" spans="1:35">
      <c r="B399" t="s">
        <v>289</v>
      </c>
      <c r="J399">
        <v>2</v>
      </c>
      <c r="AH399">
        <v>2</v>
      </c>
      <c r="AI399" t="s">
        <v>323</v>
      </c>
    </row>
    <row r="400" spans="1:35">
      <c r="B400" t="s">
        <v>314</v>
      </c>
      <c r="J400">
        <v>1</v>
      </c>
      <c r="AH400">
        <v>1</v>
      </c>
      <c r="AI400" t="s">
        <v>323</v>
      </c>
    </row>
    <row r="401" spans="1:35">
      <c r="B401" t="s">
        <v>196</v>
      </c>
      <c r="J401">
        <v>1</v>
      </c>
      <c r="AH401">
        <v>1</v>
      </c>
      <c r="AI401" t="s">
        <v>323</v>
      </c>
    </row>
    <row r="402" spans="1:35">
      <c r="B402" t="s">
        <v>328</v>
      </c>
      <c r="J402">
        <v>1</v>
      </c>
      <c r="AH402">
        <v>1</v>
      </c>
      <c r="AI402" t="s">
        <v>323</v>
      </c>
    </row>
    <row r="403" spans="1:35">
      <c r="B403" t="s">
        <v>292</v>
      </c>
      <c r="J403">
        <v>1</v>
      </c>
      <c r="AH403">
        <v>1</v>
      </c>
      <c r="AI403" t="s">
        <v>323</v>
      </c>
    </row>
    <row r="404" spans="1:35">
      <c r="B404" t="s">
        <v>112</v>
      </c>
      <c r="J404">
        <v>1</v>
      </c>
      <c r="AH404">
        <v>1</v>
      </c>
      <c r="AI404" t="s">
        <v>323</v>
      </c>
    </row>
    <row r="405" spans="1:35">
      <c r="B405" t="s">
        <v>315</v>
      </c>
      <c r="J405">
        <v>2</v>
      </c>
      <c r="AH405">
        <v>2</v>
      </c>
      <c r="AI405" t="s">
        <v>323</v>
      </c>
    </row>
    <row r="406" spans="1:35">
      <c r="B406" t="s">
        <v>110</v>
      </c>
      <c r="J406">
        <v>1</v>
      </c>
      <c r="AH406">
        <v>1</v>
      </c>
      <c r="AI406" t="s">
        <v>323</v>
      </c>
    </row>
    <row r="407" spans="1:35">
      <c r="A407" t="s">
        <v>202</v>
      </c>
      <c r="B407" t="s">
        <v>203</v>
      </c>
      <c r="J407">
        <v>4</v>
      </c>
      <c r="AH407">
        <v>4</v>
      </c>
      <c r="AI407" t="s">
        <v>323</v>
      </c>
    </row>
    <row r="408" spans="1:35">
      <c r="B408" t="s">
        <v>204</v>
      </c>
      <c r="J408">
        <v>4</v>
      </c>
      <c r="AH408">
        <v>4</v>
      </c>
      <c r="AI408" t="s">
        <v>323</v>
      </c>
    </row>
    <row r="409" spans="1:35">
      <c r="B409" t="s">
        <v>205</v>
      </c>
      <c r="J409">
        <v>3</v>
      </c>
      <c r="AH409">
        <v>3</v>
      </c>
      <c r="AI409" t="s">
        <v>323</v>
      </c>
    </row>
    <row r="410" spans="1:35">
      <c r="B410" t="s">
        <v>206</v>
      </c>
      <c r="J410">
        <v>1</v>
      </c>
      <c r="AH410">
        <v>1</v>
      </c>
      <c r="AI410" t="s">
        <v>323</v>
      </c>
    </row>
    <row r="411" spans="1:35">
      <c r="B411" t="s">
        <v>207</v>
      </c>
      <c r="J411">
        <v>1</v>
      </c>
      <c r="AH411">
        <v>1</v>
      </c>
      <c r="AI411" t="s">
        <v>323</v>
      </c>
    </row>
    <row r="412" spans="1:35">
      <c r="B412" t="s">
        <v>209</v>
      </c>
      <c r="J412">
        <v>4</v>
      </c>
      <c r="AH412">
        <v>4</v>
      </c>
      <c r="AI412" t="s">
        <v>323</v>
      </c>
    </row>
    <row r="413" spans="1:35">
      <c r="B413" t="s">
        <v>211</v>
      </c>
      <c r="J413">
        <v>13</v>
      </c>
      <c r="AH413">
        <v>13</v>
      </c>
      <c r="AI413" t="s">
        <v>323</v>
      </c>
    </row>
    <row r="414" spans="1:35">
      <c r="B414" t="s">
        <v>212</v>
      </c>
      <c r="J414">
        <v>13</v>
      </c>
      <c r="AH414">
        <v>13</v>
      </c>
      <c r="AI414" t="s">
        <v>323</v>
      </c>
    </row>
    <row r="415" spans="1:35">
      <c r="B415" t="s">
        <v>213</v>
      </c>
      <c r="J415">
        <v>13</v>
      </c>
      <c r="AH415">
        <v>13</v>
      </c>
      <c r="AI415" t="s">
        <v>323</v>
      </c>
    </row>
    <row r="416" spans="1:35">
      <c r="B416" t="s">
        <v>214</v>
      </c>
      <c r="J416">
        <v>16</v>
      </c>
      <c r="AH416">
        <v>16</v>
      </c>
      <c r="AI416" t="s">
        <v>323</v>
      </c>
    </row>
    <row r="417" spans="2:35">
      <c r="B417" t="s">
        <v>215</v>
      </c>
      <c r="J417">
        <v>16</v>
      </c>
      <c r="AH417">
        <v>16</v>
      </c>
      <c r="AI417" t="s">
        <v>323</v>
      </c>
    </row>
    <row r="418" spans="2:35">
      <c r="B418" t="s">
        <v>216</v>
      </c>
      <c r="J418">
        <v>7</v>
      </c>
      <c r="AH418">
        <v>7</v>
      </c>
      <c r="AI418" t="s">
        <v>323</v>
      </c>
    </row>
    <row r="419" spans="2:35">
      <c r="B419" t="s">
        <v>217</v>
      </c>
      <c r="J419">
        <v>4</v>
      </c>
      <c r="AH419">
        <v>4</v>
      </c>
      <c r="AI419" t="s">
        <v>323</v>
      </c>
    </row>
    <row r="420" spans="2:35">
      <c r="B420" t="s">
        <v>218</v>
      </c>
      <c r="J420">
        <v>3</v>
      </c>
      <c r="AH420">
        <v>3</v>
      </c>
      <c r="AI420" t="s">
        <v>323</v>
      </c>
    </row>
    <row r="421" spans="2:35">
      <c r="B421" t="s">
        <v>329</v>
      </c>
      <c r="J421">
        <v>1</v>
      </c>
      <c r="AH421">
        <v>1</v>
      </c>
      <c r="AI421" t="s">
        <v>323</v>
      </c>
    </row>
    <row r="422" spans="2:35">
      <c r="B422" t="s">
        <v>219</v>
      </c>
      <c r="J422">
        <v>10</v>
      </c>
      <c r="AH422">
        <v>10</v>
      </c>
      <c r="AI422" t="s">
        <v>323</v>
      </c>
    </row>
    <row r="423" spans="2:35">
      <c r="B423" t="s">
        <v>220</v>
      </c>
      <c r="J423">
        <v>7</v>
      </c>
      <c r="AH423">
        <v>7</v>
      </c>
      <c r="AI423" t="s">
        <v>323</v>
      </c>
    </row>
    <row r="424" spans="2:35">
      <c r="B424" t="s">
        <v>221</v>
      </c>
      <c r="J424">
        <v>3</v>
      </c>
      <c r="AH424">
        <v>3</v>
      </c>
      <c r="AI424" t="s">
        <v>323</v>
      </c>
    </row>
    <row r="425" spans="2:35">
      <c r="B425" t="s">
        <v>222</v>
      </c>
      <c r="J425">
        <v>4</v>
      </c>
      <c r="AH425">
        <v>4</v>
      </c>
      <c r="AI425" t="s">
        <v>323</v>
      </c>
    </row>
    <row r="426" spans="2:35">
      <c r="B426" t="s">
        <v>223</v>
      </c>
      <c r="J426">
        <v>3</v>
      </c>
      <c r="AH426">
        <v>3</v>
      </c>
      <c r="AI426" t="s">
        <v>323</v>
      </c>
    </row>
    <row r="427" spans="2:35">
      <c r="B427" t="s">
        <v>225</v>
      </c>
      <c r="J427">
        <v>4</v>
      </c>
      <c r="AH427">
        <v>4</v>
      </c>
      <c r="AI427" t="s">
        <v>323</v>
      </c>
    </row>
    <row r="428" spans="2:35">
      <c r="B428" t="s">
        <v>226</v>
      </c>
      <c r="J428">
        <v>1</v>
      </c>
      <c r="AH428">
        <v>1</v>
      </c>
      <c r="AI428" t="s">
        <v>323</v>
      </c>
    </row>
    <row r="429" spans="2:35">
      <c r="B429" t="s">
        <v>227</v>
      </c>
      <c r="J429">
        <v>6</v>
      </c>
      <c r="AH429">
        <v>6</v>
      </c>
      <c r="AI429" t="s">
        <v>323</v>
      </c>
    </row>
    <row r="430" spans="2:35">
      <c r="B430" t="s">
        <v>228</v>
      </c>
      <c r="J430">
        <v>16</v>
      </c>
      <c r="AH430">
        <v>16</v>
      </c>
      <c r="AI430" t="s">
        <v>323</v>
      </c>
    </row>
    <row r="431" spans="2:35">
      <c r="B431" t="s">
        <v>229</v>
      </c>
      <c r="J431">
        <v>4</v>
      </c>
      <c r="AH431">
        <v>4</v>
      </c>
      <c r="AI431" t="s">
        <v>323</v>
      </c>
    </row>
    <row r="432" spans="2:35">
      <c r="B432" t="s">
        <v>230</v>
      </c>
      <c r="J432">
        <v>16</v>
      </c>
      <c r="AH432">
        <v>16</v>
      </c>
      <c r="AI432" t="s">
        <v>323</v>
      </c>
    </row>
    <row r="433" spans="1:35">
      <c r="B433" t="s">
        <v>231</v>
      </c>
      <c r="J433">
        <v>11</v>
      </c>
      <c r="AH433">
        <v>11</v>
      </c>
      <c r="AI433" t="s">
        <v>323</v>
      </c>
    </row>
    <row r="434" spans="1:35">
      <c r="B434" t="s">
        <v>233</v>
      </c>
      <c r="J434">
        <v>4</v>
      </c>
      <c r="AH434">
        <v>4</v>
      </c>
      <c r="AI434" t="s">
        <v>323</v>
      </c>
    </row>
    <row r="435" spans="1:35">
      <c r="B435" t="s">
        <v>234</v>
      </c>
      <c r="J435">
        <v>4</v>
      </c>
      <c r="AH435">
        <v>4</v>
      </c>
      <c r="AI435" t="s">
        <v>323</v>
      </c>
    </row>
    <row r="436" spans="1:35">
      <c r="B436" t="s">
        <v>235</v>
      </c>
      <c r="J436">
        <v>4</v>
      </c>
      <c r="AH436">
        <v>4</v>
      </c>
      <c r="AI436" t="s">
        <v>323</v>
      </c>
    </row>
    <row r="437" spans="1:35">
      <c r="A437" t="s">
        <v>237</v>
      </c>
      <c r="B437" t="s">
        <v>330</v>
      </c>
      <c r="J437">
        <v>4</v>
      </c>
      <c r="AH437">
        <v>4</v>
      </c>
      <c r="AI437" t="s">
        <v>323</v>
      </c>
    </row>
    <row r="438" spans="1:35">
      <c r="B438" t="s">
        <v>331</v>
      </c>
      <c r="J438">
        <v>1</v>
      </c>
      <c r="AH438">
        <v>1</v>
      </c>
      <c r="AI438" t="s">
        <v>323</v>
      </c>
    </row>
    <row r="439" spans="1:35">
      <c r="B439" t="s">
        <v>238</v>
      </c>
      <c r="J439">
        <v>2</v>
      </c>
      <c r="AH439">
        <v>2</v>
      </c>
      <c r="AI439" t="s">
        <v>323</v>
      </c>
    </row>
    <row r="440" spans="1:35">
      <c r="B440" t="s">
        <v>239</v>
      </c>
      <c r="J440">
        <v>3</v>
      </c>
      <c r="AH440">
        <v>3</v>
      </c>
      <c r="AI440" t="s">
        <v>323</v>
      </c>
    </row>
    <row r="441" spans="1:35">
      <c r="B441" t="s">
        <v>272</v>
      </c>
      <c r="J441">
        <v>2</v>
      </c>
      <c r="AH441">
        <v>2</v>
      </c>
      <c r="AI441" t="s">
        <v>323</v>
      </c>
    </row>
    <row r="442" spans="1:35">
      <c r="B442" t="s">
        <v>240</v>
      </c>
      <c r="J442">
        <v>1</v>
      </c>
      <c r="AH442">
        <v>1</v>
      </c>
      <c r="AI442" t="s">
        <v>323</v>
      </c>
    </row>
    <row r="443" spans="1:35">
      <c r="B443" t="s">
        <v>242</v>
      </c>
      <c r="J443">
        <v>7</v>
      </c>
      <c r="AH443">
        <v>7</v>
      </c>
      <c r="AI443" t="s">
        <v>323</v>
      </c>
    </row>
    <row r="444" spans="1:35">
      <c r="B444" t="s">
        <v>274</v>
      </c>
      <c r="J444">
        <v>1</v>
      </c>
      <c r="AH444">
        <v>1</v>
      </c>
      <c r="AI444" t="s">
        <v>323</v>
      </c>
    </row>
    <row r="445" spans="1:35">
      <c r="B445" t="s">
        <v>244</v>
      </c>
      <c r="J445">
        <v>1</v>
      </c>
      <c r="AH445">
        <v>1</v>
      </c>
      <c r="AI445" t="s">
        <v>323</v>
      </c>
    </row>
    <row r="446" spans="1:35">
      <c r="B446" t="s">
        <v>245</v>
      </c>
      <c r="J446">
        <v>1</v>
      </c>
      <c r="AH446">
        <v>1</v>
      </c>
      <c r="AI446" t="s">
        <v>323</v>
      </c>
    </row>
    <row r="447" spans="1:35">
      <c r="A447" t="s">
        <v>246</v>
      </c>
      <c r="B447" t="s">
        <v>247</v>
      </c>
      <c r="J447">
        <v>3</v>
      </c>
      <c r="AH447">
        <v>3</v>
      </c>
      <c r="AI447" t="s">
        <v>323</v>
      </c>
    </row>
    <row r="448" spans="1:35">
      <c r="A448" t="s">
        <v>299</v>
      </c>
      <c r="B448" t="s">
        <v>332</v>
      </c>
      <c r="J448">
        <v>1</v>
      </c>
      <c r="AH448">
        <v>1</v>
      </c>
      <c r="AI448" t="s">
        <v>323</v>
      </c>
    </row>
    <row r="449" spans="1:35">
      <c r="B449" t="s">
        <v>300</v>
      </c>
      <c r="J449">
        <v>1</v>
      </c>
      <c r="AH449">
        <v>1</v>
      </c>
      <c r="AI449" t="s">
        <v>323</v>
      </c>
    </row>
    <row r="450" spans="1:35">
      <c r="A450" t="s">
        <v>248</v>
      </c>
      <c r="B450" t="s">
        <v>118</v>
      </c>
      <c r="J450">
        <v>1</v>
      </c>
      <c r="AH450">
        <v>1</v>
      </c>
      <c r="AI450" t="s">
        <v>323</v>
      </c>
    </row>
    <row r="451" spans="1:35">
      <c r="B451" t="s">
        <v>108</v>
      </c>
      <c r="J451">
        <v>5</v>
      </c>
      <c r="AH451">
        <v>5</v>
      </c>
      <c r="AI451" t="s">
        <v>323</v>
      </c>
    </row>
    <row r="452" spans="1:35">
      <c r="B452" t="s">
        <v>129</v>
      </c>
      <c r="J452">
        <v>4</v>
      </c>
      <c r="AH452">
        <v>4</v>
      </c>
      <c r="AI452" t="s">
        <v>323</v>
      </c>
    </row>
    <row r="453" spans="1:35">
      <c r="B453" t="s">
        <v>333</v>
      </c>
      <c r="J453">
        <v>1</v>
      </c>
      <c r="AH453">
        <v>1</v>
      </c>
      <c r="AI453" t="s">
        <v>323</v>
      </c>
    </row>
    <row r="454" spans="1:35">
      <c r="B454" t="s">
        <v>249</v>
      </c>
      <c r="J454">
        <v>5</v>
      </c>
      <c r="AH454">
        <v>5</v>
      </c>
      <c r="AI454" t="s">
        <v>323</v>
      </c>
    </row>
    <row r="455" spans="1:35">
      <c r="B455" t="s">
        <v>320</v>
      </c>
      <c r="J455">
        <v>1</v>
      </c>
      <c r="AH455">
        <v>1</v>
      </c>
      <c r="AI455" t="s">
        <v>323</v>
      </c>
    </row>
    <row r="456" spans="1:35">
      <c r="B456" t="s">
        <v>107</v>
      </c>
      <c r="J456">
        <v>6</v>
      </c>
      <c r="AH456">
        <v>6</v>
      </c>
      <c r="AI456" t="s">
        <v>323</v>
      </c>
    </row>
    <row r="457" spans="1:35">
      <c r="B457" t="s">
        <v>105</v>
      </c>
      <c r="J457">
        <v>3</v>
      </c>
      <c r="AH457">
        <v>3</v>
      </c>
      <c r="AI457" t="s">
        <v>323</v>
      </c>
    </row>
    <row r="458" spans="1:35">
      <c r="B458" t="s">
        <v>106</v>
      </c>
      <c r="J458">
        <v>3</v>
      </c>
      <c r="AH458">
        <v>3</v>
      </c>
      <c r="AI458" t="s">
        <v>323</v>
      </c>
    </row>
    <row r="459" spans="1:35">
      <c r="A459" t="s">
        <v>250</v>
      </c>
      <c r="B459" t="s">
        <v>251</v>
      </c>
      <c r="J459">
        <v>10</v>
      </c>
      <c r="AH459">
        <v>10</v>
      </c>
      <c r="AI459" t="s">
        <v>323</v>
      </c>
    </row>
    <row r="460" spans="1:35">
      <c r="B460" t="s">
        <v>252</v>
      </c>
      <c r="J460">
        <v>1</v>
      </c>
      <c r="AH460">
        <v>1</v>
      </c>
      <c r="AI460" t="s">
        <v>323</v>
      </c>
    </row>
    <row r="461" spans="1:35">
      <c r="A461" t="s">
        <v>253</v>
      </c>
      <c r="B461" t="s">
        <v>74</v>
      </c>
      <c r="J461">
        <v>1</v>
      </c>
      <c r="AH461">
        <v>1</v>
      </c>
      <c r="AI461" t="s">
        <v>323</v>
      </c>
    </row>
    <row r="462" spans="1:35">
      <c r="A462" t="s">
        <v>256</v>
      </c>
      <c r="B462" t="s">
        <v>304</v>
      </c>
      <c r="J462">
        <v>1</v>
      </c>
      <c r="AH462">
        <v>1</v>
      </c>
      <c r="AI462" t="s">
        <v>323</v>
      </c>
    </row>
    <row r="463" spans="1:35">
      <c r="A463" t="s">
        <v>174</v>
      </c>
      <c r="B463" t="s">
        <v>259</v>
      </c>
      <c r="K463">
        <v>2</v>
      </c>
      <c r="AH463">
        <v>2</v>
      </c>
      <c r="AI463" t="s">
        <v>334</v>
      </c>
    </row>
    <row r="464" spans="1:35">
      <c r="B464" t="s">
        <v>178</v>
      </c>
      <c r="K464">
        <v>3</v>
      </c>
      <c r="AH464">
        <v>3</v>
      </c>
      <c r="AI464" t="s">
        <v>334</v>
      </c>
    </row>
    <row r="465" spans="1:35">
      <c r="B465" t="s">
        <v>179</v>
      </c>
      <c r="K465">
        <v>9</v>
      </c>
      <c r="AH465">
        <v>9</v>
      </c>
      <c r="AI465" t="s">
        <v>334</v>
      </c>
    </row>
    <row r="466" spans="1:35">
      <c r="B466" t="s">
        <v>180</v>
      </c>
      <c r="K466">
        <v>1</v>
      </c>
      <c r="AH466">
        <v>1</v>
      </c>
      <c r="AI466" t="s">
        <v>334</v>
      </c>
    </row>
    <row r="467" spans="1:35">
      <c r="B467" t="s">
        <v>181</v>
      </c>
      <c r="K467">
        <v>3</v>
      </c>
      <c r="AH467">
        <v>3</v>
      </c>
      <c r="AI467" t="s">
        <v>334</v>
      </c>
    </row>
    <row r="468" spans="1:35">
      <c r="A468" t="s">
        <v>185</v>
      </c>
      <c r="B468" t="s">
        <v>186</v>
      </c>
      <c r="K468">
        <v>9</v>
      </c>
      <c r="AH468">
        <v>9</v>
      </c>
      <c r="AI468" t="s">
        <v>334</v>
      </c>
    </row>
    <row r="469" spans="1:35">
      <c r="B469" t="s">
        <v>187</v>
      </c>
      <c r="K469">
        <v>9</v>
      </c>
      <c r="AH469">
        <v>9</v>
      </c>
      <c r="AI469" t="s">
        <v>334</v>
      </c>
    </row>
    <row r="470" spans="1:35">
      <c r="A470" t="s">
        <v>188</v>
      </c>
      <c r="B470" t="s">
        <v>310</v>
      </c>
      <c r="K470">
        <v>1</v>
      </c>
      <c r="AH470">
        <v>1</v>
      </c>
      <c r="AI470" t="s">
        <v>334</v>
      </c>
    </row>
    <row r="471" spans="1:35">
      <c r="B471" t="s">
        <v>263</v>
      </c>
      <c r="K471">
        <v>1</v>
      </c>
      <c r="AH471">
        <v>1</v>
      </c>
      <c r="AI471" t="s">
        <v>334</v>
      </c>
    </row>
    <row r="472" spans="1:35">
      <c r="B472" t="s">
        <v>190</v>
      </c>
      <c r="K472">
        <v>1</v>
      </c>
      <c r="AH472">
        <v>1</v>
      </c>
      <c r="AI472" t="s">
        <v>334</v>
      </c>
    </row>
    <row r="473" spans="1:35">
      <c r="B473" t="s">
        <v>287</v>
      </c>
      <c r="K473">
        <v>1</v>
      </c>
      <c r="AH473">
        <v>1</v>
      </c>
      <c r="AI473" t="s">
        <v>334</v>
      </c>
    </row>
    <row r="474" spans="1:35">
      <c r="B474" t="s">
        <v>193</v>
      </c>
      <c r="K474">
        <v>2</v>
      </c>
      <c r="AH474">
        <v>2</v>
      </c>
      <c r="AI474" t="s">
        <v>334</v>
      </c>
    </row>
    <row r="475" spans="1:35">
      <c r="B475" t="s">
        <v>121</v>
      </c>
      <c r="K475">
        <v>1</v>
      </c>
      <c r="AH475">
        <v>1</v>
      </c>
      <c r="AI475" t="s">
        <v>334</v>
      </c>
    </row>
    <row r="476" spans="1:35">
      <c r="B476" t="s">
        <v>194</v>
      </c>
      <c r="K476">
        <v>1</v>
      </c>
      <c r="AH476">
        <v>1</v>
      </c>
      <c r="AI476" t="s">
        <v>334</v>
      </c>
    </row>
    <row r="477" spans="1:35">
      <c r="B477" t="s">
        <v>132</v>
      </c>
      <c r="K477">
        <v>1</v>
      </c>
      <c r="AH477">
        <v>1</v>
      </c>
      <c r="AI477" t="s">
        <v>334</v>
      </c>
    </row>
    <row r="478" spans="1:35">
      <c r="B478" t="s">
        <v>267</v>
      </c>
      <c r="K478">
        <v>1</v>
      </c>
      <c r="AH478">
        <v>1</v>
      </c>
      <c r="AI478" t="s">
        <v>334</v>
      </c>
    </row>
    <row r="479" spans="1:35">
      <c r="B479" t="s">
        <v>195</v>
      </c>
      <c r="K479">
        <v>1</v>
      </c>
      <c r="AH479">
        <v>1</v>
      </c>
      <c r="AI479" t="s">
        <v>334</v>
      </c>
    </row>
    <row r="480" spans="1:35">
      <c r="B480" t="s">
        <v>289</v>
      </c>
      <c r="K480">
        <v>2</v>
      </c>
      <c r="AH480">
        <v>2</v>
      </c>
      <c r="AI480" t="s">
        <v>334</v>
      </c>
    </row>
    <row r="481" spans="1:35">
      <c r="B481" t="s">
        <v>268</v>
      </c>
      <c r="K481">
        <v>1</v>
      </c>
      <c r="AH481">
        <v>1</v>
      </c>
      <c r="AI481" t="s">
        <v>334</v>
      </c>
    </row>
    <row r="482" spans="1:35">
      <c r="B482" t="s">
        <v>290</v>
      </c>
      <c r="K482">
        <v>1</v>
      </c>
      <c r="AH482">
        <v>1</v>
      </c>
      <c r="AI482" t="s">
        <v>334</v>
      </c>
    </row>
    <row r="483" spans="1:35">
      <c r="B483" t="s">
        <v>291</v>
      </c>
      <c r="K483">
        <v>1</v>
      </c>
      <c r="AH483">
        <v>1</v>
      </c>
      <c r="AI483" t="s">
        <v>334</v>
      </c>
    </row>
    <row r="484" spans="1:35">
      <c r="B484" t="s">
        <v>328</v>
      </c>
      <c r="K484">
        <v>1</v>
      </c>
      <c r="AH484">
        <v>1</v>
      </c>
      <c r="AI484" t="s">
        <v>334</v>
      </c>
    </row>
    <row r="485" spans="1:35">
      <c r="B485" t="s">
        <v>292</v>
      </c>
      <c r="K485">
        <v>1</v>
      </c>
      <c r="AH485">
        <v>1</v>
      </c>
      <c r="AI485" t="s">
        <v>334</v>
      </c>
    </row>
    <row r="486" spans="1:35">
      <c r="B486" t="s">
        <v>198</v>
      </c>
      <c r="K486">
        <v>2</v>
      </c>
      <c r="AH486">
        <v>2</v>
      </c>
      <c r="AI486" t="s">
        <v>334</v>
      </c>
    </row>
    <row r="487" spans="1:35">
      <c r="B487" t="s">
        <v>199</v>
      </c>
      <c r="K487">
        <v>1</v>
      </c>
      <c r="AH487">
        <v>1</v>
      </c>
      <c r="AI487" t="s">
        <v>334</v>
      </c>
    </row>
    <row r="488" spans="1:35">
      <c r="B488" t="s">
        <v>293</v>
      </c>
      <c r="K488">
        <v>1</v>
      </c>
      <c r="AH488">
        <v>1</v>
      </c>
      <c r="AI488" t="s">
        <v>334</v>
      </c>
    </row>
    <row r="489" spans="1:35">
      <c r="B489" t="s">
        <v>110</v>
      </c>
      <c r="K489">
        <v>1</v>
      </c>
      <c r="AH489">
        <v>1</v>
      </c>
      <c r="AI489" t="s">
        <v>334</v>
      </c>
    </row>
    <row r="490" spans="1:35">
      <c r="A490" t="s">
        <v>202</v>
      </c>
      <c r="B490" t="s">
        <v>335</v>
      </c>
      <c r="K490">
        <v>1</v>
      </c>
      <c r="AH490">
        <v>1</v>
      </c>
      <c r="AI490" t="s">
        <v>334</v>
      </c>
    </row>
    <row r="491" spans="1:35">
      <c r="B491" t="s">
        <v>205</v>
      </c>
      <c r="K491">
        <v>4</v>
      </c>
      <c r="AH491">
        <v>4</v>
      </c>
      <c r="AI491" t="s">
        <v>334</v>
      </c>
    </row>
    <row r="492" spans="1:35">
      <c r="B492" t="s">
        <v>207</v>
      </c>
      <c r="K492">
        <v>1</v>
      </c>
      <c r="AH492">
        <v>1</v>
      </c>
      <c r="AI492" t="s">
        <v>334</v>
      </c>
    </row>
    <row r="493" spans="1:35">
      <c r="B493" t="s">
        <v>211</v>
      </c>
      <c r="K493">
        <v>8</v>
      </c>
      <c r="AH493">
        <v>8</v>
      </c>
      <c r="AI493" t="s">
        <v>334</v>
      </c>
    </row>
    <row r="494" spans="1:35">
      <c r="B494" t="s">
        <v>212</v>
      </c>
      <c r="K494">
        <v>8</v>
      </c>
      <c r="AH494">
        <v>8</v>
      </c>
      <c r="AI494" t="s">
        <v>334</v>
      </c>
    </row>
    <row r="495" spans="1:35">
      <c r="B495" t="s">
        <v>213</v>
      </c>
      <c r="K495">
        <v>8</v>
      </c>
      <c r="AH495">
        <v>8</v>
      </c>
      <c r="AI495" t="s">
        <v>334</v>
      </c>
    </row>
    <row r="496" spans="1:35">
      <c r="B496" t="s">
        <v>214</v>
      </c>
      <c r="K496">
        <v>10</v>
      </c>
      <c r="AH496">
        <v>10</v>
      </c>
      <c r="AI496" t="s">
        <v>334</v>
      </c>
    </row>
    <row r="497" spans="1:35">
      <c r="B497" t="s">
        <v>215</v>
      </c>
      <c r="K497">
        <v>10</v>
      </c>
      <c r="AH497">
        <v>10</v>
      </c>
      <c r="AI497" t="s">
        <v>334</v>
      </c>
    </row>
    <row r="498" spans="1:35">
      <c r="B498" t="s">
        <v>216</v>
      </c>
      <c r="K498">
        <v>1</v>
      </c>
      <c r="AH498">
        <v>1</v>
      </c>
      <c r="AI498" t="s">
        <v>334</v>
      </c>
    </row>
    <row r="499" spans="1:35">
      <c r="B499" t="s">
        <v>217</v>
      </c>
      <c r="K499">
        <v>1</v>
      </c>
      <c r="AH499">
        <v>1</v>
      </c>
      <c r="AI499" t="s">
        <v>334</v>
      </c>
    </row>
    <row r="500" spans="1:35">
      <c r="B500" t="s">
        <v>218</v>
      </c>
      <c r="K500">
        <v>2</v>
      </c>
      <c r="AH500">
        <v>2</v>
      </c>
      <c r="AI500" t="s">
        <v>334</v>
      </c>
    </row>
    <row r="501" spans="1:35">
      <c r="B501" t="s">
        <v>219</v>
      </c>
      <c r="K501">
        <v>8</v>
      </c>
      <c r="AH501">
        <v>8</v>
      </c>
      <c r="AI501" t="s">
        <v>334</v>
      </c>
    </row>
    <row r="502" spans="1:35">
      <c r="B502" t="s">
        <v>220</v>
      </c>
      <c r="K502">
        <v>2</v>
      </c>
      <c r="AH502">
        <v>2</v>
      </c>
      <c r="AI502" t="s">
        <v>334</v>
      </c>
    </row>
    <row r="503" spans="1:35">
      <c r="B503" t="s">
        <v>221</v>
      </c>
      <c r="K503">
        <v>2</v>
      </c>
      <c r="AH503">
        <v>2</v>
      </c>
      <c r="AI503" t="s">
        <v>334</v>
      </c>
    </row>
    <row r="504" spans="1:35">
      <c r="B504" t="s">
        <v>222</v>
      </c>
      <c r="K504">
        <v>3</v>
      </c>
      <c r="AH504">
        <v>3</v>
      </c>
      <c r="AI504" t="s">
        <v>334</v>
      </c>
    </row>
    <row r="505" spans="1:35">
      <c r="B505" t="s">
        <v>223</v>
      </c>
      <c r="K505">
        <v>2</v>
      </c>
      <c r="AH505">
        <v>2</v>
      </c>
      <c r="AI505" t="s">
        <v>334</v>
      </c>
    </row>
    <row r="506" spans="1:35">
      <c r="B506" t="s">
        <v>224</v>
      </c>
      <c r="K506">
        <v>1</v>
      </c>
      <c r="AH506">
        <v>1</v>
      </c>
      <c r="AI506" t="s">
        <v>334</v>
      </c>
    </row>
    <row r="507" spans="1:35">
      <c r="B507" t="s">
        <v>228</v>
      </c>
      <c r="K507">
        <v>10</v>
      </c>
      <c r="AH507">
        <v>10</v>
      </c>
      <c r="AI507" t="s">
        <v>334</v>
      </c>
    </row>
    <row r="508" spans="1:35">
      <c r="B508" t="s">
        <v>230</v>
      </c>
      <c r="K508">
        <v>10</v>
      </c>
      <c r="AH508">
        <v>10</v>
      </c>
      <c r="AI508" t="s">
        <v>334</v>
      </c>
    </row>
    <row r="509" spans="1:35">
      <c r="B509" t="s">
        <v>231</v>
      </c>
      <c r="K509">
        <v>10</v>
      </c>
      <c r="AH509">
        <v>10</v>
      </c>
      <c r="AI509" t="s">
        <v>334</v>
      </c>
    </row>
    <row r="510" spans="1:35">
      <c r="B510" t="s">
        <v>294</v>
      </c>
      <c r="K510">
        <v>1</v>
      </c>
      <c r="AH510">
        <v>1</v>
      </c>
      <c r="AI510" t="s">
        <v>334</v>
      </c>
    </row>
    <row r="511" spans="1:35">
      <c r="B511" t="s">
        <v>233</v>
      </c>
      <c r="K511">
        <v>1</v>
      </c>
      <c r="AH511">
        <v>1</v>
      </c>
      <c r="AI511" t="s">
        <v>334</v>
      </c>
    </row>
    <row r="512" spans="1:35">
      <c r="A512" t="s">
        <v>237</v>
      </c>
      <c r="B512" t="s">
        <v>270</v>
      </c>
      <c r="K512">
        <v>1</v>
      </c>
      <c r="AH512">
        <v>1</v>
      </c>
      <c r="AI512" t="s">
        <v>334</v>
      </c>
    </row>
    <row r="513" spans="1:35">
      <c r="B513" t="s">
        <v>330</v>
      </c>
      <c r="K513">
        <v>3</v>
      </c>
      <c r="AH513">
        <v>3</v>
      </c>
      <c r="AI513" t="s">
        <v>334</v>
      </c>
    </row>
    <row r="514" spans="1:35">
      <c r="B514" t="s">
        <v>336</v>
      </c>
      <c r="K514">
        <v>1</v>
      </c>
      <c r="AH514">
        <v>1</v>
      </c>
      <c r="AI514" t="s">
        <v>334</v>
      </c>
    </row>
    <row r="515" spans="1:35">
      <c r="B515" t="s">
        <v>271</v>
      </c>
      <c r="K515">
        <v>4</v>
      </c>
      <c r="AH515">
        <v>4</v>
      </c>
      <c r="AI515" t="s">
        <v>334</v>
      </c>
    </row>
    <row r="516" spans="1:35">
      <c r="B516" t="s">
        <v>238</v>
      </c>
      <c r="K516">
        <v>4</v>
      </c>
      <c r="AH516">
        <v>4</v>
      </c>
      <c r="AI516" t="s">
        <v>334</v>
      </c>
    </row>
    <row r="517" spans="1:35">
      <c r="B517" t="s">
        <v>239</v>
      </c>
      <c r="K517">
        <v>2</v>
      </c>
      <c r="AH517">
        <v>2</v>
      </c>
      <c r="AI517" t="s">
        <v>334</v>
      </c>
    </row>
    <row r="518" spans="1:35">
      <c r="B518" t="s">
        <v>272</v>
      </c>
      <c r="K518">
        <v>2</v>
      </c>
      <c r="AH518">
        <v>2</v>
      </c>
      <c r="AI518" t="s">
        <v>334</v>
      </c>
    </row>
    <row r="519" spans="1:35">
      <c r="B519" t="s">
        <v>240</v>
      </c>
      <c r="K519">
        <v>6</v>
      </c>
      <c r="AH519">
        <v>6</v>
      </c>
      <c r="AI519" t="s">
        <v>334</v>
      </c>
    </row>
    <row r="520" spans="1:35">
      <c r="B520" t="s">
        <v>241</v>
      </c>
      <c r="K520">
        <v>2</v>
      </c>
      <c r="AH520">
        <v>2</v>
      </c>
      <c r="AI520" t="s">
        <v>334</v>
      </c>
    </row>
    <row r="521" spans="1:35">
      <c r="B521" t="s">
        <v>242</v>
      </c>
      <c r="K521">
        <v>5</v>
      </c>
      <c r="AH521">
        <v>5</v>
      </c>
      <c r="AI521" t="s">
        <v>334</v>
      </c>
    </row>
    <row r="522" spans="1:35">
      <c r="B522" t="s">
        <v>243</v>
      </c>
      <c r="K522">
        <v>2</v>
      </c>
      <c r="AH522">
        <v>2</v>
      </c>
      <c r="AI522" t="s">
        <v>334</v>
      </c>
    </row>
    <row r="523" spans="1:35">
      <c r="B523" t="s">
        <v>244</v>
      </c>
      <c r="K523">
        <v>3</v>
      </c>
      <c r="AH523">
        <v>3</v>
      </c>
      <c r="AI523" t="s">
        <v>334</v>
      </c>
    </row>
    <row r="524" spans="1:35">
      <c r="B524" t="s">
        <v>318</v>
      </c>
      <c r="K524">
        <v>1</v>
      </c>
      <c r="AH524">
        <v>1</v>
      </c>
      <c r="AI524" t="s">
        <v>334</v>
      </c>
    </row>
    <row r="525" spans="1:35">
      <c r="B525" t="s">
        <v>337</v>
      </c>
      <c r="K525">
        <v>1</v>
      </c>
      <c r="AH525">
        <v>1</v>
      </c>
      <c r="AI525" t="s">
        <v>334</v>
      </c>
    </row>
    <row r="526" spans="1:35">
      <c r="A526" t="s">
        <v>246</v>
      </c>
      <c r="B526" t="s">
        <v>247</v>
      </c>
      <c r="K526">
        <v>1</v>
      </c>
      <c r="AH526">
        <v>1</v>
      </c>
      <c r="AI526" t="s">
        <v>334</v>
      </c>
    </row>
    <row r="527" spans="1:35">
      <c r="A527" t="s">
        <v>299</v>
      </c>
      <c r="B527" t="s">
        <v>332</v>
      </c>
      <c r="K527">
        <v>1</v>
      </c>
      <c r="AH527">
        <v>1</v>
      </c>
      <c r="AI527" t="s">
        <v>334</v>
      </c>
    </row>
    <row r="528" spans="1:35">
      <c r="A528" t="s">
        <v>248</v>
      </c>
      <c r="B528" t="s">
        <v>118</v>
      </c>
      <c r="K528">
        <v>1</v>
      </c>
      <c r="AH528">
        <v>1</v>
      </c>
      <c r="AI528" t="s">
        <v>334</v>
      </c>
    </row>
    <row r="529" spans="1:35">
      <c r="B529" t="s">
        <v>108</v>
      </c>
      <c r="K529">
        <v>1</v>
      </c>
      <c r="AH529">
        <v>1</v>
      </c>
      <c r="AI529" t="s">
        <v>334</v>
      </c>
    </row>
    <row r="530" spans="1:35">
      <c r="B530" t="s">
        <v>129</v>
      </c>
      <c r="K530">
        <v>2</v>
      </c>
      <c r="AH530">
        <v>2</v>
      </c>
      <c r="AI530" t="s">
        <v>334</v>
      </c>
    </row>
    <row r="531" spans="1:35">
      <c r="B531" t="s">
        <v>249</v>
      </c>
      <c r="K531">
        <v>4</v>
      </c>
      <c r="AH531">
        <v>4</v>
      </c>
      <c r="AI531" t="s">
        <v>334</v>
      </c>
    </row>
    <row r="532" spans="1:35">
      <c r="B532" t="s">
        <v>102</v>
      </c>
      <c r="K532">
        <v>1</v>
      </c>
      <c r="AH532">
        <v>1</v>
      </c>
      <c r="AI532" t="s">
        <v>334</v>
      </c>
    </row>
    <row r="533" spans="1:35">
      <c r="B533" t="s">
        <v>107</v>
      </c>
      <c r="K533">
        <v>1</v>
      </c>
      <c r="AH533">
        <v>1</v>
      </c>
      <c r="AI533" t="s">
        <v>334</v>
      </c>
    </row>
    <row r="534" spans="1:35">
      <c r="A534" t="s">
        <v>250</v>
      </c>
      <c r="B534" t="s">
        <v>251</v>
      </c>
      <c r="K534">
        <v>8</v>
      </c>
      <c r="AH534">
        <v>8</v>
      </c>
      <c r="AI534" t="s">
        <v>334</v>
      </c>
    </row>
    <row r="535" spans="1:35">
      <c r="A535" t="s">
        <v>256</v>
      </c>
      <c r="B535" t="s">
        <v>304</v>
      </c>
      <c r="K535">
        <v>1</v>
      </c>
      <c r="AH535">
        <v>1</v>
      </c>
      <c r="AI535" t="s">
        <v>334</v>
      </c>
    </row>
    <row r="536" spans="1:35">
      <c r="A536" t="s">
        <v>174</v>
      </c>
      <c r="B536" t="s">
        <v>175</v>
      </c>
      <c r="M536">
        <v>3</v>
      </c>
      <c r="AH536">
        <v>3</v>
      </c>
      <c r="AI536" t="s">
        <v>338</v>
      </c>
    </row>
    <row r="537" spans="1:35">
      <c r="B537" t="s">
        <v>259</v>
      </c>
      <c r="M537">
        <v>2</v>
      </c>
      <c r="AH537">
        <v>2</v>
      </c>
      <c r="AI537" t="s">
        <v>338</v>
      </c>
    </row>
    <row r="538" spans="1:35">
      <c r="B538" t="s">
        <v>178</v>
      </c>
      <c r="L538">
        <v>7</v>
      </c>
      <c r="M538">
        <v>7</v>
      </c>
      <c r="AH538">
        <v>14</v>
      </c>
      <c r="AI538" t="s">
        <v>338</v>
      </c>
    </row>
    <row r="539" spans="1:35">
      <c r="B539" t="s">
        <v>179</v>
      </c>
      <c r="L539">
        <v>12</v>
      </c>
      <c r="M539">
        <v>8</v>
      </c>
      <c r="AH539">
        <v>20</v>
      </c>
      <c r="AI539" t="s">
        <v>338</v>
      </c>
    </row>
    <row r="540" spans="1:35">
      <c r="B540" t="s">
        <v>260</v>
      </c>
      <c r="M540">
        <v>1</v>
      </c>
      <c r="AH540">
        <v>1</v>
      </c>
      <c r="AI540" t="s">
        <v>338</v>
      </c>
    </row>
    <row r="541" spans="1:35">
      <c r="B541" t="s">
        <v>180</v>
      </c>
      <c r="L541">
        <v>2</v>
      </c>
      <c r="M541">
        <v>7</v>
      </c>
      <c r="AH541">
        <v>9</v>
      </c>
      <c r="AI541" t="s">
        <v>338</v>
      </c>
    </row>
    <row r="542" spans="1:35">
      <c r="B542" t="s">
        <v>181</v>
      </c>
      <c r="L542">
        <v>5</v>
      </c>
      <c r="M542">
        <v>3</v>
      </c>
      <c r="AH542">
        <v>8</v>
      </c>
      <c r="AI542" t="s">
        <v>338</v>
      </c>
    </row>
    <row r="543" spans="1:35">
      <c r="B543" t="s">
        <v>111</v>
      </c>
      <c r="L543">
        <v>1</v>
      </c>
      <c r="M543">
        <v>2</v>
      </c>
      <c r="AH543">
        <v>3</v>
      </c>
      <c r="AI543" t="s">
        <v>338</v>
      </c>
    </row>
    <row r="544" spans="1:35">
      <c r="B544" t="s">
        <v>182</v>
      </c>
      <c r="L544">
        <v>2</v>
      </c>
      <c r="M544">
        <v>5</v>
      </c>
      <c r="AH544">
        <v>7</v>
      </c>
      <c r="AI544" t="s">
        <v>338</v>
      </c>
    </row>
    <row r="545" spans="1:35">
      <c r="B545" t="s">
        <v>183</v>
      </c>
      <c r="M545">
        <v>3</v>
      </c>
      <c r="AH545">
        <v>3</v>
      </c>
      <c r="AI545" t="s">
        <v>338</v>
      </c>
    </row>
    <row r="546" spans="1:35">
      <c r="A546" t="s">
        <v>185</v>
      </c>
      <c r="B546" t="s">
        <v>186</v>
      </c>
      <c r="L546">
        <v>10</v>
      </c>
      <c r="M546">
        <v>7</v>
      </c>
      <c r="AH546">
        <v>17</v>
      </c>
      <c r="AI546" t="s">
        <v>338</v>
      </c>
    </row>
    <row r="547" spans="1:35">
      <c r="B547" t="s">
        <v>187</v>
      </c>
      <c r="L547">
        <v>10</v>
      </c>
      <c r="M547">
        <v>7</v>
      </c>
      <c r="AH547">
        <v>17</v>
      </c>
      <c r="AI547" t="s">
        <v>338</v>
      </c>
    </row>
    <row r="548" spans="1:35">
      <c r="B548" t="s">
        <v>307</v>
      </c>
      <c r="M548">
        <v>1</v>
      </c>
      <c r="AH548">
        <v>1</v>
      </c>
      <c r="AI548" t="s">
        <v>338</v>
      </c>
    </row>
    <row r="549" spans="1:35">
      <c r="A549" t="s">
        <v>188</v>
      </c>
      <c r="B549" t="s">
        <v>189</v>
      </c>
      <c r="L549">
        <v>1</v>
      </c>
      <c r="M549">
        <v>1</v>
      </c>
      <c r="AH549">
        <v>2</v>
      </c>
      <c r="AI549" t="s">
        <v>338</v>
      </c>
    </row>
    <row r="550" spans="1:35">
      <c r="B550" t="s">
        <v>339</v>
      </c>
      <c r="L550">
        <v>1</v>
      </c>
      <c r="M550">
        <v>1</v>
      </c>
      <c r="AH550">
        <v>2</v>
      </c>
      <c r="AI550" t="s">
        <v>338</v>
      </c>
    </row>
    <row r="551" spans="1:35">
      <c r="B551" t="s">
        <v>265</v>
      </c>
      <c r="L551">
        <v>13</v>
      </c>
      <c r="M551">
        <v>3</v>
      </c>
      <c r="AH551">
        <v>16</v>
      </c>
      <c r="AI551" t="s">
        <v>338</v>
      </c>
    </row>
    <row r="552" spans="1:35">
      <c r="B552" t="s">
        <v>340</v>
      </c>
      <c r="M552">
        <v>1</v>
      </c>
      <c r="AH552">
        <v>1</v>
      </c>
      <c r="AI552" t="s">
        <v>338</v>
      </c>
    </row>
    <row r="553" spans="1:35">
      <c r="B553" t="s">
        <v>341</v>
      </c>
      <c r="M553">
        <v>1</v>
      </c>
      <c r="AH553">
        <v>1</v>
      </c>
      <c r="AI553" t="s">
        <v>338</v>
      </c>
    </row>
    <row r="554" spans="1:35">
      <c r="B554" t="s">
        <v>287</v>
      </c>
      <c r="M554">
        <v>1</v>
      </c>
      <c r="AH554">
        <v>1</v>
      </c>
      <c r="AI554" t="s">
        <v>338</v>
      </c>
    </row>
    <row r="555" spans="1:35">
      <c r="B555" t="s">
        <v>342</v>
      </c>
      <c r="L555">
        <v>1</v>
      </c>
      <c r="AH555">
        <v>1</v>
      </c>
      <c r="AI555" t="s">
        <v>338</v>
      </c>
    </row>
    <row r="556" spans="1:35">
      <c r="B556" t="s">
        <v>263</v>
      </c>
      <c r="L556">
        <v>1</v>
      </c>
      <c r="AH556">
        <v>1</v>
      </c>
      <c r="AI556" t="s">
        <v>338</v>
      </c>
    </row>
    <row r="557" spans="1:35">
      <c r="B557" t="s">
        <v>343</v>
      </c>
      <c r="M557">
        <v>1</v>
      </c>
      <c r="AH557">
        <v>1</v>
      </c>
      <c r="AI557" t="s">
        <v>338</v>
      </c>
    </row>
    <row r="558" spans="1:35">
      <c r="B558" t="s">
        <v>192</v>
      </c>
      <c r="L558">
        <v>2</v>
      </c>
      <c r="M558">
        <v>1</v>
      </c>
      <c r="AH558">
        <v>3</v>
      </c>
      <c r="AI558" t="s">
        <v>338</v>
      </c>
    </row>
    <row r="559" spans="1:35">
      <c r="B559" t="s">
        <v>193</v>
      </c>
      <c r="L559">
        <v>1</v>
      </c>
      <c r="M559">
        <v>5</v>
      </c>
      <c r="AH559">
        <v>6</v>
      </c>
      <c r="AI559" t="s">
        <v>338</v>
      </c>
    </row>
    <row r="560" spans="1:35">
      <c r="B560" t="s">
        <v>121</v>
      </c>
      <c r="L560">
        <v>2</v>
      </c>
      <c r="M560">
        <v>1</v>
      </c>
      <c r="AH560">
        <v>3</v>
      </c>
      <c r="AI560" t="s">
        <v>338</v>
      </c>
    </row>
    <row r="561" spans="2:35">
      <c r="B561" t="s">
        <v>194</v>
      </c>
      <c r="L561">
        <v>2</v>
      </c>
      <c r="M561">
        <v>6</v>
      </c>
      <c r="AH561">
        <v>8</v>
      </c>
      <c r="AI561" t="s">
        <v>338</v>
      </c>
    </row>
    <row r="562" spans="2:35">
      <c r="B562" t="s">
        <v>266</v>
      </c>
      <c r="M562">
        <v>1</v>
      </c>
      <c r="AH562">
        <v>1</v>
      </c>
      <c r="AI562" t="s">
        <v>338</v>
      </c>
    </row>
    <row r="563" spans="2:35">
      <c r="B563" t="s">
        <v>132</v>
      </c>
      <c r="L563">
        <v>1</v>
      </c>
      <c r="M563">
        <v>1</v>
      </c>
      <c r="AH563">
        <v>2</v>
      </c>
      <c r="AI563" t="s">
        <v>338</v>
      </c>
    </row>
    <row r="564" spans="2:35">
      <c r="B564" t="s">
        <v>344</v>
      </c>
      <c r="M564">
        <v>1</v>
      </c>
      <c r="AH564">
        <v>1</v>
      </c>
      <c r="AI564" t="s">
        <v>338</v>
      </c>
    </row>
    <row r="565" spans="2:35">
      <c r="B565" t="s">
        <v>345</v>
      </c>
      <c r="L565">
        <v>1</v>
      </c>
      <c r="AH565">
        <v>1</v>
      </c>
      <c r="AI565" t="s">
        <v>338</v>
      </c>
    </row>
    <row r="566" spans="2:35">
      <c r="B566" t="s">
        <v>116</v>
      </c>
      <c r="L566">
        <v>5</v>
      </c>
      <c r="M566">
        <v>1</v>
      </c>
      <c r="AH566">
        <v>6</v>
      </c>
      <c r="AI566" t="s">
        <v>338</v>
      </c>
    </row>
    <row r="567" spans="2:35">
      <c r="B567" t="s">
        <v>128</v>
      </c>
      <c r="L567">
        <v>1</v>
      </c>
      <c r="M567">
        <v>1</v>
      </c>
      <c r="AH567">
        <v>2</v>
      </c>
      <c r="AI567" t="s">
        <v>338</v>
      </c>
    </row>
    <row r="568" spans="2:35">
      <c r="B568" t="s">
        <v>346</v>
      </c>
      <c r="M568">
        <v>1</v>
      </c>
      <c r="AH568">
        <v>1</v>
      </c>
      <c r="AI568" t="s">
        <v>338</v>
      </c>
    </row>
    <row r="569" spans="2:35">
      <c r="B569" t="s">
        <v>195</v>
      </c>
      <c r="M569">
        <v>2</v>
      </c>
      <c r="AH569">
        <v>2</v>
      </c>
      <c r="AI569" t="s">
        <v>338</v>
      </c>
    </row>
    <row r="570" spans="2:35">
      <c r="B570" t="s">
        <v>289</v>
      </c>
      <c r="M570">
        <v>2</v>
      </c>
      <c r="AH570">
        <v>2</v>
      </c>
      <c r="AI570" t="s">
        <v>338</v>
      </c>
    </row>
    <row r="571" spans="2:35">
      <c r="B571" t="s">
        <v>268</v>
      </c>
      <c r="L571">
        <v>3</v>
      </c>
      <c r="M571">
        <v>4</v>
      </c>
      <c r="AH571">
        <v>7</v>
      </c>
      <c r="AI571" t="s">
        <v>338</v>
      </c>
    </row>
    <row r="572" spans="2:35">
      <c r="B572" t="s">
        <v>290</v>
      </c>
      <c r="M572">
        <v>2</v>
      </c>
      <c r="AH572">
        <v>2</v>
      </c>
      <c r="AI572" t="s">
        <v>338</v>
      </c>
    </row>
    <row r="573" spans="2:35">
      <c r="B573" t="s">
        <v>313</v>
      </c>
      <c r="L573">
        <v>1</v>
      </c>
      <c r="M573">
        <v>2</v>
      </c>
      <c r="AH573">
        <v>3</v>
      </c>
      <c r="AI573" t="s">
        <v>338</v>
      </c>
    </row>
    <row r="574" spans="2:35">
      <c r="B574" t="s">
        <v>291</v>
      </c>
      <c r="M574">
        <v>3</v>
      </c>
      <c r="AH574">
        <v>3</v>
      </c>
      <c r="AI574" t="s">
        <v>338</v>
      </c>
    </row>
    <row r="575" spans="2:35">
      <c r="B575" t="s">
        <v>314</v>
      </c>
      <c r="M575">
        <v>1</v>
      </c>
      <c r="AH575">
        <v>1</v>
      </c>
      <c r="AI575" t="s">
        <v>338</v>
      </c>
    </row>
    <row r="576" spans="2:35">
      <c r="B576" t="s">
        <v>196</v>
      </c>
      <c r="M576">
        <v>3</v>
      </c>
      <c r="AH576">
        <v>3</v>
      </c>
      <c r="AI576" t="s">
        <v>338</v>
      </c>
    </row>
    <row r="577" spans="1:35">
      <c r="B577" t="s">
        <v>328</v>
      </c>
      <c r="M577">
        <v>1</v>
      </c>
      <c r="AH577">
        <v>1</v>
      </c>
      <c r="AI577" t="s">
        <v>338</v>
      </c>
    </row>
    <row r="578" spans="1:35">
      <c r="B578" t="s">
        <v>292</v>
      </c>
      <c r="L578">
        <v>2</v>
      </c>
      <c r="M578">
        <v>5</v>
      </c>
      <c r="AH578">
        <v>7</v>
      </c>
      <c r="AI578" t="s">
        <v>338</v>
      </c>
    </row>
    <row r="579" spans="1:35">
      <c r="B579" t="s">
        <v>198</v>
      </c>
      <c r="L579">
        <v>2</v>
      </c>
      <c r="M579">
        <v>8</v>
      </c>
      <c r="AH579">
        <v>10</v>
      </c>
      <c r="AI579" t="s">
        <v>338</v>
      </c>
    </row>
    <row r="580" spans="1:35">
      <c r="B580" t="s">
        <v>199</v>
      </c>
      <c r="L580">
        <v>2</v>
      </c>
      <c r="M580">
        <v>7</v>
      </c>
      <c r="AH580">
        <v>9</v>
      </c>
      <c r="AI580" t="s">
        <v>338</v>
      </c>
    </row>
    <row r="581" spans="1:35">
      <c r="B581" t="s">
        <v>293</v>
      </c>
      <c r="L581">
        <v>1</v>
      </c>
      <c r="M581">
        <v>2</v>
      </c>
      <c r="AH581">
        <v>3</v>
      </c>
      <c r="AI581" t="s">
        <v>338</v>
      </c>
    </row>
    <row r="582" spans="1:35">
      <c r="B582" t="s">
        <v>315</v>
      </c>
      <c r="L582">
        <v>2</v>
      </c>
      <c r="AH582">
        <v>2</v>
      </c>
      <c r="AI582" t="s">
        <v>338</v>
      </c>
    </row>
    <row r="583" spans="1:35">
      <c r="B583" t="s">
        <v>200</v>
      </c>
      <c r="L583">
        <v>2</v>
      </c>
      <c r="M583">
        <v>1</v>
      </c>
      <c r="AH583">
        <v>3</v>
      </c>
      <c r="AI583" t="s">
        <v>338</v>
      </c>
    </row>
    <row r="584" spans="1:35">
      <c r="B584" t="s">
        <v>110</v>
      </c>
      <c r="L584">
        <v>1</v>
      </c>
      <c r="AH584">
        <v>1</v>
      </c>
      <c r="AI584" t="s">
        <v>338</v>
      </c>
    </row>
    <row r="585" spans="1:35">
      <c r="B585" t="s">
        <v>81</v>
      </c>
      <c r="L585">
        <v>2</v>
      </c>
      <c r="AH585">
        <v>2</v>
      </c>
      <c r="AI585" t="s">
        <v>338</v>
      </c>
    </row>
    <row r="586" spans="1:35">
      <c r="B586" t="s">
        <v>101</v>
      </c>
      <c r="L586">
        <v>2</v>
      </c>
      <c r="AH586">
        <v>2</v>
      </c>
      <c r="AI586" t="s">
        <v>338</v>
      </c>
    </row>
    <row r="587" spans="1:35">
      <c r="B587" t="s">
        <v>100</v>
      </c>
      <c r="L587">
        <v>1</v>
      </c>
      <c r="AH587">
        <v>1</v>
      </c>
      <c r="AI587" t="s">
        <v>338</v>
      </c>
    </row>
    <row r="588" spans="1:35">
      <c r="B588" t="s">
        <v>99</v>
      </c>
      <c r="L588">
        <v>1</v>
      </c>
      <c r="AH588">
        <v>1</v>
      </c>
      <c r="AI588" t="s">
        <v>338</v>
      </c>
    </row>
    <row r="589" spans="1:35">
      <c r="A589" t="s">
        <v>202</v>
      </c>
      <c r="B589" t="s">
        <v>205</v>
      </c>
      <c r="L589">
        <v>8</v>
      </c>
      <c r="M589">
        <v>16</v>
      </c>
      <c r="AH589">
        <v>24</v>
      </c>
      <c r="AI589" t="s">
        <v>338</v>
      </c>
    </row>
    <row r="590" spans="1:35">
      <c r="B590" t="s">
        <v>335</v>
      </c>
      <c r="L590">
        <v>1</v>
      </c>
      <c r="AH590">
        <v>1</v>
      </c>
      <c r="AI590" t="s">
        <v>338</v>
      </c>
    </row>
    <row r="591" spans="1:35">
      <c r="B591" t="s">
        <v>206</v>
      </c>
      <c r="L591">
        <v>2</v>
      </c>
      <c r="AH591">
        <v>2</v>
      </c>
      <c r="AI591" t="s">
        <v>338</v>
      </c>
    </row>
    <row r="592" spans="1:35">
      <c r="B592" t="s">
        <v>207</v>
      </c>
      <c r="L592">
        <v>2</v>
      </c>
      <c r="AH592">
        <v>2</v>
      </c>
      <c r="AI592" t="s">
        <v>338</v>
      </c>
    </row>
    <row r="593" spans="2:35">
      <c r="B593" t="s">
        <v>209</v>
      </c>
      <c r="L593">
        <v>2</v>
      </c>
      <c r="AH593">
        <v>2</v>
      </c>
      <c r="AI593" t="s">
        <v>338</v>
      </c>
    </row>
    <row r="594" spans="2:35">
      <c r="B594" t="s">
        <v>211</v>
      </c>
      <c r="L594">
        <v>12</v>
      </c>
      <c r="M594">
        <v>7</v>
      </c>
      <c r="AH594">
        <v>19</v>
      </c>
      <c r="AI594" t="s">
        <v>338</v>
      </c>
    </row>
    <row r="595" spans="2:35">
      <c r="B595" t="s">
        <v>212</v>
      </c>
      <c r="L595">
        <v>12</v>
      </c>
      <c r="M595">
        <v>7</v>
      </c>
      <c r="AH595">
        <v>19</v>
      </c>
      <c r="AI595" t="s">
        <v>338</v>
      </c>
    </row>
    <row r="596" spans="2:35">
      <c r="B596" t="s">
        <v>213</v>
      </c>
      <c r="L596">
        <v>13</v>
      </c>
      <c r="M596">
        <v>7</v>
      </c>
      <c r="AH596">
        <v>20</v>
      </c>
      <c r="AI596" t="s">
        <v>338</v>
      </c>
    </row>
    <row r="597" spans="2:35">
      <c r="B597" t="s">
        <v>214</v>
      </c>
      <c r="L597">
        <v>18</v>
      </c>
      <c r="M597">
        <v>17</v>
      </c>
      <c r="AH597">
        <v>35</v>
      </c>
      <c r="AI597" t="s">
        <v>338</v>
      </c>
    </row>
    <row r="598" spans="2:35">
      <c r="B598" t="s">
        <v>215</v>
      </c>
      <c r="L598">
        <v>18</v>
      </c>
      <c r="M598">
        <v>17</v>
      </c>
      <c r="AH598">
        <v>35</v>
      </c>
      <c r="AI598" t="s">
        <v>338</v>
      </c>
    </row>
    <row r="599" spans="2:35">
      <c r="B599" t="s">
        <v>316</v>
      </c>
      <c r="L599">
        <v>3</v>
      </c>
      <c r="M599">
        <v>3</v>
      </c>
      <c r="AH599">
        <v>6</v>
      </c>
      <c r="AI599" t="s">
        <v>338</v>
      </c>
    </row>
    <row r="600" spans="2:35">
      <c r="B600" t="s">
        <v>216</v>
      </c>
      <c r="L600">
        <v>1</v>
      </c>
      <c r="AH600">
        <v>1</v>
      </c>
      <c r="AI600" t="s">
        <v>338</v>
      </c>
    </row>
    <row r="601" spans="2:35">
      <c r="B601" t="s">
        <v>217</v>
      </c>
      <c r="L601">
        <v>2</v>
      </c>
      <c r="AH601">
        <v>2</v>
      </c>
      <c r="AI601" t="s">
        <v>338</v>
      </c>
    </row>
    <row r="602" spans="2:35">
      <c r="B602" t="s">
        <v>218</v>
      </c>
      <c r="L602">
        <v>5</v>
      </c>
      <c r="M602">
        <v>10</v>
      </c>
      <c r="AH602">
        <v>15</v>
      </c>
      <c r="AI602" t="s">
        <v>338</v>
      </c>
    </row>
    <row r="603" spans="2:35">
      <c r="B603" t="s">
        <v>219</v>
      </c>
      <c r="L603">
        <v>14</v>
      </c>
      <c r="M603">
        <v>8</v>
      </c>
      <c r="AH603">
        <v>22</v>
      </c>
      <c r="AI603" t="s">
        <v>338</v>
      </c>
    </row>
    <row r="604" spans="2:35">
      <c r="B604" t="s">
        <v>220</v>
      </c>
      <c r="L604">
        <v>5</v>
      </c>
      <c r="M604">
        <v>10</v>
      </c>
      <c r="AH604">
        <v>15</v>
      </c>
      <c r="AI604" t="s">
        <v>338</v>
      </c>
    </row>
    <row r="605" spans="2:35">
      <c r="B605" t="s">
        <v>221</v>
      </c>
      <c r="L605">
        <v>5</v>
      </c>
      <c r="M605">
        <v>10</v>
      </c>
      <c r="AH605">
        <v>15</v>
      </c>
      <c r="AI605" t="s">
        <v>338</v>
      </c>
    </row>
    <row r="606" spans="2:35">
      <c r="B606" t="s">
        <v>222</v>
      </c>
      <c r="L606">
        <v>5</v>
      </c>
      <c r="M606">
        <v>10</v>
      </c>
      <c r="AH606">
        <v>15</v>
      </c>
      <c r="AI606" t="s">
        <v>338</v>
      </c>
    </row>
    <row r="607" spans="2:35">
      <c r="B607" t="s">
        <v>223</v>
      </c>
      <c r="L607">
        <v>5</v>
      </c>
      <c r="M607">
        <v>10</v>
      </c>
      <c r="AH607">
        <v>15</v>
      </c>
      <c r="AI607" t="s">
        <v>338</v>
      </c>
    </row>
    <row r="608" spans="2:35">
      <c r="B608" t="s">
        <v>224</v>
      </c>
      <c r="L608">
        <v>1</v>
      </c>
      <c r="M608">
        <v>1</v>
      </c>
      <c r="AH608">
        <v>2</v>
      </c>
      <c r="AI608" t="s">
        <v>338</v>
      </c>
    </row>
    <row r="609" spans="1:35">
      <c r="B609" t="s">
        <v>228</v>
      </c>
      <c r="L609">
        <v>18</v>
      </c>
      <c r="M609">
        <v>17</v>
      </c>
      <c r="AH609">
        <v>35</v>
      </c>
      <c r="AI609" t="s">
        <v>338</v>
      </c>
    </row>
    <row r="610" spans="1:35">
      <c r="B610" t="s">
        <v>230</v>
      </c>
      <c r="L610">
        <v>18</v>
      </c>
      <c r="M610">
        <v>17</v>
      </c>
      <c r="AH610">
        <v>35</v>
      </c>
      <c r="AI610" t="s">
        <v>338</v>
      </c>
    </row>
    <row r="611" spans="1:35">
      <c r="B611" t="s">
        <v>231</v>
      </c>
      <c r="L611">
        <v>15</v>
      </c>
      <c r="M611">
        <v>17</v>
      </c>
      <c r="AH611">
        <v>32</v>
      </c>
      <c r="AI611" t="s">
        <v>338</v>
      </c>
    </row>
    <row r="612" spans="1:35">
      <c r="B612" t="s">
        <v>232</v>
      </c>
      <c r="L612">
        <v>3</v>
      </c>
      <c r="AH612">
        <v>3</v>
      </c>
      <c r="AI612" t="s">
        <v>338</v>
      </c>
    </row>
    <row r="613" spans="1:35">
      <c r="B613" t="s">
        <v>233</v>
      </c>
      <c r="L613">
        <v>1</v>
      </c>
      <c r="AH613">
        <v>1</v>
      </c>
      <c r="AI613" t="s">
        <v>338</v>
      </c>
    </row>
    <row r="614" spans="1:35">
      <c r="B614" t="s">
        <v>234</v>
      </c>
      <c r="L614">
        <v>1</v>
      </c>
      <c r="AH614">
        <v>1</v>
      </c>
      <c r="AI614" t="s">
        <v>338</v>
      </c>
    </row>
    <row r="615" spans="1:35">
      <c r="B615" t="s">
        <v>235</v>
      </c>
      <c r="L615">
        <v>1</v>
      </c>
      <c r="AH615">
        <v>1</v>
      </c>
      <c r="AI615" t="s">
        <v>338</v>
      </c>
    </row>
    <row r="616" spans="1:35">
      <c r="B616" t="s">
        <v>236</v>
      </c>
      <c r="L616">
        <v>1</v>
      </c>
      <c r="AH616">
        <v>1</v>
      </c>
      <c r="AI616" t="s">
        <v>338</v>
      </c>
    </row>
    <row r="617" spans="1:35">
      <c r="A617" t="s">
        <v>237</v>
      </c>
      <c r="B617" t="s">
        <v>330</v>
      </c>
      <c r="L617">
        <v>2</v>
      </c>
      <c r="M617">
        <v>1</v>
      </c>
      <c r="AH617">
        <v>3</v>
      </c>
      <c r="AI617" t="s">
        <v>338</v>
      </c>
    </row>
    <row r="618" spans="1:35">
      <c r="B618" t="s">
        <v>238</v>
      </c>
      <c r="L618">
        <v>4</v>
      </c>
      <c r="M618">
        <v>4</v>
      </c>
      <c r="AH618">
        <v>8</v>
      </c>
      <c r="AI618" t="s">
        <v>338</v>
      </c>
    </row>
    <row r="619" spans="1:35">
      <c r="B619" t="s">
        <v>272</v>
      </c>
      <c r="L619">
        <v>1</v>
      </c>
      <c r="M619">
        <v>4</v>
      </c>
      <c r="AH619">
        <v>5</v>
      </c>
      <c r="AI619" t="s">
        <v>338</v>
      </c>
    </row>
    <row r="620" spans="1:35">
      <c r="B620" t="s">
        <v>240</v>
      </c>
      <c r="L620">
        <v>4</v>
      </c>
      <c r="M620">
        <v>6</v>
      </c>
      <c r="AH620">
        <v>10</v>
      </c>
      <c r="AI620" t="s">
        <v>338</v>
      </c>
    </row>
    <row r="621" spans="1:35">
      <c r="B621" t="s">
        <v>241</v>
      </c>
      <c r="L621">
        <v>1</v>
      </c>
      <c r="M621">
        <v>1</v>
      </c>
      <c r="AH621">
        <v>2</v>
      </c>
      <c r="AI621" t="s">
        <v>338</v>
      </c>
    </row>
    <row r="622" spans="1:35">
      <c r="B622" t="s">
        <v>242</v>
      </c>
      <c r="L622">
        <v>2</v>
      </c>
      <c r="M622">
        <v>7</v>
      </c>
      <c r="AH622">
        <v>9</v>
      </c>
      <c r="AI622" t="s">
        <v>338</v>
      </c>
    </row>
    <row r="623" spans="1:35">
      <c r="B623" t="s">
        <v>243</v>
      </c>
      <c r="L623">
        <v>1</v>
      </c>
      <c r="M623">
        <v>3</v>
      </c>
      <c r="AH623">
        <v>4</v>
      </c>
      <c r="AI623" t="s">
        <v>338</v>
      </c>
    </row>
    <row r="624" spans="1:35">
      <c r="B624" t="s">
        <v>273</v>
      </c>
      <c r="M624">
        <v>1</v>
      </c>
      <c r="AH624">
        <v>1</v>
      </c>
      <c r="AI624" t="s">
        <v>338</v>
      </c>
    </row>
    <row r="625" spans="1:35">
      <c r="B625" t="s">
        <v>271</v>
      </c>
      <c r="L625">
        <v>2</v>
      </c>
      <c r="AH625">
        <v>2</v>
      </c>
      <c r="AI625" t="s">
        <v>338</v>
      </c>
    </row>
    <row r="626" spans="1:35">
      <c r="B626" t="s">
        <v>347</v>
      </c>
      <c r="L626">
        <v>1</v>
      </c>
      <c r="AH626">
        <v>1</v>
      </c>
      <c r="AI626" t="s">
        <v>338</v>
      </c>
    </row>
    <row r="627" spans="1:35">
      <c r="B627" t="s">
        <v>239</v>
      </c>
      <c r="L627">
        <v>3</v>
      </c>
      <c r="AH627">
        <v>3</v>
      </c>
      <c r="AI627" t="s">
        <v>338</v>
      </c>
    </row>
    <row r="628" spans="1:35">
      <c r="B628" t="s">
        <v>298</v>
      </c>
      <c r="L628">
        <v>1</v>
      </c>
      <c r="AH628">
        <v>1</v>
      </c>
      <c r="AI628" t="s">
        <v>338</v>
      </c>
    </row>
    <row r="629" spans="1:35">
      <c r="B629" t="s">
        <v>244</v>
      </c>
      <c r="L629">
        <v>1</v>
      </c>
      <c r="AH629">
        <v>1</v>
      </c>
      <c r="AI629" t="s">
        <v>338</v>
      </c>
    </row>
    <row r="630" spans="1:35">
      <c r="B630" t="s">
        <v>245</v>
      </c>
      <c r="M630">
        <v>3</v>
      </c>
      <c r="AH630">
        <v>3</v>
      </c>
      <c r="AI630" t="s">
        <v>338</v>
      </c>
    </row>
    <row r="631" spans="1:35">
      <c r="B631" t="s">
        <v>319</v>
      </c>
      <c r="L631">
        <v>1</v>
      </c>
      <c r="M631">
        <v>1</v>
      </c>
      <c r="AH631">
        <v>2</v>
      </c>
      <c r="AI631" t="s">
        <v>338</v>
      </c>
    </row>
    <row r="632" spans="1:35">
      <c r="A632" t="s">
        <v>246</v>
      </c>
      <c r="B632" t="s">
        <v>247</v>
      </c>
      <c r="L632">
        <v>1</v>
      </c>
      <c r="M632">
        <v>1</v>
      </c>
      <c r="AH632">
        <v>2</v>
      </c>
      <c r="AI632" t="s">
        <v>338</v>
      </c>
    </row>
    <row r="633" spans="1:35">
      <c r="A633" t="s">
        <v>248</v>
      </c>
      <c r="B633" t="s">
        <v>108</v>
      </c>
      <c r="L633">
        <v>4</v>
      </c>
      <c r="M633">
        <v>5</v>
      </c>
      <c r="AH633">
        <v>9</v>
      </c>
      <c r="AI633" t="s">
        <v>338</v>
      </c>
    </row>
    <row r="634" spans="1:35">
      <c r="B634" t="s">
        <v>129</v>
      </c>
      <c r="L634">
        <v>2</v>
      </c>
      <c r="M634">
        <v>3</v>
      </c>
      <c r="AH634">
        <v>5</v>
      </c>
      <c r="AI634" t="s">
        <v>338</v>
      </c>
    </row>
    <row r="635" spans="1:35">
      <c r="B635" t="s">
        <v>249</v>
      </c>
      <c r="L635">
        <v>5</v>
      </c>
      <c r="M635">
        <v>4</v>
      </c>
      <c r="AH635">
        <v>9</v>
      </c>
      <c r="AI635" t="s">
        <v>338</v>
      </c>
    </row>
    <row r="636" spans="1:35">
      <c r="B636" t="s">
        <v>118</v>
      </c>
      <c r="M636">
        <v>3</v>
      </c>
      <c r="AH636">
        <v>3</v>
      </c>
      <c r="AI636" t="s">
        <v>338</v>
      </c>
    </row>
    <row r="637" spans="1:35">
      <c r="B637" t="s">
        <v>130</v>
      </c>
      <c r="M637">
        <v>4</v>
      </c>
      <c r="AH637">
        <v>4</v>
      </c>
      <c r="AI637" t="s">
        <v>338</v>
      </c>
    </row>
    <row r="638" spans="1:35">
      <c r="B638" t="s">
        <v>348</v>
      </c>
      <c r="L638">
        <v>1</v>
      </c>
      <c r="AH638">
        <v>1</v>
      </c>
      <c r="AI638" t="s">
        <v>338</v>
      </c>
    </row>
    <row r="639" spans="1:35">
      <c r="B639" t="s">
        <v>104</v>
      </c>
      <c r="L639">
        <v>1</v>
      </c>
      <c r="M639">
        <v>3</v>
      </c>
      <c r="AH639">
        <v>4</v>
      </c>
      <c r="AI639" t="s">
        <v>338</v>
      </c>
    </row>
    <row r="640" spans="1:35">
      <c r="B640" t="s">
        <v>103</v>
      </c>
      <c r="L640">
        <v>1</v>
      </c>
      <c r="M640">
        <v>2</v>
      </c>
      <c r="AH640">
        <v>3</v>
      </c>
      <c r="AI640" t="s">
        <v>338</v>
      </c>
    </row>
    <row r="641" spans="1:35">
      <c r="B641" t="s">
        <v>113</v>
      </c>
      <c r="L641">
        <v>1</v>
      </c>
      <c r="AH641">
        <v>1</v>
      </c>
      <c r="AI641" t="s">
        <v>338</v>
      </c>
    </row>
    <row r="642" spans="1:35">
      <c r="B642" t="s">
        <v>102</v>
      </c>
      <c r="M642">
        <v>1</v>
      </c>
      <c r="AH642">
        <v>1</v>
      </c>
      <c r="AI642" t="s">
        <v>338</v>
      </c>
    </row>
    <row r="643" spans="1:35">
      <c r="B643" t="s">
        <v>107</v>
      </c>
      <c r="L643">
        <v>4</v>
      </c>
      <c r="AH643">
        <v>4</v>
      </c>
      <c r="AI643" t="s">
        <v>338</v>
      </c>
    </row>
    <row r="644" spans="1:35">
      <c r="B644" t="s">
        <v>105</v>
      </c>
      <c r="L644">
        <v>1</v>
      </c>
      <c r="AH644">
        <v>1</v>
      </c>
      <c r="AI644" t="s">
        <v>338</v>
      </c>
    </row>
    <row r="645" spans="1:35">
      <c r="B645" t="s">
        <v>106</v>
      </c>
      <c r="L645">
        <v>1</v>
      </c>
      <c r="AH645">
        <v>1</v>
      </c>
      <c r="AI645" t="s">
        <v>338</v>
      </c>
    </row>
    <row r="646" spans="1:35">
      <c r="A646" t="s">
        <v>250</v>
      </c>
      <c r="B646" t="s">
        <v>251</v>
      </c>
      <c r="L646">
        <v>15</v>
      </c>
      <c r="M646">
        <v>9</v>
      </c>
      <c r="AH646">
        <v>24</v>
      </c>
      <c r="AI646" t="s">
        <v>338</v>
      </c>
    </row>
    <row r="647" spans="1:35">
      <c r="A647" t="s">
        <v>253</v>
      </c>
      <c r="B647" t="s">
        <v>74</v>
      </c>
      <c r="M647">
        <v>2</v>
      </c>
      <c r="AH647">
        <v>2</v>
      </c>
      <c r="AI647" t="s">
        <v>338</v>
      </c>
    </row>
    <row r="648" spans="1:35">
      <c r="A648" t="s">
        <v>256</v>
      </c>
      <c r="B648" t="s">
        <v>349</v>
      </c>
      <c r="M648">
        <v>1</v>
      </c>
      <c r="AH648">
        <v>1</v>
      </c>
      <c r="AI648" t="s">
        <v>338</v>
      </c>
    </row>
    <row r="649" spans="1:35">
      <c r="A649" t="s">
        <v>174</v>
      </c>
      <c r="B649" t="s">
        <v>175</v>
      </c>
      <c r="O649">
        <v>6</v>
      </c>
      <c r="P649">
        <v>2</v>
      </c>
      <c r="AH649">
        <v>8</v>
      </c>
      <c r="AI649" t="s">
        <v>350</v>
      </c>
    </row>
    <row r="650" spans="1:35">
      <c r="B650" t="s">
        <v>177</v>
      </c>
      <c r="O650">
        <v>5</v>
      </c>
      <c r="AH650">
        <v>5</v>
      </c>
      <c r="AI650" t="s">
        <v>350</v>
      </c>
    </row>
    <row r="651" spans="1:35">
      <c r="B651" t="s">
        <v>178</v>
      </c>
      <c r="O651">
        <v>8</v>
      </c>
      <c r="P651">
        <v>2</v>
      </c>
      <c r="AH651">
        <v>10</v>
      </c>
      <c r="AI651" t="s">
        <v>350</v>
      </c>
    </row>
    <row r="652" spans="1:35">
      <c r="B652" t="s">
        <v>179</v>
      </c>
      <c r="O652">
        <v>7</v>
      </c>
      <c r="P652">
        <v>19</v>
      </c>
      <c r="AH652">
        <v>26</v>
      </c>
      <c r="AI652" t="s">
        <v>350</v>
      </c>
    </row>
    <row r="653" spans="1:35">
      <c r="B653" t="s">
        <v>180</v>
      </c>
      <c r="O653">
        <v>3</v>
      </c>
      <c r="AH653">
        <v>3</v>
      </c>
      <c r="AI653" t="s">
        <v>350</v>
      </c>
    </row>
    <row r="654" spans="1:35">
      <c r="B654" t="s">
        <v>181</v>
      </c>
      <c r="O654">
        <v>15</v>
      </c>
      <c r="P654">
        <v>2</v>
      </c>
      <c r="AH654">
        <v>17</v>
      </c>
      <c r="AI654" t="s">
        <v>350</v>
      </c>
    </row>
    <row r="655" spans="1:35">
      <c r="B655" t="s">
        <v>111</v>
      </c>
      <c r="O655">
        <v>3</v>
      </c>
      <c r="AH655">
        <v>3</v>
      </c>
      <c r="AI655" t="s">
        <v>350</v>
      </c>
    </row>
    <row r="656" spans="1:35">
      <c r="B656" t="s">
        <v>182</v>
      </c>
      <c r="O656">
        <v>6</v>
      </c>
      <c r="P656">
        <v>2</v>
      </c>
      <c r="AH656">
        <v>8</v>
      </c>
      <c r="AI656" t="s">
        <v>350</v>
      </c>
    </row>
    <row r="657" spans="1:35">
      <c r="B657" t="s">
        <v>183</v>
      </c>
      <c r="O657">
        <v>6</v>
      </c>
      <c r="P657">
        <v>2</v>
      </c>
      <c r="AH657">
        <v>8</v>
      </c>
      <c r="AI657" t="s">
        <v>350</v>
      </c>
    </row>
    <row r="658" spans="1:35">
      <c r="A658" t="s">
        <v>185</v>
      </c>
      <c r="B658" t="s">
        <v>186</v>
      </c>
      <c r="O658">
        <v>4</v>
      </c>
      <c r="AH658">
        <v>4</v>
      </c>
      <c r="AI658" t="s">
        <v>350</v>
      </c>
    </row>
    <row r="659" spans="1:35">
      <c r="B659" t="s">
        <v>187</v>
      </c>
      <c r="O659">
        <v>4</v>
      </c>
      <c r="AH659">
        <v>4</v>
      </c>
      <c r="AI659" t="s">
        <v>350</v>
      </c>
    </row>
    <row r="660" spans="1:35">
      <c r="A660" t="s">
        <v>188</v>
      </c>
      <c r="B660" t="s">
        <v>190</v>
      </c>
      <c r="O660">
        <v>1</v>
      </c>
      <c r="P660">
        <v>1</v>
      </c>
      <c r="AH660">
        <v>2</v>
      </c>
      <c r="AI660" t="s">
        <v>350</v>
      </c>
    </row>
    <row r="661" spans="1:35">
      <c r="B661" t="s">
        <v>265</v>
      </c>
      <c r="O661">
        <v>2</v>
      </c>
      <c r="P661">
        <v>1</v>
      </c>
      <c r="AH661">
        <v>3</v>
      </c>
      <c r="AI661" t="s">
        <v>350</v>
      </c>
    </row>
    <row r="662" spans="1:35">
      <c r="B662" t="s">
        <v>189</v>
      </c>
      <c r="O662">
        <v>4</v>
      </c>
      <c r="AH662">
        <v>4</v>
      </c>
      <c r="AI662" t="s">
        <v>350</v>
      </c>
    </row>
    <row r="663" spans="1:35">
      <c r="B663" t="s">
        <v>131</v>
      </c>
      <c r="O663">
        <v>1</v>
      </c>
      <c r="AH663">
        <v>1</v>
      </c>
      <c r="AI663" t="s">
        <v>350</v>
      </c>
    </row>
    <row r="664" spans="1:35">
      <c r="B664" t="s">
        <v>264</v>
      </c>
      <c r="O664">
        <v>1</v>
      </c>
      <c r="AH664">
        <v>1</v>
      </c>
      <c r="AI664" t="s">
        <v>350</v>
      </c>
    </row>
    <row r="665" spans="1:35">
      <c r="B665" t="s">
        <v>308</v>
      </c>
      <c r="O665">
        <v>1</v>
      </c>
      <c r="AH665">
        <v>1</v>
      </c>
      <c r="AI665" t="s">
        <v>350</v>
      </c>
    </row>
    <row r="666" spans="1:35">
      <c r="B666" t="s">
        <v>310</v>
      </c>
      <c r="P666">
        <v>1</v>
      </c>
      <c r="AH666">
        <v>1</v>
      </c>
      <c r="AI666" t="s">
        <v>350</v>
      </c>
    </row>
    <row r="667" spans="1:35">
      <c r="B667" t="s">
        <v>287</v>
      </c>
      <c r="P667">
        <v>1</v>
      </c>
      <c r="AH667">
        <v>1</v>
      </c>
      <c r="AI667" t="s">
        <v>350</v>
      </c>
    </row>
    <row r="668" spans="1:35">
      <c r="B668" t="s">
        <v>193</v>
      </c>
      <c r="O668">
        <v>1</v>
      </c>
      <c r="P668">
        <v>1</v>
      </c>
      <c r="AH668">
        <v>2</v>
      </c>
      <c r="AI668" t="s">
        <v>350</v>
      </c>
    </row>
    <row r="669" spans="1:35">
      <c r="B669" t="s">
        <v>121</v>
      </c>
      <c r="O669">
        <v>3</v>
      </c>
      <c r="P669">
        <v>1</v>
      </c>
      <c r="AH669">
        <v>4</v>
      </c>
      <c r="AI669" t="s">
        <v>350</v>
      </c>
    </row>
    <row r="670" spans="1:35">
      <c r="B670" t="s">
        <v>194</v>
      </c>
      <c r="O670">
        <v>3</v>
      </c>
      <c r="P670">
        <v>2</v>
      </c>
      <c r="AH670">
        <v>5</v>
      </c>
      <c r="AI670" t="s">
        <v>350</v>
      </c>
    </row>
    <row r="671" spans="1:35">
      <c r="B671" t="s">
        <v>266</v>
      </c>
      <c r="O671">
        <v>1</v>
      </c>
      <c r="AH671">
        <v>1</v>
      </c>
      <c r="AI671" t="s">
        <v>350</v>
      </c>
    </row>
    <row r="672" spans="1:35">
      <c r="B672" t="s">
        <v>132</v>
      </c>
      <c r="O672">
        <v>2</v>
      </c>
      <c r="P672">
        <v>1</v>
      </c>
      <c r="AH672">
        <v>3</v>
      </c>
      <c r="AI672" t="s">
        <v>350</v>
      </c>
    </row>
    <row r="673" spans="2:35">
      <c r="B673" t="s">
        <v>345</v>
      </c>
      <c r="O673">
        <v>1</v>
      </c>
      <c r="AH673">
        <v>1</v>
      </c>
      <c r="AI673" t="s">
        <v>350</v>
      </c>
    </row>
    <row r="674" spans="2:35">
      <c r="B674" t="s">
        <v>116</v>
      </c>
      <c r="O674">
        <v>1</v>
      </c>
      <c r="P674">
        <v>7</v>
      </c>
      <c r="AH674">
        <v>8</v>
      </c>
      <c r="AI674" t="s">
        <v>350</v>
      </c>
    </row>
    <row r="675" spans="2:35">
      <c r="B675" t="s">
        <v>128</v>
      </c>
      <c r="O675">
        <v>2</v>
      </c>
      <c r="P675">
        <v>2</v>
      </c>
      <c r="AH675">
        <v>4</v>
      </c>
      <c r="AI675" t="s">
        <v>350</v>
      </c>
    </row>
    <row r="676" spans="2:35">
      <c r="B676" t="s">
        <v>346</v>
      </c>
      <c r="P676">
        <v>1</v>
      </c>
      <c r="AH676">
        <v>1</v>
      </c>
      <c r="AI676" t="s">
        <v>350</v>
      </c>
    </row>
    <row r="677" spans="2:35">
      <c r="B677" t="s">
        <v>195</v>
      </c>
      <c r="O677">
        <v>2</v>
      </c>
      <c r="P677">
        <v>2</v>
      </c>
      <c r="AH677">
        <v>4</v>
      </c>
      <c r="AI677" t="s">
        <v>350</v>
      </c>
    </row>
    <row r="678" spans="2:35">
      <c r="B678" t="s">
        <v>289</v>
      </c>
      <c r="O678">
        <v>2</v>
      </c>
      <c r="P678">
        <v>2</v>
      </c>
      <c r="AH678">
        <v>4</v>
      </c>
      <c r="AI678" t="s">
        <v>350</v>
      </c>
    </row>
    <row r="679" spans="2:35">
      <c r="B679" t="s">
        <v>268</v>
      </c>
      <c r="O679">
        <v>3</v>
      </c>
      <c r="P679">
        <v>2</v>
      </c>
      <c r="AH679">
        <v>5</v>
      </c>
      <c r="AI679" t="s">
        <v>350</v>
      </c>
    </row>
    <row r="680" spans="2:35">
      <c r="B680" t="s">
        <v>290</v>
      </c>
      <c r="O680">
        <v>1</v>
      </c>
      <c r="P680">
        <v>1</v>
      </c>
      <c r="AH680">
        <v>2</v>
      </c>
      <c r="AI680" t="s">
        <v>350</v>
      </c>
    </row>
    <row r="681" spans="2:35">
      <c r="B681" t="s">
        <v>313</v>
      </c>
      <c r="O681">
        <v>1</v>
      </c>
      <c r="P681">
        <v>2</v>
      </c>
      <c r="AH681">
        <v>3</v>
      </c>
      <c r="AI681" t="s">
        <v>350</v>
      </c>
    </row>
    <row r="682" spans="2:35">
      <c r="B682" t="s">
        <v>291</v>
      </c>
      <c r="O682">
        <v>1</v>
      </c>
      <c r="P682">
        <v>2</v>
      </c>
      <c r="AH682">
        <v>3</v>
      </c>
      <c r="AI682" t="s">
        <v>350</v>
      </c>
    </row>
    <row r="683" spans="2:35">
      <c r="B683" t="s">
        <v>196</v>
      </c>
      <c r="O683">
        <v>1</v>
      </c>
      <c r="P683">
        <v>1</v>
      </c>
      <c r="AH683">
        <v>2</v>
      </c>
      <c r="AI683" t="s">
        <v>350</v>
      </c>
    </row>
    <row r="684" spans="2:35">
      <c r="B684" t="s">
        <v>292</v>
      </c>
      <c r="P684">
        <v>1</v>
      </c>
      <c r="AH684">
        <v>1</v>
      </c>
      <c r="AI684" t="s">
        <v>350</v>
      </c>
    </row>
    <row r="685" spans="2:35">
      <c r="B685" t="s">
        <v>351</v>
      </c>
      <c r="O685">
        <v>1</v>
      </c>
      <c r="AH685">
        <v>1</v>
      </c>
      <c r="AI685" t="s">
        <v>350</v>
      </c>
    </row>
    <row r="686" spans="2:35">
      <c r="B686" t="s">
        <v>112</v>
      </c>
      <c r="O686">
        <v>2</v>
      </c>
      <c r="P686">
        <v>1</v>
      </c>
      <c r="AH686">
        <v>3</v>
      </c>
      <c r="AI686" t="s">
        <v>350</v>
      </c>
    </row>
    <row r="687" spans="2:35">
      <c r="B687" t="s">
        <v>198</v>
      </c>
      <c r="O687">
        <v>3</v>
      </c>
      <c r="AH687">
        <v>3</v>
      </c>
      <c r="AI687" t="s">
        <v>350</v>
      </c>
    </row>
    <row r="688" spans="2:35">
      <c r="B688" t="s">
        <v>199</v>
      </c>
      <c r="O688">
        <v>3</v>
      </c>
      <c r="AH688">
        <v>3</v>
      </c>
      <c r="AI688" t="s">
        <v>350</v>
      </c>
    </row>
    <row r="689" spans="1:35">
      <c r="B689" t="s">
        <v>293</v>
      </c>
      <c r="O689">
        <v>1</v>
      </c>
      <c r="P689">
        <v>1</v>
      </c>
      <c r="AH689">
        <v>2</v>
      </c>
      <c r="AI689" t="s">
        <v>350</v>
      </c>
    </row>
    <row r="690" spans="1:35">
      <c r="B690" t="s">
        <v>315</v>
      </c>
      <c r="O690">
        <v>1</v>
      </c>
      <c r="AH690">
        <v>1</v>
      </c>
      <c r="AI690" t="s">
        <v>350</v>
      </c>
    </row>
    <row r="691" spans="1:35">
      <c r="B691" t="s">
        <v>200</v>
      </c>
      <c r="O691">
        <v>1</v>
      </c>
      <c r="AH691">
        <v>1</v>
      </c>
      <c r="AI691" t="s">
        <v>350</v>
      </c>
    </row>
    <row r="692" spans="1:35">
      <c r="B692" t="s">
        <v>101</v>
      </c>
      <c r="O692">
        <v>2</v>
      </c>
      <c r="AH692">
        <v>2</v>
      </c>
      <c r="AI692" t="s">
        <v>350</v>
      </c>
    </row>
    <row r="693" spans="1:35">
      <c r="B693" t="s">
        <v>99</v>
      </c>
      <c r="O693">
        <v>1</v>
      </c>
      <c r="AH693">
        <v>1</v>
      </c>
      <c r="AI693" t="s">
        <v>350</v>
      </c>
    </row>
    <row r="694" spans="1:35">
      <c r="A694" t="s">
        <v>202</v>
      </c>
      <c r="B694" t="s">
        <v>203</v>
      </c>
      <c r="O694">
        <v>4</v>
      </c>
      <c r="AH694">
        <v>4</v>
      </c>
      <c r="AI694" t="s">
        <v>350</v>
      </c>
    </row>
    <row r="695" spans="1:35">
      <c r="B695" t="s">
        <v>204</v>
      </c>
      <c r="O695">
        <v>4</v>
      </c>
      <c r="AH695">
        <v>4</v>
      </c>
      <c r="AI695" t="s">
        <v>350</v>
      </c>
    </row>
    <row r="696" spans="1:35">
      <c r="B696" t="s">
        <v>205</v>
      </c>
      <c r="O696">
        <v>4</v>
      </c>
      <c r="AH696">
        <v>4</v>
      </c>
      <c r="AI696" t="s">
        <v>350</v>
      </c>
    </row>
    <row r="697" spans="1:35">
      <c r="B697" t="s">
        <v>206</v>
      </c>
      <c r="O697">
        <v>1</v>
      </c>
      <c r="AH697">
        <v>1</v>
      </c>
      <c r="AI697" t="s">
        <v>350</v>
      </c>
    </row>
    <row r="698" spans="1:35">
      <c r="B698" t="s">
        <v>208</v>
      </c>
      <c r="O698">
        <v>1</v>
      </c>
      <c r="AH698">
        <v>1</v>
      </c>
      <c r="AI698" t="s">
        <v>350</v>
      </c>
    </row>
    <row r="699" spans="1:35">
      <c r="B699" t="s">
        <v>209</v>
      </c>
      <c r="O699">
        <v>4</v>
      </c>
      <c r="AH699">
        <v>4</v>
      </c>
      <c r="AI699" t="s">
        <v>350</v>
      </c>
    </row>
    <row r="700" spans="1:35">
      <c r="B700" t="s">
        <v>211</v>
      </c>
      <c r="O700">
        <v>10</v>
      </c>
      <c r="P700">
        <v>18</v>
      </c>
      <c r="AH700">
        <v>28</v>
      </c>
      <c r="AI700" t="s">
        <v>350</v>
      </c>
    </row>
    <row r="701" spans="1:35">
      <c r="B701" t="s">
        <v>212</v>
      </c>
      <c r="O701">
        <v>10</v>
      </c>
      <c r="P701">
        <v>18</v>
      </c>
      <c r="AH701">
        <v>28</v>
      </c>
      <c r="AI701" t="s">
        <v>350</v>
      </c>
    </row>
    <row r="702" spans="1:35">
      <c r="B702" t="s">
        <v>213</v>
      </c>
      <c r="O702">
        <v>11</v>
      </c>
      <c r="P702">
        <v>19</v>
      </c>
      <c r="AH702">
        <v>30</v>
      </c>
      <c r="AI702" t="s">
        <v>350</v>
      </c>
    </row>
    <row r="703" spans="1:35">
      <c r="B703" t="s">
        <v>214</v>
      </c>
      <c r="O703">
        <v>11</v>
      </c>
      <c r="P703">
        <v>20</v>
      </c>
      <c r="AH703">
        <v>31</v>
      </c>
      <c r="AI703" t="s">
        <v>350</v>
      </c>
    </row>
    <row r="704" spans="1:35">
      <c r="B704" t="s">
        <v>215</v>
      </c>
      <c r="O704">
        <v>11</v>
      </c>
      <c r="P704">
        <v>20</v>
      </c>
      <c r="AH704">
        <v>31</v>
      </c>
      <c r="AI704" t="s">
        <v>350</v>
      </c>
    </row>
    <row r="705" spans="2:35">
      <c r="B705" t="s">
        <v>316</v>
      </c>
      <c r="O705">
        <v>1</v>
      </c>
      <c r="P705">
        <v>3</v>
      </c>
      <c r="AH705">
        <v>4</v>
      </c>
      <c r="AI705" t="s">
        <v>350</v>
      </c>
    </row>
    <row r="706" spans="2:35">
      <c r="B706" t="s">
        <v>216</v>
      </c>
      <c r="O706">
        <v>4</v>
      </c>
      <c r="AH706">
        <v>4</v>
      </c>
      <c r="AI706" t="s">
        <v>350</v>
      </c>
    </row>
    <row r="707" spans="2:35">
      <c r="B707" t="s">
        <v>217</v>
      </c>
      <c r="O707">
        <v>4</v>
      </c>
      <c r="AH707">
        <v>4</v>
      </c>
      <c r="AI707" t="s">
        <v>350</v>
      </c>
    </row>
    <row r="708" spans="2:35">
      <c r="B708" t="s">
        <v>218</v>
      </c>
      <c r="O708">
        <v>1</v>
      </c>
      <c r="AH708">
        <v>1</v>
      </c>
      <c r="AI708" t="s">
        <v>350</v>
      </c>
    </row>
    <row r="709" spans="2:35">
      <c r="B709" t="s">
        <v>219</v>
      </c>
      <c r="O709">
        <v>10</v>
      </c>
      <c r="P709">
        <v>18</v>
      </c>
      <c r="AH709">
        <v>28</v>
      </c>
      <c r="AI709" t="s">
        <v>350</v>
      </c>
    </row>
    <row r="710" spans="2:35">
      <c r="B710" t="s">
        <v>220</v>
      </c>
      <c r="O710">
        <v>5</v>
      </c>
      <c r="AH710">
        <v>5</v>
      </c>
      <c r="AI710" t="s">
        <v>350</v>
      </c>
    </row>
    <row r="711" spans="2:35">
      <c r="B711" t="s">
        <v>221</v>
      </c>
      <c r="O711">
        <v>1</v>
      </c>
      <c r="AH711">
        <v>1</v>
      </c>
      <c r="AI711" t="s">
        <v>350</v>
      </c>
    </row>
    <row r="712" spans="2:35">
      <c r="B712" t="s">
        <v>222</v>
      </c>
      <c r="O712">
        <v>1</v>
      </c>
      <c r="AH712">
        <v>1</v>
      </c>
      <c r="AI712" t="s">
        <v>350</v>
      </c>
    </row>
    <row r="713" spans="2:35">
      <c r="B713" t="s">
        <v>223</v>
      </c>
      <c r="O713">
        <v>1</v>
      </c>
      <c r="AH713">
        <v>1</v>
      </c>
      <c r="AI713" t="s">
        <v>350</v>
      </c>
    </row>
    <row r="714" spans="2:35">
      <c r="B714" t="s">
        <v>224</v>
      </c>
      <c r="P714">
        <v>2</v>
      </c>
      <c r="AH714">
        <v>2</v>
      </c>
      <c r="AI714" t="s">
        <v>350</v>
      </c>
    </row>
    <row r="715" spans="2:35">
      <c r="B715" t="s">
        <v>225</v>
      </c>
      <c r="O715">
        <v>4</v>
      </c>
      <c r="AH715">
        <v>4</v>
      </c>
      <c r="AI715" t="s">
        <v>350</v>
      </c>
    </row>
    <row r="716" spans="2:35">
      <c r="B716" t="s">
        <v>226</v>
      </c>
      <c r="O716">
        <v>4</v>
      </c>
      <c r="AH716">
        <v>4</v>
      </c>
      <c r="AI716" t="s">
        <v>350</v>
      </c>
    </row>
    <row r="717" spans="2:35">
      <c r="B717" t="s">
        <v>317</v>
      </c>
      <c r="O717">
        <v>4</v>
      </c>
      <c r="P717">
        <v>3</v>
      </c>
      <c r="AH717">
        <v>7</v>
      </c>
      <c r="AI717" t="s">
        <v>350</v>
      </c>
    </row>
    <row r="718" spans="2:35">
      <c r="B718" t="s">
        <v>227</v>
      </c>
      <c r="O718">
        <v>4</v>
      </c>
      <c r="AH718">
        <v>4</v>
      </c>
      <c r="AI718" t="s">
        <v>350</v>
      </c>
    </row>
    <row r="719" spans="2:35">
      <c r="B719" t="s">
        <v>228</v>
      </c>
      <c r="O719">
        <v>11</v>
      </c>
      <c r="P719">
        <v>18</v>
      </c>
      <c r="AH719">
        <v>29</v>
      </c>
      <c r="AI719" t="s">
        <v>350</v>
      </c>
    </row>
    <row r="720" spans="2:35">
      <c r="B720" t="s">
        <v>229</v>
      </c>
      <c r="O720">
        <v>4</v>
      </c>
      <c r="AH720">
        <v>4</v>
      </c>
      <c r="AI720" t="s">
        <v>350</v>
      </c>
    </row>
    <row r="721" spans="1:35">
      <c r="B721" t="s">
        <v>230</v>
      </c>
      <c r="O721">
        <v>11</v>
      </c>
      <c r="P721">
        <v>18</v>
      </c>
      <c r="AH721">
        <v>29</v>
      </c>
      <c r="AI721" t="s">
        <v>350</v>
      </c>
    </row>
    <row r="722" spans="1:35">
      <c r="B722" t="s">
        <v>231</v>
      </c>
      <c r="O722">
        <v>1</v>
      </c>
      <c r="AH722">
        <v>1</v>
      </c>
      <c r="AI722" t="s">
        <v>350</v>
      </c>
    </row>
    <row r="723" spans="1:35">
      <c r="B723" t="s">
        <v>352</v>
      </c>
      <c r="O723">
        <v>1</v>
      </c>
      <c r="AH723">
        <v>1</v>
      </c>
      <c r="AI723" t="s">
        <v>350</v>
      </c>
    </row>
    <row r="724" spans="1:35">
      <c r="B724" t="s">
        <v>294</v>
      </c>
      <c r="P724">
        <v>1</v>
      </c>
      <c r="AH724">
        <v>1</v>
      </c>
      <c r="AI724" t="s">
        <v>350</v>
      </c>
    </row>
    <row r="725" spans="1:35">
      <c r="B725" t="s">
        <v>295</v>
      </c>
      <c r="P725">
        <v>1</v>
      </c>
      <c r="AH725">
        <v>1</v>
      </c>
      <c r="AI725" t="s">
        <v>350</v>
      </c>
    </row>
    <row r="726" spans="1:35">
      <c r="B726" t="s">
        <v>233</v>
      </c>
      <c r="O726">
        <v>4</v>
      </c>
      <c r="P726">
        <v>1</v>
      </c>
      <c r="AH726">
        <v>5</v>
      </c>
      <c r="AI726" t="s">
        <v>350</v>
      </c>
    </row>
    <row r="727" spans="1:35">
      <c r="B727" t="s">
        <v>234</v>
      </c>
      <c r="O727">
        <v>8</v>
      </c>
      <c r="AH727">
        <v>8</v>
      </c>
      <c r="AI727" t="s">
        <v>350</v>
      </c>
    </row>
    <row r="728" spans="1:35">
      <c r="B728" t="s">
        <v>235</v>
      </c>
      <c r="O728">
        <v>8</v>
      </c>
      <c r="AH728">
        <v>8</v>
      </c>
      <c r="AI728" t="s">
        <v>350</v>
      </c>
    </row>
    <row r="729" spans="1:35">
      <c r="A729" t="s">
        <v>237</v>
      </c>
      <c r="B729" t="s">
        <v>330</v>
      </c>
      <c r="O729">
        <v>2</v>
      </c>
      <c r="P729">
        <v>1</v>
      </c>
      <c r="AH729">
        <v>3</v>
      </c>
      <c r="AI729" t="s">
        <v>350</v>
      </c>
    </row>
    <row r="730" spans="1:35">
      <c r="B730" t="s">
        <v>238</v>
      </c>
      <c r="O730">
        <v>3</v>
      </c>
      <c r="P730">
        <v>4</v>
      </c>
      <c r="AH730">
        <v>7</v>
      </c>
      <c r="AI730" t="s">
        <v>350</v>
      </c>
    </row>
    <row r="731" spans="1:35">
      <c r="B731" t="s">
        <v>239</v>
      </c>
      <c r="O731">
        <v>2</v>
      </c>
      <c r="P731">
        <v>3</v>
      </c>
      <c r="AH731">
        <v>5</v>
      </c>
      <c r="AI731" t="s">
        <v>350</v>
      </c>
    </row>
    <row r="732" spans="1:35">
      <c r="B732" t="s">
        <v>272</v>
      </c>
      <c r="O732">
        <v>9</v>
      </c>
      <c r="P732">
        <v>3</v>
      </c>
      <c r="AH732">
        <v>12</v>
      </c>
      <c r="AI732" t="s">
        <v>350</v>
      </c>
    </row>
    <row r="733" spans="1:35">
      <c r="B733" t="s">
        <v>240</v>
      </c>
      <c r="O733">
        <v>8</v>
      </c>
      <c r="P733">
        <v>5</v>
      </c>
      <c r="AH733">
        <v>13</v>
      </c>
      <c r="AI733" t="s">
        <v>350</v>
      </c>
    </row>
    <row r="734" spans="1:35">
      <c r="B734" t="s">
        <v>241</v>
      </c>
      <c r="O734">
        <v>2</v>
      </c>
      <c r="P734">
        <v>3</v>
      </c>
      <c r="AH734">
        <v>5</v>
      </c>
      <c r="AI734" t="s">
        <v>350</v>
      </c>
    </row>
    <row r="735" spans="1:35">
      <c r="B735" t="s">
        <v>242</v>
      </c>
      <c r="O735">
        <v>10</v>
      </c>
      <c r="P735">
        <v>4</v>
      </c>
      <c r="AH735">
        <v>14</v>
      </c>
      <c r="AI735" t="s">
        <v>350</v>
      </c>
    </row>
    <row r="736" spans="1:35">
      <c r="B736" t="s">
        <v>274</v>
      </c>
      <c r="O736">
        <v>1</v>
      </c>
      <c r="P736">
        <v>1</v>
      </c>
      <c r="AH736">
        <v>2</v>
      </c>
      <c r="AI736" t="s">
        <v>350</v>
      </c>
    </row>
    <row r="737" spans="1:35">
      <c r="B737" t="s">
        <v>347</v>
      </c>
      <c r="O737">
        <v>1</v>
      </c>
      <c r="AH737">
        <v>1</v>
      </c>
      <c r="AI737" t="s">
        <v>350</v>
      </c>
    </row>
    <row r="738" spans="1:35">
      <c r="B738" t="s">
        <v>331</v>
      </c>
      <c r="P738">
        <v>1</v>
      </c>
      <c r="AH738">
        <v>1</v>
      </c>
      <c r="AI738" t="s">
        <v>350</v>
      </c>
    </row>
    <row r="739" spans="1:35">
      <c r="B739" t="s">
        <v>243</v>
      </c>
      <c r="P739">
        <v>1</v>
      </c>
      <c r="AH739">
        <v>1</v>
      </c>
      <c r="AI739" t="s">
        <v>350</v>
      </c>
    </row>
    <row r="740" spans="1:35">
      <c r="B740" t="s">
        <v>244</v>
      </c>
      <c r="P740">
        <v>1</v>
      </c>
      <c r="AH740">
        <v>1</v>
      </c>
      <c r="AI740" t="s">
        <v>350</v>
      </c>
    </row>
    <row r="741" spans="1:35">
      <c r="B741" t="s">
        <v>245</v>
      </c>
      <c r="O741">
        <v>3</v>
      </c>
      <c r="P741">
        <v>1</v>
      </c>
      <c r="AH741">
        <v>4</v>
      </c>
      <c r="AI741" t="s">
        <v>350</v>
      </c>
    </row>
    <row r="742" spans="1:35">
      <c r="B742" t="s">
        <v>319</v>
      </c>
      <c r="O742">
        <v>1</v>
      </c>
      <c r="AH742">
        <v>1</v>
      </c>
      <c r="AI742" t="s">
        <v>350</v>
      </c>
    </row>
    <row r="743" spans="1:35">
      <c r="A743" t="s">
        <v>299</v>
      </c>
      <c r="B743" t="s">
        <v>353</v>
      </c>
      <c r="P743">
        <v>14</v>
      </c>
      <c r="AH743">
        <v>14</v>
      </c>
      <c r="AI743" t="s">
        <v>350</v>
      </c>
    </row>
    <row r="744" spans="1:35">
      <c r="A744" t="s">
        <v>248</v>
      </c>
      <c r="B744" t="s">
        <v>108</v>
      </c>
      <c r="O744">
        <v>4</v>
      </c>
      <c r="P744">
        <v>5</v>
      </c>
      <c r="AH744">
        <v>9</v>
      </c>
      <c r="AI744" t="s">
        <v>350</v>
      </c>
    </row>
    <row r="745" spans="1:35">
      <c r="B745" t="s">
        <v>129</v>
      </c>
      <c r="O745">
        <v>5</v>
      </c>
      <c r="P745">
        <v>2</v>
      </c>
      <c r="AH745">
        <v>7</v>
      </c>
      <c r="AI745" t="s">
        <v>350</v>
      </c>
    </row>
    <row r="746" spans="1:35">
      <c r="B746" t="s">
        <v>249</v>
      </c>
      <c r="O746">
        <v>15</v>
      </c>
      <c r="P746">
        <v>4</v>
      </c>
      <c r="AH746">
        <v>19</v>
      </c>
      <c r="AI746" t="s">
        <v>350</v>
      </c>
    </row>
    <row r="747" spans="1:35">
      <c r="B747" t="s">
        <v>118</v>
      </c>
      <c r="O747">
        <v>4</v>
      </c>
      <c r="AH747">
        <v>4</v>
      </c>
      <c r="AI747" t="s">
        <v>350</v>
      </c>
    </row>
    <row r="748" spans="1:35">
      <c r="B748" t="s">
        <v>130</v>
      </c>
      <c r="O748">
        <v>1</v>
      </c>
      <c r="AH748">
        <v>1</v>
      </c>
      <c r="AI748" t="s">
        <v>350</v>
      </c>
    </row>
    <row r="749" spans="1:35">
      <c r="B749" t="s">
        <v>348</v>
      </c>
      <c r="P749">
        <v>2</v>
      </c>
      <c r="AH749">
        <v>2</v>
      </c>
      <c r="AI749" t="s">
        <v>350</v>
      </c>
    </row>
    <row r="750" spans="1:35">
      <c r="B750" t="s">
        <v>104</v>
      </c>
      <c r="O750">
        <v>2</v>
      </c>
      <c r="P750">
        <v>2</v>
      </c>
      <c r="AH750">
        <v>4</v>
      </c>
      <c r="AI750" t="s">
        <v>350</v>
      </c>
    </row>
    <row r="751" spans="1:35">
      <c r="B751" t="s">
        <v>103</v>
      </c>
      <c r="O751">
        <v>1</v>
      </c>
      <c r="AH751">
        <v>1</v>
      </c>
      <c r="AI751" t="s">
        <v>350</v>
      </c>
    </row>
    <row r="752" spans="1:35">
      <c r="B752" t="s">
        <v>113</v>
      </c>
      <c r="O752">
        <v>3</v>
      </c>
      <c r="P752">
        <v>2</v>
      </c>
      <c r="AH752">
        <v>5</v>
      </c>
      <c r="AI752" t="s">
        <v>350</v>
      </c>
    </row>
    <row r="753" spans="1:35">
      <c r="B753" t="s">
        <v>114</v>
      </c>
      <c r="O753">
        <v>2</v>
      </c>
      <c r="AH753">
        <v>2</v>
      </c>
      <c r="AI753" t="s">
        <v>350</v>
      </c>
    </row>
    <row r="754" spans="1:35">
      <c r="B754" t="s">
        <v>102</v>
      </c>
      <c r="O754">
        <v>2</v>
      </c>
      <c r="AH754">
        <v>2</v>
      </c>
      <c r="AI754" t="s">
        <v>350</v>
      </c>
    </row>
    <row r="755" spans="1:35">
      <c r="B755" t="s">
        <v>354</v>
      </c>
      <c r="O755">
        <v>1</v>
      </c>
      <c r="AH755">
        <v>1</v>
      </c>
      <c r="AI755" t="s">
        <v>350</v>
      </c>
    </row>
    <row r="756" spans="1:35">
      <c r="B756" t="s">
        <v>355</v>
      </c>
      <c r="P756">
        <v>1</v>
      </c>
      <c r="AH756">
        <v>1</v>
      </c>
      <c r="AI756" t="s">
        <v>350</v>
      </c>
    </row>
    <row r="757" spans="1:35">
      <c r="B757" t="s">
        <v>107</v>
      </c>
      <c r="O757">
        <v>4</v>
      </c>
      <c r="P757">
        <v>1</v>
      </c>
      <c r="AH757">
        <v>5</v>
      </c>
      <c r="AI757" t="s">
        <v>350</v>
      </c>
    </row>
    <row r="758" spans="1:35">
      <c r="B758" t="s">
        <v>105</v>
      </c>
      <c r="O758">
        <v>2</v>
      </c>
      <c r="AH758">
        <v>2</v>
      </c>
      <c r="AI758" t="s">
        <v>350</v>
      </c>
    </row>
    <row r="759" spans="1:35">
      <c r="B759" t="s">
        <v>106</v>
      </c>
      <c r="O759">
        <v>2</v>
      </c>
      <c r="AH759">
        <v>2</v>
      </c>
      <c r="AI759" t="s">
        <v>350</v>
      </c>
    </row>
    <row r="760" spans="1:35">
      <c r="A760" t="s">
        <v>250</v>
      </c>
      <c r="B760" t="s">
        <v>356</v>
      </c>
      <c r="O760">
        <v>1</v>
      </c>
      <c r="AH760">
        <v>1</v>
      </c>
      <c r="AI760" t="s">
        <v>350</v>
      </c>
    </row>
    <row r="761" spans="1:35">
      <c r="B761" t="s">
        <v>321</v>
      </c>
      <c r="P761">
        <v>1</v>
      </c>
      <c r="AH761">
        <v>1</v>
      </c>
      <c r="AI761" t="s">
        <v>350</v>
      </c>
    </row>
    <row r="762" spans="1:35">
      <c r="B762" t="s">
        <v>251</v>
      </c>
      <c r="O762">
        <v>11</v>
      </c>
      <c r="P762">
        <v>20</v>
      </c>
      <c r="AH762">
        <v>31</v>
      </c>
      <c r="AI762" t="s">
        <v>350</v>
      </c>
    </row>
    <row r="763" spans="1:35">
      <c r="B763" t="s">
        <v>252</v>
      </c>
      <c r="O763">
        <v>4</v>
      </c>
      <c r="AH763">
        <v>4</v>
      </c>
      <c r="AI763" t="s">
        <v>350</v>
      </c>
    </row>
    <row r="764" spans="1:35">
      <c r="A764" t="s">
        <v>253</v>
      </c>
      <c r="B764" t="s">
        <v>74</v>
      </c>
      <c r="O764">
        <v>1</v>
      </c>
      <c r="AH764">
        <v>1</v>
      </c>
      <c r="AI764" t="s">
        <v>350</v>
      </c>
    </row>
    <row r="765" spans="1:35">
      <c r="A765" t="s">
        <v>256</v>
      </c>
      <c r="B765" t="s">
        <v>349</v>
      </c>
      <c r="O765">
        <v>1</v>
      </c>
      <c r="AH765">
        <v>1</v>
      </c>
      <c r="AI765" t="s">
        <v>350</v>
      </c>
    </row>
    <row r="766" spans="1:35">
      <c r="B766" t="s">
        <v>357</v>
      </c>
      <c r="P766">
        <v>1</v>
      </c>
      <c r="AH766">
        <v>1</v>
      </c>
      <c r="AI766" t="s">
        <v>350</v>
      </c>
    </row>
    <row r="767" spans="1:35">
      <c r="B767" t="s">
        <v>358</v>
      </c>
      <c r="P767">
        <v>1</v>
      </c>
      <c r="AH767">
        <v>1</v>
      </c>
      <c r="AI767" t="s">
        <v>350</v>
      </c>
    </row>
    <row r="768" spans="1:35">
      <c r="A768" t="s">
        <v>174</v>
      </c>
      <c r="B768" t="s">
        <v>175</v>
      </c>
      <c r="Q768">
        <v>1</v>
      </c>
      <c r="AH768">
        <v>1</v>
      </c>
      <c r="AI768" t="s">
        <v>453</v>
      </c>
    </row>
    <row r="769" spans="1:35">
      <c r="B769" t="s">
        <v>259</v>
      </c>
      <c r="Q769">
        <v>3</v>
      </c>
      <c r="AH769">
        <v>3</v>
      </c>
      <c r="AI769" t="s">
        <v>453</v>
      </c>
    </row>
    <row r="770" spans="1:35">
      <c r="B770" t="s">
        <v>178</v>
      </c>
      <c r="Q770">
        <v>2</v>
      </c>
      <c r="AH770">
        <v>2</v>
      </c>
      <c r="AI770" t="s">
        <v>453</v>
      </c>
    </row>
    <row r="771" spans="1:35">
      <c r="B771" t="s">
        <v>179</v>
      </c>
      <c r="Q771">
        <v>4</v>
      </c>
      <c r="AH771">
        <v>4</v>
      </c>
      <c r="AI771" t="s">
        <v>453</v>
      </c>
    </row>
    <row r="772" spans="1:35">
      <c r="B772" t="s">
        <v>180</v>
      </c>
      <c r="Q772">
        <v>1</v>
      </c>
      <c r="AH772">
        <v>1</v>
      </c>
      <c r="AI772" t="s">
        <v>453</v>
      </c>
    </row>
    <row r="773" spans="1:35">
      <c r="B773" t="s">
        <v>182</v>
      </c>
      <c r="Q773">
        <v>3</v>
      </c>
      <c r="AH773">
        <v>3</v>
      </c>
      <c r="AI773" t="s">
        <v>453</v>
      </c>
    </row>
    <row r="774" spans="1:35">
      <c r="B774" t="s">
        <v>183</v>
      </c>
      <c r="Q774">
        <v>1</v>
      </c>
      <c r="AH774">
        <v>1</v>
      </c>
      <c r="AI774" t="s">
        <v>453</v>
      </c>
    </row>
    <row r="775" spans="1:35">
      <c r="A775" t="s">
        <v>188</v>
      </c>
      <c r="B775" t="s">
        <v>189</v>
      </c>
      <c r="Q775">
        <v>1</v>
      </c>
      <c r="AH775">
        <v>1</v>
      </c>
      <c r="AI775" t="s">
        <v>453</v>
      </c>
    </row>
    <row r="776" spans="1:35">
      <c r="B776" t="s">
        <v>264</v>
      </c>
      <c r="Q776">
        <v>1</v>
      </c>
      <c r="AH776">
        <v>1</v>
      </c>
      <c r="AI776" t="s">
        <v>453</v>
      </c>
    </row>
    <row r="777" spans="1:35">
      <c r="B777" t="s">
        <v>340</v>
      </c>
      <c r="Q777">
        <v>1</v>
      </c>
      <c r="AH777">
        <v>1</v>
      </c>
      <c r="AI777" t="s">
        <v>453</v>
      </c>
    </row>
    <row r="778" spans="1:35">
      <c r="B778" t="s">
        <v>368</v>
      </c>
      <c r="Q778">
        <v>1</v>
      </c>
      <c r="AH778">
        <v>1</v>
      </c>
      <c r="AI778" t="s">
        <v>453</v>
      </c>
    </row>
    <row r="779" spans="1:35">
      <c r="B779" t="s">
        <v>265</v>
      </c>
      <c r="Q779">
        <v>2</v>
      </c>
      <c r="AH779">
        <v>2</v>
      </c>
      <c r="AI779" t="s">
        <v>453</v>
      </c>
    </row>
    <row r="780" spans="1:35">
      <c r="B780" t="s">
        <v>193</v>
      </c>
      <c r="Q780">
        <v>2</v>
      </c>
      <c r="AH780">
        <v>2</v>
      </c>
      <c r="AI780" t="s">
        <v>453</v>
      </c>
    </row>
    <row r="781" spans="1:35">
      <c r="B781" t="s">
        <v>194</v>
      </c>
      <c r="Q781">
        <v>2</v>
      </c>
      <c r="AH781">
        <v>2</v>
      </c>
      <c r="AI781" t="s">
        <v>453</v>
      </c>
    </row>
    <row r="782" spans="1:35">
      <c r="B782" t="s">
        <v>344</v>
      </c>
      <c r="Q782">
        <v>1</v>
      </c>
      <c r="AH782">
        <v>1</v>
      </c>
      <c r="AI782" t="s">
        <v>453</v>
      </c>
    </row>
    <row r="783" spans="1:35">
      <c r="B783" t="s">
        <v>267</v>
      </c>
      <c r="Q783">
        <v>2</v>
      </c>
      <c r="AH783">
        <v>2</v>
      </c>
      <c r="AI783" t="s">
        <v>453</v>
      </c>
    </row>
    <row r="784" spans="1:35">
      <c r="B784" t="s">
        <v>268</v>
      </c>
      <c r="Q784">
        <v>1</v>
      </c>
      <c r="AH784">
        <v>1</v>
      </c>
      <c r="AI784" t="s">
        <v>453</v>
      </c>
    </row>
    <row r="785" spans="1:35">
      <c r="B785" t="s">
        <v>313</v>
      </c>
      <c r="Q785">
        <v>1</v>
      </c>
      <c r="AH785">
        <v>1</v>
      </c>
      <c r="AI785" t="s">
        <v>453</v>
      </c>
    </row>
    <row r="786" spans="1:35">
      <c r="B786" t="s">
        <v>112</v>
      </c>
      <c r="Q786">
        <v>1</v>
      </c>
      <c r="AH786">
        <v>1</v>
      </c>
      <c r="AI786" t="s">
        <v>453</v>
      </c>
    </row>
    <row r="787" spans="1:35">
      <c r="B787" t="s">
        <v>198</v>
      </c>
      <c r="Q787">
        <v>2</v>
      </c>
      <c r="AH787">
        <v>2</v>
      </c>
      <c r="AI787" t="s">
        <v>453</v>
      </c>
    </row>
    <row r="788" spans="1:35">
      <c r="B788" t="s">
        <v>199</v>
      </c>
      <c r="Q788">
        <v>2</v>
      </c>
      <c r="AH788">
        <v>2</v>
      </c>
      <c r="AI788" t="s">
        <v>453</v>
      </c>
    </row>
    <row r="789" spans="1:35">
      <c r="B789" t="s">
        <v>200</v>
      </c>
      <c r="Q789">
        <v>1</v>
      </c>
      <c r="AH789">
        <v>1</v>
      </c>
      <c r="AI789" t="s">
        <v>453</v>
      </c>
    </row>
    <row r="790" spans="1:35">
      <c r="B790" t="s">
        <v>398</v>
      </c>
      <c r="Q790">
        <v>1</v>
      </c>
      <c r="AH790">
        <v>1</v>
      </c>
      <c r="AI790" t="s">
        <v>453</v>
      </c>
    </row>
    <row r="791" spans="1:35">
      <c r="A791" t="s">
        <v>202</v>
      </c>
      <c r="B791" t="s">
        <v>205</v>
      </c>
      <c r="Q791">
        <v>1</v>
      </c>
      <c r="AH791">
        <v>1</v>
      </c>
      <c r="AI791" t="s">
        <v>453</v>
      </c>
    </row>
    <row r="792" spans="1:35">
      <c r="B792" t="s">
        <v>211</v>
      </c>
      <c r="Q792">
        <v>4</v>
      </c>
      <c r="AH792">
        <v>4</v>
      </c>
      <c r="AI792" t="s">
        <v>453</v>
      </c>
    </row>
    <row r="793" spans="1:35">
      <c r="B793" t="s">
        <v>212</v>
      </c>
      <c r="Q793">
        <v>4</v>
      </c>
      <c r="AH793">
        <v>4</v>
      </c>
      <c r="AI793" t="s">
        <v>453</v>
      </c>
    </row>
    <row r="794" spans="1:35">
      <c r="B794" t="s">
        <v>213</v>
      </c>
      <c r="Q794">
        <v>4</v>
      </c>
      <c r="AH794">
        <v>4</v>
      </c>
      <c r="AI794" t="s">
        <v>453</v>
      </c>
    </row>
    <row r="795" spans="1:35">
      <c r="B795" t="s">
        <v>214</v>
      </c>
      <c r="Q795">
        <v>5</v>
      </c>
      <c r="AH795">
        <v>5</v>
      </c>
      <c r="AI795" t="s">
        <v>453</v>
      </c>
    </row>
    <row r="796" spans="1:35">
      <c r="B796" t="s">
        <v>215</v>
      </c>
      <c r="Q796">
        <v>5</v>
      </c>
      <c r="AH796">
        <v>5</v>
      </c>
      <c r="AI796" t="s">
        <v>453</v>
      </c>
    </row>
    <row r="797" spans="1:35">
      <c r="B797" t="s">
        <v>316</v>
      </c>
      <c r="Q797">
        <v>1</v>
      </c>
      <c r="AH797">
        <v>1</v>
      </c>
      <c r="AI797" t="s">
        <v>453</v>
      </c>
    </row>
    <row r="798" spans="1:35">
      <c r="B798" t="s">
        <v>219</v>
      </c>
      <c r="Q798">
        <v>4</v>
      </c>
      <c r="AH798">
        <v>4</v>
      </c>
      <c r="AI798" t="s">
        <v>453</v>
      </c>
    </row>
    <row r="799" spans="1:35">
      <c r="B799" t="s">
        <v>227</v>
      </c>
      <c r="Q799">
        <v>1</v>
      </c>
      <c r="AH799">
        <v>1</v>
      </c>
      <c r="AI799" t="s">
        <v>453</v>
      </c>
    </row>
    <row r="800" spans="1:35">
      <c r="B800" t="s">
        <v>228</v>
      </c>
      <c r="Q800">
        <v>4</v>
      </c>
      <c r="AH800">
        <v>4</v>
      </c>
      <c r="AI800" t="s">
        <v>453</v>
      </c>
    </row>
    <row r="801" spans="1:35">
      <c r="B801" t="s">
        <v>230</v>
      </c>
      <c r="Q801">
        <v>4</v>
      </c>
      <c r="AH801">
        <v>4</v>
      </c>
      <c r="AI801" t="s">
        <v>453</v>
      </c>
    </row>
    <row r="802" spans="1:35">
      <c r="B802" t="s">
        <v>295</v>
      </c>
      <c r="Q802">
        <v>1</v>
      </c>
      <c r="AH802">
        <v>1</v>
      </c>
      <c r="AI802" t="s">
        <v>453</v>
      </c>
    </row>
    <row r="803" spans="1:35">
      <c r="B803" t="s">
        <v>233</v>
      </c>
      <c r="Q803">
        <v>1</v>
      </c>
      <c r="AH803">
        <v>1</v>
      </c>
      <c r="AI803" t="s">
        <v>453</v>
      </c>
    </row>
    <row r="804" spans="1:35">
      <c r="B804" t="s">
        <v>296</v>
      </c>
      <c r="Q804">
        <v>1</v>
      </c>
      <c r="AH804">
        <v>1</v>
      </c>
      <c r="AI804" t="s">
        <v>453</v>
      </c>
    </row>
    <row r="805" spans="1:35">
      <c r="A805" t="s">
        <v>237</v>
      </c>
      <c r="B805" t="s">
        <v>271</v>
      </c>
      <c r="Q805">
        <v>16</v>
      </c>
      <c r="AH805">
        <v>16</v>
      </c>
      <c r="AI805" t="s">
        <v>453</v>
      </c>
    </row>
    <row r="806" spans="1:35">
      <c r="B806" t="s">
        <v>238</v>
      </c>
      <c r="Q806">
        <v>3</v>
      </c>
      <c r="AH806">
        <v>3</v>
      </c>
      <c r="AI806" t="s">
        <v>453</v>
      </c>
    </row>
    <row r="807" spans="1:35">
      <c r="B807" t="s">
        <v>272</v>
      </c>
      <c r="Q807">
        <v>4</v>
      </c>
      <c r="AH807">
        <v>4</v>
      </c>
      <c r="AI807" t="s">
        <v>453</v>
      </c>
    </row>
    <row r="808" spans="1:35">
      <c r="B808" t="s">
        <v>273</v>
      </c>
      <c r="Q808">
        <v>1</v>
      </c>
      <c r="AH808">
        <v>1</v>
      </c>
      <c r="AI808" t="s">
        <v>453</v>
      </c>
    </row>
    <row r="809" spans="1:35">
      <c r="B809" t="s">
        <v>240</v>
      </c>
      <c r="Q809">
        <v>2</v>
      </c>
      <c r="AH809">
        <v>2</v>
      </c>
      <c r="AI809" t="s">
        <v>453</v>
      </c>
    </row>
    <row r="810" spans="1:35">
      <c r="B810" t="s">
        <v>298</v>
      </c>
      <c r="Q810">
        <v>2</v>
      </c>
      <c r="AH810">
        <v>2</v>
      </c>
      <c r="AI810" t="s">
        <v>453</v>
      </c>
    </row>
    <row r="811" spans="1:35">
      <c r="B811" t="s">
        <v>241</v>
      </c>
      <c r="Q811">
        <v>4</v>
      </c>
      <c r="AH811">
        <v>4</v>
      </c>
      <c r="AI811" t="s">
        <v>453</v>
      </c>
    </row>
    <row r="812" spans="1:35">
      <c r="B812" t="s">
        <v>242</v>
      </c>
      <c r="Q812">
        <v>10</v>
      </c>
      <c r="AH812">
        <v>10</v>
      </c>
      <c r="AI812" t="s">
        <v>453</v>
      </c>
    </row>
    <row r="813" spans="1:35">
      <c r="B813" t="s">
        <v>337</v>
      </c>
      <c r="Q813">
        <v>2</v>
      </c>
      <c r="AH813">
        <v>2</v>
      </c>
      <c r="AI813" t="s">
        <v>453</v>
      </c>
    </row>
    <row r="814" spans="1:35">
      <c r="A814" t="s">
        <v>248</v>
      </c>
      <c r="B814" t="s">
        <v>118</v>
      </c>
      <c r="Q814">
        <v>1</v>
      </c>
      <c r="AH814">
        <v>1</v>
      </c>
      <c r="AI814" t="s">
        <v>453</v>
      </c>
    </row>
    <row r="815" spans="1:35">
      <c r="B815" t="s">
        <v>108</v>
      </c>
      <c r="Q815">
        <v>7</v>
      </c>
      <c r="AH815">
        <v>7</v>
      </c>
      <c r="AI815" t="s">
        <v>453</v>
      </c>
    </row>
    <row r="816" spans="1:35">
      <c r="B816" t="s">
        <v>129</v>
      </c>
      <c r="Q816">
        <v>4</v>
      </c>
      <c r="AH816">
        <v>4</v>
      </c>
      <c r="AI816" t="s">
        <v>453</v>
      </c>
    </row>
    <row r="817" spans="1:35">
      <c r="B817" t="s">
        <v>130</v>
      </c>
      <c r="Q817">
        <v>1</v>
      </c>
      <c r="AH817">
        <v>1</v>
      </c>
      <c r="AI817" t="s">
        <v>453</v>
      </c>
    </row>
    <row r="818" spans="1:35">
      <c r="B818" t="s">
        <v>249</v>
      </c>
      <c r="Q818">
        <v>1</v>
      </c>
      <c r="AH818">
        <v>1</v>
      </c>
      <c r="AI818" t="s">
        <v>453</v>
      </c>
    </row>
    <row r="819" spans="1:35">
      <c r="B819" t="s">
        <v>104</v>
      </c>
      <c r="Q819">
        <v>4</v>
      </c>
      <c r="AH819">
        <v>4</v>
      </c>
      <c r="AI819" t="s">
        <v>453</v>
      </c>
    </row>
    <row r="820" spans="1:35">
      <c r="B820" t="s">
        <v>103</v>
      </c>
      <c r="Q820">
        <v>2</v>
      </c>
      <c r="AH820">
        <v>2</v>
      </c>
      <c r="AI820" t="s">
        <v>453</v>
      </c>
    </row>
    <row r="821" spans="1:35">
      <c r="B821" t="s">
        <v>113</v>
      </c>
      <c r="Q821">
        <v>3</v>
      </c>
      <c r="AH821">
        <v>3</v>
      </c>
      <c r="AI821" t="s">
        <v>453</v>
      </c>
    </row>
    <row r="822" spans="1:35">
      <c r="B822" t="s">
        <v>102</v>
      </c>
      <c r="Q822">
        <v>3</v>
      </c>
      <c r="AH822">
        <v>3</v>
      </c>
      <c r="AI822" t="s">
        <v>453</v>
      </c>
    </row>
    <row r="823" spans="1:35">
      <c r="B823" t="s">
        <v>354</v>
      </c>
      <c r="Q823">
        <v>2</v>
      </c>
      <c r="AH823">
        <v>2</v>
      </c>
      <c r="AI823" t="s">
        <v>453</v>
      </c>
    </row>
    <row r="824" spans="1:35">
      <c r="A824" t="s">
        <v>250</v>
      </c>
      <c r="B824" t="s">
        <v>251</v>
      </c>
      <c r="Q824">
        <v>5</v>
      </c>
      <c r="AH824">
        <v>5</v>
      </c>
      <c r="AI824" t="s">
        <v>453</v>
      </c>
    </row>
    <row r="825" spans="1:35">
      <c r="A825" t="s">
        <v>253</v>
      </c>
      <c r="B825" t="s">
        <v>254</v>
      </c>
      <c r="Q825">
        <v>1</v>
      </c>
      <c r="AH825">
        <v>1</v>
      </c>
      <c r="AI825" t="s">
        <v>453</v>
      </c>
    </row>
    <row r="826" spans="1:35">
      <c r="A826" t="s">
        <v>256</v>
      </c>
      <c r="B826" t="s">
        <v>304</v>
      </c>
      <c r="Q826">
        <v>1</v>
      </c>
      <c r="AH826">
        <v>1</v>
      </c>
      <c r="AI826" t="s">
        <v>453</v>
      </c>
    </row>
    <row r="827" spans="1:35">
      <c r="A827" t="s">
        <v>174</v>
      </c>
      <c r="B827" t="s">
        <v>177</v>
      </c>
      <c r="R827">
        <v>1</v>
      </c>
      <c r="AH827">
        <v>1</v>
      </c>
      <c r="AI827" t="s">
        <v>454</v>
      </c>
    </row>
    <row r="828" spans="1:35">
      <c r="B828" t="s">
        <v>259</v>
      </c>
      <c r="R828">
        <v>1</v>
      </c>
      <c r="AH828">
        <v>1</v>
      </c>
      <c r="AI828" t="s">
        <v>454</v>
      </c>
    </row>
    <row r="829" spans="1:35">
      <c r="B829" t="s">
        <v>178</v>
      </c>
      <c r="R829">
        <v>6</v>
      </c>
      <c r="AH829">
        <v>6</v>
      </c>
      <c r="AI829" t="s">
        <v>454</v>
      </c>
    </row>
    <row r="830" spans="1:35">
      <c r="B830" t="s">
        <v>179</v>
      </c>
      <c r="R830">
        <v>7</v>
      </c>
      <c r="AH830">
        <v>7</v>
      </c>
      <c r="AI830" t="s">
        <v>454</v>
      </c>
    </row>
    <row r="831" spans="1:35">
      <c r="B831" t="s">
        <v>180</v>
      </c>
      <c r="R831">
        <v>2</v>
      </c>
      <c r="AH831">
        <v>2</v>
      </c>
      <c r="AI831" t="s">
        <v>454</v>
      </c>
    </row>
    <row r="832" spans="1:35">
      <c r="B832" t="s">
        <v>181</v>
      </c>
      <c r="R832">
        <v>7</v>
      </c>
      <c r="AH832">
        <v>7</v>
      </c>
      <c r="AI832" t="s">
        <v>454</v>
      </c>
    </row>
    <row r="833" spans="1:35">
      <c r="B833" t="s">
        <v>111</v>
      </c>
      <c r="R833">
        <v>2</v>
      </c>
      <c r="AH833">
        <v>2</v>
      </c>
      <c r="AI833" t="s">
        <v>454</v>
      </c>
    </row>
    <row r="834" spans="1:35">
      <c r="B834" t="s">
        <v>182</v>
      </c>
      <c r="R834">
        <v>2</v>
      </c>
      <c r="AH834">
        <v>2</v>
      </c>
      <c r="AI834" t="s">
        <v>454</v>
      </c>
    </row>
    <row r="835" spans="1:35">
      <c r="A835" t="s">
        <v>185</v>
      </c>
      <c r="B835" t="s">
        <v>186</v>
      </c>
      <c r="R835">
        <v>3</v>
      </c>
      <c r="AH835">
        <v>3</v>
      </c>
      <c r="AI835" t="s">
        <v>454</v>
      </c>
    </row>
    <row r="836" spans="1:35">
      <c r="B836" t="s">
        <v>187</v>
      </c>
      <c r="R836">
        <v>3</v>
      </c>
      <c r="AH836">
        <v>3</v>
      </c>
      <c r="AI836" t="s">
        <v>454</v>
      </c>
    </row>
    <row r="837" spans="1:35">
      <c r="B837" t="s">
        <v>278</v>
      </c>
      <c r="R837">
        <v>2</v>
      </c>
      <c r="AH837">
        <v>2</v>
      </c>
      <c r="AI837" t="s">
        <v>454</v>
      </c>
    </row>
    <row r="838" spans="1:35">
      <c r="B838" t="s">
        <v>279</v>
      </c>
      <c r="R838">
        <v>3</v>
      </c>
      <c r="AH838">
        <v>3</v>
      </c>
      <c r="AI838" t="s">
        <v>454</v>
      </c>
    </row>
    <row r="839" spans="1:35">
      <c r="A839" t="s">
        <v>188</v>
      </c>
      <c r="B839" t="s">
        <v>189</v>
      </c>
      <c r="R839">
        <v>2</v>
      </c>
      <c r="AH839">
        <v>2</v>
      </c>
      <c r="AI839" t="s">
        <v>454</v>
      </c>
    </row>
    <row r="840" spans="1:35">
      <c r="B840" t="s">
        <v>265</v>
      </c>
      <c r="R840">
        <v>1</v>
      </c>
      <c r="AH840">
        <v>1</v>
      </c>
      <c r="AI840" t="s">
        <v>454</v>
      </c>
    </row>
    <row r="841" spans="1:35">
      <c r="B841" t="s">
        <v>192</v>
      </c>
      <c r="R841">
        <v>1</v>
      </c>
      <c r="AH841">
        <v>1</v>
      </c>
      <c r="AI841" t="s">
        <v>454</v>
      </c>
    </row>
    <row r="842" spans="1:35">
      <c r="B842" t="s">
        <v>288</v>
      </c>
      <c r="R842">
        <v>2</v>
      </c>
      <c r="AH842">
        <v>2</v>
      </c>
      <c r="AI842" t="s">
        <v>454</v>
      </c>
    </row>
    <row r="843" spans="1:35">
      <c r="B843" t="s">
        <v>121</v>
      </c>
      <c r="R843">
        <v>1</v>
      </c>
      <c r="AH843">
        <v>1</v>
      </c>
      <c r="AI843" t="s">
        <v>454</v>
      </c>
    </row>
    <row r="844" spans="1:35">
      <c r="B844" t="s">
        <v>194</v>
      </c>
      <c r="R844">
        <v>2</v>
      </c>
      <c r="AH844">
        <v>2</v>
      </c>
      <c r="AI844" t="s">
        <v>454</v>
      </c>
    </row>
    <row r="845" spans="1:35">
      <c r="B845" t="s">
        <v>267</v>
      </c>
      <c r="R845">
        <v>1</v>
      </c>
      <c r="AH845">
        <v>1</v>
      </c>
      <c r="AI845" t="s">
        <v>454</v>
      </c>
    </row>
    <row r="846" spans="1:35">
      <c r="B846" t="s">
        <v>345</v>
      </c>
      <c r="R846">
        <v>1</v>
      </c>
      <c r="AH846">
        <v>1</v>
      </c>
      <c r="AI846" t="s">
        <v>454</v>
      </c>
    </row>
    <row r="847" spans="1:35">
      <c r="B847" t="s">
        <v>116</v>
      </c>
      <c r="R847">
        <v>1</v>
      </c>
      <c r="AH847">
        <v>1</v>
      </c>
      <c r="AI847" t="s">
        <v>454</v>
      </c>
    </row>
    <row r="848" spans="1:35">
      <c r="B848" t="s">
        <v>112</v>
      </c>
      <c r="R848">
        <v>5</v>
      </c>
      <c r="AH848">
        <v>5</v>
      </c>
      <c r="AI848" t="s">
        <v>454</v>
      </c>
    </row>
    <row r="849" spans="1:35">
      <c r="B849" t="s">
        <v>198</v>
      </c>
      <c r="R849">
        <v>2</v>
      </c>
      <c r="AH849">
        <v>2</v>
      </c>
      <c r="AI849" t="s">
        <v>454</v>
      </c>
    </row>
    <row r="850" spans="1:35">
      <c r="B850" t="s">
        <v>199</v>
      </c>
      <c r="R850">
        <v>2</v>
      </c>
      <c r="AH850">
        <v>2</v>
      </c>
      <c r="AI850" t="s">
        <v>454</v>
      </c>
    </row>
    <row r="851" spans="1:35">
      <c r="B851" t="s">
        <v>315</v>
      </c>
      <c r="R851">
        <v>1</v>
      </c>
      <c r="AH851">
        <v>1</v>
      </c>
      <c r="AI851" t="s">
        <v>454</v>
      </c>
    </row>
    <row r="852" spans="1:35">
      <c r="B852" t="s">
        <v>200</v>
      </c>
      <c r="R852">
        <v>3</v>
      </c>
      <c r="AH852">
        <v>3</v>
      </c>
      <c r="AI852" t="s">
        <v>454</v>
      </c>
    </row>
    <row r="853" spans="1:35">
      <c r="B853" t="s">
        <v>110</v>
      </c>
      <c r="R853">
        <v>2</v>
      </c>
      <c r="AH853">
        <v>2</v>
      </c>
      <c r="AI853" t="s">
        <v>454</v>
      </c>
    </row>
    <row r="854" spans="1:35">
      <c r="B854" t="s">
        <v>81</v>
      </c>
      <c r="R854">
        <v>3</v>
      </c>
      <c r="AH854">
        <v>3</v>
      </c>
      <c r="AI854" t="s">
        <v>454</v>
      </c>
    </row>
    <row r="855" spans="1:35">
      <c r="B855" t="s">
        <v>101</v>
      </c>
      <c r="R855">
        <v>2</v>
      </c>
      <c r="AH855">
        <v>2</v>
      </c>
      <c r="AI855" t="s">
        <v>454</v>
      </c>
    </row>
    <row r="856" spans="1:35">
      <c r="B856" t="s">
        <v>100</v>
      </c>
      <c r="R856">
        <v>3</v>
      </c>
      <c r="AH856">
        <v>3</v>
      </c>
      <c r="AI856" t="s">
        <v>454</v>
      </c>
    </row>
    <row r="857" spans="1:35">
      <c r="B857" t="s">
        <v>99</v>
      </c>
      <c r="R857">
        <v>1</v>
      </c>
      <c r="AH857">
        <v>1</v>
      </c>
      <c r="AI857" t="s">
        <v>454</v>
      </c>
    </row>
    <row r="858" spans="1:35">
      <c r="A858" t="s">
        <v>202</v>
      </c>
      <c r="B858" t="s">
        <v>203</v>
      </c>
      <c r="R858">
        <v>3</v>
      </c>
      <c r="AH858">
        <v>3</v>
      </c>
      <c r="AI858" t="s">
        <v>454</v>
      </c>
    </row>
    <row r="859" spans="1:35">
      <c r="B859" t="s">
        <v>204</v>
      </c>
      <c r="R859">
        <v>3</v>
      </c>
      <c r="AH859">
        <v>3</v>
      </c>
      <c r="AI859" t="s">
        <v>454</v>
      </c>
    </row>
    <row r="860" spans="1:35">
      <c r="B860" t="s">
        <v>205</v>
      </c>
      <c r="R860">
        <v>119</v>
      </c>
      <c r="AH860">
        <v>119</v>
      </c>
      <c r="AI860" t="s">
        <v>454</v>
      </c>
    </row>
    <row r="861" spans="1:35">
      <c r="B861" t="s">
        <v>206</v>
      </c>
      <c r="R861">
        <v>1</v>
      </c>
      <c r="AH861">
        <v>1</v>
      </c>
      <c r="AI861" t="s">
        <v>454</v>
      </c>
    </row>
    <row r="862" spans="1:35">
      <c r="B862" t="s">
        <v>207</v>
      </c>
      <c r="R862">
        <v>4</v>
      </c>
      <c r="AH862">
        <v>4</v>
      </c>
      <c r="AI862" t="s">
        <v>454</v>
      </c>
    </row>
    <row r="863" spans="1:35">
      <c r="B863" t="s">
        <v>208</v>
      </c>
      <c r="R863">
        <v>1</v>
      </c>
      <c r="AH863">
        <v>1</v>
      </c>
      <c r="AI863" t="s">
        <v>454</v>
      </c>
    </row>
    <row r="864" spans="1:35">
      <c r="B864" t="s">
        <v>209</v>
      </c>
      <c r="R864">
        <v>3</v>
      </c>
      <c r="AH864">
        <v>3</v>
      </c>
      <c r="AI864" t="s">
        <v>454</v>
      </c>
    </row>
    <row r="865" spans="2:35">
      <c r="B865" t="s">
        <v>211</v>
      </c>
      <c r="R865">
        <v>10</v>
      </c>
      <c r="AH865">
        <v>10</v>
      </c>
      <c r="AI865" t="s">
        <v>454</v>
      </c>
    </row>
    <row r="866" spans="2:35">
      <c r="B866" t="s">
        <v>212</v>
      </c>
      <c r="R866">
        <v>10</v>
      </c>
      <c r="AH866">
        <v>10</v>
      </c>
      <c r="AI866" t="s">
        <v>454</v>
      </c>
    </row>
    <row r="867" spans="2:35">
      <c r="B867" t="s">
        <v>213</v>
      </c>
      <c r="R867">
        <v>10</v>
      </c>
      <c r="AH867">
        <v>10</v>
      </c>
      <c r="AI867" t="s">
        <v>454</v>
      </c>
    </row>
    <row r="868" spans="2:35">
      <c r="B868" t="s">
        <v>214</v>
      </c>
      <c r="R868">
        <v>11</v>
      </c>
      <c r="AH868">
        <v>11</v>
      </c>
      <c r="AI868" t="s">
        <v>454</v>
      </c>
    </row>
    <row r="869" spans="2:35">
      <c r="B869" t="s">
        <v>215</v>
      </c>
      <c r="R869">
        <v>11</v>
      </c>
      <c r="AH869">
        <v>11</v>
      </c>
      <c r="AI869" t="s">
        <v>454</v>
      </c>
    </row>
    <row r="870" spans="2:35">
      <c r="B870" t="s">
        <v>216</v>
      </c>
      <c r="R870">
        <v>3</v>
      </c>
      <c r="AH870">
        <v>3</v>
      </c>
      <c r="AI870" t="s">
        <v>454</v>
      </c>
    </row>
    <row r="871" spans="2:35">
      <c r="B871" t="s">
        <v>217</v>
      </c>
      <c r="R871">
        <v>3</v>
      </c>
      <c r="AH871">
        <v>3</v>
      </c>
      <c r="AI871" t="s">
        <v>454</v>
      </c>
    </row>
    <row r="872" spans="2:35">
      <c r="B872" t="s">
        <v>218</v>
      </c>
      <c r="R872">
        <v>3</v>
      </c>
      <c r="AH872">
        <v>3</v>
      </c>
      <c r="AI872" t="s">
        <v>454</v>
      </c>
    </row>
    <row r="873" spans="2:35">
      <c r="B873" t="s">
        <v>219</v>
      </c>
      <c r="R873">
        <v>7</v>
      </c>
      <c r="AH873">
        <v>7</v>
      </c>
      <c r="AI873" t="s">
        <v>454</v>
      </c>
    </row>
    <row r="874" spans="2:35">
      <c r="B874" t="s">
        <v>220</v>
      </c>
      <c r="R874">
        <v>6</v>
      </c>
      <c r="AH874">
        <v>6</v>
      </c>
      <c r="AI874" t="s">
        <v>454</v>
      </c>
    </row>
    <row r="875" spans="2:35">
      <c r="B875" t="s">
        <v>221</v>
      </c>
      <c r="R875">
        <v>3</v>
      </c>
      <c r="AH875">
        <v>3</v>
      </c>
      <c r="AI875" t="s">
        <v>454</v>
      </c>
    </row>
    <row r="876" spans="2:35">
      <c r="B876" t="s">
        <v>222</v>
      </c>
      <c r="R876">
        <v>117</v>
      </c>
      <c r="AH876">
        <v>117</v>
      </c>
      <c r="AI876" t="s">
        <v>454</v>
      </c>
    </row>
    <row r="877" spans="2:35">
      <c r="B877" t="s">
        <v>223</v>
      </c>
      <c r="R877">
        <v>3</v>
      </c>
      <c r="AH877">
        <v>3</v>
      </c>
      <c r="AI877" t="s">
        <v>454</v>
      </c>
    </row>
    <row r="878" spans="2:35">
      <c r="B878" t="s">
        <v>225</v>
      </c>
      <c r="R878">
        <v>3</v>
      </c>
      <c r="AH878">
        <v>3</v>
      </c>
      <c r="AI878" t="s">
        <v>454</v>
      </c>
    </row>
    <row r="879" spans="2:35">
      <c r="B879" t="s">
        <v>226</v>
      </c>
      <c r="R879">
        <v>2</v>
      </c>
      <c r="AH879">
        <v>2</v>
      </c>
      <c r="AI879" t="s">
        <v>454</v>
      </c>
    </row>
    <row r="880" spans="2:35">
      <c r="B880" t="s">
        <v>227</v>
      </c>
      <c r="R880">
        <v>3</v>
      </c>
      <c r="AH880">
        <v>3</v>
      </c>
      <c r="AI880" t="s">
        <v>454</v>
      </c>
    </row>
    <row r="881" spans="1:35">
      <c r="B881" t="s">
        <v>228</v>
      </c>
      <c r="R881">
        <v>11</v>
      </c>
      <c r="AH881">
        <v>11</v>
      </c>
      <c r="AI881" t="s">
        <v>454</v>
      </c>
    </row>
    <row r="882" spans="1:35">
      <c r="B882" t="s">
        <v>229</v>
      </c>
      <c r="R882">
        <v>3</v>
      </c>
      <c r="AH882">
        <v>3</v>
      </c>
      <c r="AI882" t="s">
        <v>454</v>
      </c>
    </row>
    <row r="883" spans="1:35">
      <c r="B883" t="s">
        <v>230</v>
      </c>
      <c r="R883">
        <v>11</v>
      </c>
      <c r="AH883">
        <v>11</v>
      </c>
      <c r="AI883" t="s">
        <v>454</v>
      </c>
    </row>
    <row r="884" spans="1:35">
      <c r="B884" t="s">
        <v>231</v>
      </c>
      <c r="R884">
        <v>3</v>
      </c>
      <c r="AH884">
        <v>3</v>
      </c>
      <c r="AI884" t="s">
        <v>454</v>
      </c>
    </row>
    <row r="885" spans="1:35">
      <c r="B885" t="s">
        <v>233</v>
      </c>
      <c r="R885">
        <v>3</v>
      </c>
      <c r="AH885">
        <v>3</v>
      </c>
      <c r="AI885" t="s">
        <v>454</v>
      </c>
    </row>
    <row r="886" spans="1:35">
      <c r="B886" t="s">
        <v>234</v>
      </c>
      <c r="R886">
        <v>4</v>
      </c>
      <c r="AH886">
        <v>4</v>
      </c>
      <c r="AI886" t="s">
        <v>454</v>
      </c>
    </row>
    <row r="887" spans="1:35">
      <c r="B887" t="s">
        <v>235</v>
      </c>
      <c r="R887">
        <v>5</v>
      </c>
      <c r="AH887">
        <v>5</v>
      </c>
      <c r="AI887" t="s">
        <v>454</v>
      </c>
    </row>
    <row r="888" spans="1:35">
      <c r="A888" t="s">
        <v>237</v>
      </c>
      <c r="B888" t="s">
        <v>330</v>
      </c>
      <c r="R888">
        <v>1</v>
      </c>
      <c r="AH888">
        <v>1</v>
      </c>
      <c r="AI888" t="s">
        <v>454</v>
      </c>
    </row>
    <row r="889" spans="1:35">
      <c r="B889" t="s">
        <v>238</v>
      </c>
      <c r="R889">
        <v>3</v>
      </c>
      <c r="AH889">
        <v>3</v>
      </c>
      <c r="AI889" t="s">
        <v>454</v>
      </c>
    </row>
    <row r="890" spans="1:35">
      <c r="B890" t="s">
        <v>272</v>
      </c>
      <c r="R890">
        <v>3</v>
      </c>
      <c r="AH890">
        <v>3</v>
      </c>
      <c r="AI890" t="s">
        <v>454</v>
      </c>
    </row>
    <row r="891" spans="1:35">
      <c r="B891" t="s">
        <v>240</v>
      </c>
      <c r="R891">
        <v>7</v>
      </c>
      <c r="AH891">
        <v>7</v>
      </c>
      <c r="AI891" t="s">
        <v>454</v>
      </c>
    </row>
    <row r="892" spans="1:35">
      <c r="B892" t="s">
        <v>298</v>
      </c>
      <c r="R892">
        <v>1</v>
      </c>
      <c r="AH892">
        <v>1</v>
      </c>
      <c r="AI892" t="s">
        <v>454</v>
      </c>
    </row>
    <row r="893" spans="1:35">
      <c r="B893" t="s">
        <v>241</v>
      </c>
      <c r="R893">
        <v>3</v>
      </c>
      <c r="AH893">
        <v>3</v>
      </c>
      <c r="AI893" t="s">
        <v>454</v>
      </c>
    </row>
    <row r="894" spans="1:35">
      <c r="B894" t="s">
        <v>242</v>
      </c>
      <c r="R894">
        <v>2</v>
      </c>
      <c r="AH894">
        <v>2</v>
      </c>
      <c r="AI894" t="s">
        <v>454</v>
      </c>
    </row>
    <row r="895" spans="1:35">
      <c r="B895" t="s">
        <v>244</v>
      </c>
      <c r="R895">
        <v>2</v>
      </c>
      <c r="AH895">
        <v>2</v>
      </c>
      <c r="AI895" t="s">
        <v>454</v>
      </c>
    </row>
    <row r="896" spans="1:35">
      <c r="B896" t="s">
        <v>245</v>
      </c>
      <c r="R896">
        <v>3</v>
      </c>
      <c r="AH896">
        <v>3</v>
      </c>
      <c r="AI896" t="s">
        <v>454</v>
      </c>
    </row>
    <row r="897" spans="1:35">
      <c r="A897" t="s">
        <v>248</v>
      </c>
      <c r="B897" t="s">
        <v>118</v>
      </c>
      <c r="R897">
        <v>1</v>
      </c>
      <c r="AH897">
        <v>1</v>
      </c>
      <c r="AI897" t="s">
        <v>454</v>
      </c>
    </row>
    <row r="898" spans="1:35">
      <c r="B898" t="s">
        <v>129</v>
      </c>
      <c r="R898">
        <v>1</v>
      </c>
      <c r="AH898">
        <v>1</v>
      </c>
      <c r="AI898" t="s">
        <v>454</v>
      </c>
    </row>
    <row r="899" spans="1:35">
      <c r="B899" t="s">
        <v>249</v>
      </c>
      <c r="R899">
        <v>8</v>
      </c>
      <c r="AH899">
        <v>8</v>
      </c>
      <c r="AI899" t="s">
        <v>454</v>
      </c>
    </row>
    <row r="900" spans="1:35">
      <c r="B900" t="s">
        <v>104</v>
      </c>
      <c r="R900">
        <v>1</v>
      </c>
      <c r="AH900">
        <v>1</v>
      </c>
      <c r="AI900" t="s">
        <v>454</v>
      </c>
    </row>
    <row r="901" spans="1:35">
      <c r="B901" t="s">
        <v>103</v>
      </c>
      <c r="R901">
        <v>1</v>
      </c>
      <c r="AH901">
        <v>1</v>
      </c>
      <c r="AI901" t="s">
        <v>454</v>
      </c>
    </row>
    <row r="902" spans="1:35">
      <c r="B902" t="s">
        <v>113</v>
      </c>
      <c r="R902">
        <v>1</v>
      </c>
      <c r="AH902">
        <v>1</v>
      </c>
      <c r="AI902" t="s">
        <v>454</v>
      </c>
    </row>
    <row r="903" spans="1:35">
      <c r="B903" t="s">
        <v>102</v>
      </c>
      <c r="R903">
        <v>1</v>
      </c>
      <c r="AH903">
        <v>1</v>
      </c>
      <c r="AI903" t="s">
        <v>454</v>
      </c>
    </row>
    <row r="904" spans="1:35">
      <c r="B904" t="s">
        <v>107</v>
      </c>
      <c r="R904">
        <v>3</v>
      </c>
      <c r="AH904">
        <v>3</v>
      </c>
      <c r="AI904" t="s">
        <v>454</v>
      </c>
    </row>
    <row r="905" spans="1:35">
      <c r="B905" t="s">
        <v>105</v>
      </c>
      <c r="R905">
        <v>2</v>
      </c>
      <c r="AH905">
        <v>2</v>
      </c>
      <c r="AI905" t="s">
        <v>454</v>
      </c>
    </row>
    <row r="906" spans="1:35">
      <c r="B906" t="s">
        <v>106</v>
      </c>
      <c r="R906">
        <v>2</v>
      </c>
      <c r="AH906">
        <v>2</v>
      </c>
      <c r="AI906" t="s">
        <v>454</v>
      </c>
    </row>
    <row r="907" spans="1:35">
      <c r="A907" t="s">
        <v>250</v>
      </c>
      <c r="B907" t="s">
        <v>251</v>
      </c>
      <c r="R907">
        <v>7</v>
      </c>
      <c r="AH907">
        <v>7</v>
      </c>
      <c r="AI907" t="s">
        <v>454</v>
      </c>
    </row>
    <row r="908" spans="1:35">
      <c r="A908" t="s">
        <v>253</v>
      </c>
      <c r="B908" t="s">
        <v>74</v>
      </c>
      <c r="R908">
        <v>1</v>
      </c>
      <c r="AH908">
        <v>1</v>
      </c>
      <c r="AI908" t="s">
        <v>454</v>
      </c>
    </row>
    <row r="909" spans="1:35">
      <c r="A909" t="s">
        <v>174</v>
      </c>
      <c r="B909" t="s">
        <v>259</v>
      </c>
      <c r="S909">
        <v>2</v>
      </c>
      <c r="AH909">
        <v>2</v>
      </c>
      <c r="AI909" t="s">
        <v>455</v>
      </c>
    </row>
    <row r="910" spans="1:35">
      <c r="B910" t="s">
        <v>175</v>
      </c>
      <c r="T910">
        <v>2</v>
      </c>
      <c r="AH910">
        <v>2</v>
      </c>
      <c r="AI910" t="s">
        <v>455</v>
      </c>
    </row>
    <row r="911" spans="1:35">
      <c r="B911" t="s">
        <v>178</v>
      </c>
      <c r="S911">
        <v>4</v>
      </c>
      <c r="AH911">
        <v>4</v>
      </c>
      <c r="AI911" t="s">
        <v>455</v>
      </c>
    </row>
    <row r="912" spans="1:35">
      <c r="B912" t="s">
        <v>179</v>
      </c>
      <c r="S912">
        <v>11</v>
      </c>
      <c r="AH912">
        <v>11</v>
      </c>
      <c r="AI912" t="s">
        <v>455</v>
      </c>
    </row>
    <row r="913" spans="1:35">
      <c r="B913" t="s">
        <v>260</v>
      </c>
      <c r="T913">
        <v>1</v>
      </c>
      <c r="AH913">
        <v>1</v>
      </c>
      <c r="AI913" t="s">
        <v>455</v>
      </c>
    </row>
    <row r="914" spans="1:35">
      <c r="B914" t="s">
        <v>180</v>
      </c>
      <c r="S914">
        <v>3</v>
      </c>
      <c r="AH914">
        <v>3</v>
      </c>
      <c r="AI914" t="s">
        <v>455</v>
      </c>
    </row>
    <row r="915" spans="1:35">
      <c r="B915" t="s">
        <v>181</v>
      </c>
      <c r="S915">
        <v>4</v>
      </c>
      <c r="T915">
        <v>3</v>
      </c>
      <c r="AH915">
        <v>7</v>
      </c>
      <c r="AI915" t="s">
        <v>455</v>
      </c>
    </row>
    <row r="916" spans="1:35">
      <c r="B916" t="s">
        <v>111</v>
      </c>
      <c r="S916">
        <v>1</v>
      </c>
      <c r="T916">
        <v>1</v>
      </c>
      <c r="AH916">
        <v>2</v>
      </c>
      <c r="AI916" t="s">
        <v>455</v>
      </c>
    </row>
    <row r="917" spans="1:35">
      <c r="B917" t="s">
        <v>182</v>
      </c>
      <c r="T917">
        <v>3</v>
      </c>
      <c r="AH917">
        <v>3</v>
      </c>
      <c r="AI917" t="s">
        <v>455</v>
      </c>
    </row>
    <row r="918" spans="1:35">
      <c r="B918" t="s">
        <v>183</v>
      </c>
      <c r="T918">
        <v>2</v>
      </c>
      <c r="AH918">
        <v>2</v>
      </c>
      <c r="AI918" t="s">
        <v>455</v>
      </c>
    </row>
    <row r="919" spans="1:35">
      <c r="A919" t="s">
        <v>188</v>
      </c>
      <c r="B919" t="s">
        <v>340</v>
      </c>
      <c r="S919">
        <v>1</v>
      </c>
      <c r="T919">
        <v>1</v>
      </c>
      <c r="AH919">
        <v>2</v>
      </c>
      <c r="AI919" t="s">
        <v>455</v>
      </c>
    </row>
    <row r="920" spans="1:35">
      <c r="B920" t="s">
        <v>265</v>
      </c>
      <c r="S920">
        <v>3</v>
      </c>
      <c r="T920">
        <v>2</v>
      </c>
      <c r="AH920">
        <v>5</v>
      </c>
      <c r="AI920" t="s">
        <v>455</v>
      </c>
    </row>
    <row r="921" spans="1:35">
      <c r="B921" t="s">
        <v>325</v>
      </c>
      <c r="S921">
        <v>1</v>
      </c>
      <c r="AH921">
        <v>1</v>
      </c>
      <c r="AI921" t="s">
        <v>455</v>
      </c>
    </row>
    <row r="922" spans="1:35">
      <c r="B922" t="s">
        <v>339</v>
      </c>
      <c r="S922">
        <v>1</v>
      </c>
      <c r="AH922">
        <v>1</v>
      </c>
      <c r="AI922" t="s">
        <v>455</v>
      </c>
    </row>
    <row r="923" spans="1:35">
      <c r="B923" t="s">
        <v>190</v>
      </c>
      <c r="T923">
        <v>1</v>
      </c>
      <c r="AH923">
        <v>1</v>
      </c>
      <c r="AI923" t="s">
        <v>455</v>
      </c>
    </row>
    <row r="924" spans="1:35">
      <c r="B924" t="s">
        <v>456</v>
      </c>
      <c r="T924">
        <v>3</v>
      </c>
      <c r="AH924">
        <v>3</v>
      </c>
      <c r="AI924" t="s">
        <v>455</v>
      </c>
    </row>
    <row r="925" spans="1:35">
      <c r="B925" t="s">
        <v>287</v>
      </c>
      <c r="T925">
        <v>2</v>
      </c>
      <c r="AH925">
        <v>2</v>
      </c>
      <c r="AI925" t="s">
        <v>455</v>
      </c>
    </row>
    <row r="926" spans="1:35">
      <c r="B926" t="s">
        <v>193</v>
      </c>
      <c r="T926">
        <v>1</v>
      </c>
      <c r="AH926">
        <v>1</v>
      </c>
      <c r="AI926" t="s">
        <v>455</v>
      </c>
    </row>
    <row r="927" spans="1:35">
      <c r="B927" t="s">
        <v>121</v>
      </c>
      <c r="S927">
        <v>1</v>
      </c>
      <c r="T927">
        <v>1</v>
      </c>
      <c r="AH927">
        <v>2</v>
      </c>
      <c r="AI927" t="s">
        <v>455</v>
      </c>
    </row>
    <row r="928" spans="1:35">
      <c r="B928" t="s">
        <v>194</v>
      </c>
      <c r="S928">
        <v>3</v>
      </c>
      <c r="AH928">
        <v>3</v>
      </c>
      <c r="AI928" t="s">
        <v>455</v>
      </c>
    </row>
    <row r="929" spans="2:35">
      <c r="B929" t="s">
        <v>266</v>
      </c>
      <c r="S929">
        <v>1</v>
      </c>
      <c r="AH929">
        <v>1</v>
      </c>
      <c r="AI929" t="s">
        <v>455</v>
      </c>
    </row>
    <row r="930" spans="2:35">
      <c r="B930" t="s">
        <v>132</v>
      </c>
      <c r="S930">
        <v>1</v>
      </c>
      <c r="AH930">
        <v>1</v>
      </c>
      <c r="AI930" t="s">
        <v>455</v>
      </c>
    </row>
    <row r="931" spans="2:35">
      <c r="B931" t="s">
        <v>345</v>
      </c>
      <c r="T931">
        <v>1</v>
      </c>
      <c r="AH931">
        <v>1</v>
      </c>
      <c r="AI931" t="s">
        <v>455</v>
      </c>
    </row>
    <row r="932" spans="2:35">
      <c r="B932" t="s">
        <v>195</v>
      </c>
      <c r="T932">
        <v>4</v>
      </c>
      <c r="AH932">
        <v>4</v>
      </c>
      <c r="AI932" t="s">
        <v>455</v>
      </c>
    </row>
    <row r="933" spans="2:35">
      <c r="B933" t="s">
        <v>289</v>
      </c>
      <c r="T933">
        <v>2</v>
      </c>
      <c r="AH933">
        <v>2</v>
      </c>
      <c r="AI933" t="s">
        <v>455</v>
      </c>
    </row>
    <row r="934" spans="2:35">
      <c r="B934" t="s">
        <v>268</v>
      </c>
      <c r="S934">
        <v>3</v>
      </c>
      <c r="T934">
        <v>4</v>
      </c>
      <c r="AH934">
        <v>7</v>
      </c>
      <c r="AI934" t="s">
        <v>455</v>
      </c>
    </row>
    <row r="935" spans="2:35">
      <c r="B935" t="s">
        <v>290</v>
      </c>
      <c r="T935">
        <v>2</v>
      </c>
      <c r="AH935">
        <v>2</v>
      </c>
      <c r="AI935" t="s">
        <v>455</v>
      </c>
    </row>
    <row r="936" spans="2:35">
      <c r="B936" t="s">
        <v>313</v>
      </c>
      <c r="S936">
        <v>2</v>
      </c>
      <c r="T936">
        <v>1</v>
      </c>
      <c r="AH936">
        <v>3</v>
      </c>
      <c r="AI936" t="s">
        <v>455</v>
      </c>
    </row>
    <row r="937" spans="2:35">
      <c r="B937" t="s">
        <v>291</v>
      </c>
      <c r="T937">
        <v>1</v>
      </c>
      <c r="AH937">
        <v>1</v>
      </c>
      <c r="AI937" t="s">
        <v>455</v>
      </c>
    </row>
    <row r="938" spans="2:35">
      <c r="B938" t="s">
        <v>328</v>
      </c>
      <c r="S938">
        <v>1</v>
      </c>
      <c r="T938">
        <v>1</v>
      </c>
      <c r="AH938">
        <v>2</v>
      </c>
      <c r="AI938" t="s">
        <v>455</v>
      </c>
    </row>
    <row r="939" spans="2:35">
      <c r="B939" t="s">
        <v>292</v>
      </c>
      <c r="T939">
        <v>3</v>
      </c>
      <c r="AH939">
        <v>3</v>
      </c>
      <c r="AI939" t="s">
        <v>455</v>
      </c>
    </row>
    <row r="940" spans="2:35">
      <c r="B940" t="s">
        <v>112</v>
      </c>
      <c r="T940">
        <v>1</v>
      </c>
      <c r="AH940">
        <v>1</v>
      </c>
      <c r="AI940" t="s">
        <v>455</v>
      </c>
    </row>
    <row r="941" spans="2:35">
      <c r="B941" t="s">
        <v>198</v>
      </c>
      <c r="S941">
        <v>3</v>
      </c>
      <c r="AH941">
        <v>3</v>
      </c>
      <c r="AI941" t="s">
        <v>455</v>
      </c>
    </row>
    <row r="942" spans="2:35">
      <c r="B942" t="s">
        <v>199</v>
      </c>
      <c r="S942">
        <v>3</v>
      </c>
      <c r="AH942">
        <v>3</v>
      </c>
      <c r="AI942" t="s">
        <v>455</v>
      </c>
    </row>
    <row r="943" spans="2:35">
      <c r="B943" t="s">
        <v>293</v>
      </c>
      <c r="S943">
        <v>1</v>
      </c>
      <c r="AH943">
        <v>1</v>
      </c>
      <c r="AI943" t="s">
        <v>455</v>
      </c>
    </row>
    <row r="944" spans="2:35">
      <c r="B944" t="s">
        <v>110</v>
      </c>
      <c r="S944">
        <v>1</v>
      </c>
      <c r="AH944">
        <v>1</v>
      </c>
      <c r="AI944" t="s">
        <v>455</v>
      </c>
    </row>
    <row r="945" spans="1:35">
      <c r="B945" t="s">
        <v>81</v>
      </c>
      <c r="T945">
        <v>1</v>
      </c>
      <c r="AH945">
        <v>1</v>
      </c>
      <c r="AI945" t="s">
        <v>455</v>
      </c>
    </row>
    <row r="946" spans="1:35">
      <c r="B946" t="s">
        <v>99</v>
      </c>
      <c r="S946">
        <v>1</v>
      </c>
      <c r="AH946">
        <v>1</v>
      </c>
      <c r="AI946" t="s">
        <v>455</v>
      </c>
    </row>
    <row r="947" spans="1:35">
      <c r="B947" t="s">
        <v>201</v>
      </c>
      <c r="S947">
        <v>1</v>
      </c>
      <c r="AH947">
        <v>1</v>
      </c>
      <c r="AI947" t="s">
        <v>455</v>
      </c>
    </row>
    <row r="948" spans="1:35">
      <c r="B948" t="s">
        <v>398</v>
      </c>
      <c r="T948">
        <v>1</v>
      </c>
      <c r="AH948">
        <v>1</v>
      </c>
      <c r="AI948" t="s">
        <v>455</v>
      </c>
    </row>
    <row r="949" spans="1:35">
      <c r="A949" t="s">
        <v>202</v>
      </c>
      <c r="B949" t="s">
        <v>205</v>
      </c>
      <c r="S949">
        <v>143</v>
      </c>
      <c r="T949">
        <v>154</v>
      </c>
      <c r="AH949">
        <v>297</v>
      </c>
      <c r="AI949" t="s">
        <v>455</v>
      </c>
    </row>
    <row r="950" spans="1:35">
      <c r="B950" t="s">
        <v>206</v>
      </c>
      <c r="S950">
        <v>1</v>
      </c>
      <c r="T950">
        <v>1</v>
      </c>
      <c r="AH950">
        <v>2</v>
      </c>
      <c r="AI950" t="s">
        <v>455</v>
      </c>
    </row>
    <row r="951" spans="1:35">
      <c r="B951" t="s">
        <v>207</v>
      </c>
      <c r="T951">
        <v>1</v>
      </c>
      <c r="AH951">
        <v>1</v>
      </c>
      <c r="AI951" t="s">
        <v>455</v>
      </c>
    </row>
    <row r="952" spans="1:35">
      <c r="B952" t="s">
        <v>211</v>
      </c>
      <c r="S952">
        <v>10</v>
      </c>
      <c r="AH952">
        <v>10</v>
      </c>
      <c r="AI952" t="s">
        <v>455</v>
      </c>
    </row>
    <row r="953" spans="1:35">
      <c r="B953" t="s">
        <v>212</v>
      </c>
      <c r="S953">
        <v>10</v>
      </c>
      <c r="AH953">
        <v>10</v>
      </c>
      <c r="AI953" t="s">
        <v>455</v>
      </c>
    </row>
    <row r="954" spans="1:35">
      <c r="B954" t="s">
        <v>213</v>
      </c>
      <c r="S954">
        <v>10</v>
      </c>
      <c r="T954">
        <v>2</v>
      </c>
      <c r="AH954">
        <v>12</v>
      </c>
      <c r="AI954" t="s">
        <v>455</v>
      </c>
    </row>
    <row r="955" spans="1:35">
      <c r="B955" t="s">
        <v>214</v>
      </c>
      <c r="S955">
        <v>12</v>
      </c>
      <c r="T955">
        <v>6</v>
      </c>
      <c r="AH955">
        <v>18</v>
      </c>
      <c r="AI955" t="s">
        <v>455</v>
      </c>
    </row>
    <row r="956" spans="1:35">
      <c r="B956" t="s">
        <v>215</v>
      </c>
      <c r="S956">
        <v>12</v>
      </c>
      <c r="T956">
        <v>6</v>
      </c>
      <c r="AH956">
        <v>18</v>
      </c>
      <c r="AI956" t="s">
        <v>455</v>
      </c>
    </row>
    <row r="957" spans="1:35">
      <c r="B957" t="s">
        <v>218</v>
      </c>
      <c r="S957">
        <v>4</v>
      </c>
      <c r="T957">
        <v>7</v>
      </c>
      <c r="AH957">
        <v>11</v>
      </c>
      <c r="AI957" t="s">
        <v>455</v>
      </c>
    </row>
    <row r="958" spans="1:35">
      <c r="B958" t="s">
        <v>219</v>
      </c>
      <c r="S958">
        <v>10</v>
      </c>
      <c r="AH958">
        <v>10</v>
      </c>
      <c r="AI958" t="s">
        <v>455</v>
      </c>
    </row>
    <row r="959" spans="1:35">
      <c r="B959" t="s">
        <v>269</v>
      </c>
      <c r="S959">
        <v>1</v>
      </c>
      <c r="AH959">
        <v>1</v>
      </c>
      <c r="AI959" t="s">
        <v>455</v>
      </c>
    </row>
    <row r="960" spans="1:35">
      <c r="B960" t="s">
        <v>220</v>
      </c>
      <c r="S960">
        <v>5</v>
      </c>
      <c r="T960">
        <v>6</v>
      </c>
      <c r="AH960">
        <v>11</v>
      </c>
      <c r="AI960" t="s">
        <v>455</v>
      </c>
    </row>
    <row r="961" spans="1:35">
      <c r="B961" t="s">
        <v>221</v>
      </c>
      <c r="S961">
        <v>5</v>
      </c>
      <c r="T961">
        <v>6</v>
      </c>
      <c r="AH961">
        <v>11</v>
      </c>
      <c r="AI961" t="s">
        <v>455</v>
      </c>
    </row>
    <row r="962" spans="1:35">
      <c r="B962" t="s">
        <v>222</v>
      </c>
      <c r="S962">
        <v>142</v>
      </c>
      <c r="T962">
        <v>154</v>
      </c>
      <c r="AH962">
        <v>296</v>
      </c>
      <c r="AI962" t="s">
        <v>455</v>
      </c>
    </row>
    <row r="963" spans="1:35">
      <c r="B963" t="s">
        <v>223</v>
      </c>
      <c r="S963">
        <v>5</v>
      </c>
      <c r="T963">
        <v>6</v>
      </c>
      <c r="AH963">
        <v>11</v>
      </c>
      <c r="AI963" t="s">
        <v>455</v>
      </c>
    </row>
    <row r="964" spans="1:35">
      <c r="B964" t="s">
        <v>224</v>
      </c>
      <c r="T964">
        <v>1</v>
      </c>
      <c r="AH964">
        <v>1</v>
      </c>
      <c r="AI964" t="s">
        <v>455</v>
      </c>
    </row>
    <row r="965" spans="1:35">
      <c r="B965" t="s">
        <v>228</v>
      </c>
      <c r="S965">
        <v>13</v>
      </c>
      <c r="T965">
        <v>6</v>
      </c>
      <c r="AH965">
        <v>19</v>
      </c>
      <c r="AI965" t="s">
        <v>455</v>
      </c>
    </row>
    <row r="966" spans="1:35">
      <c r="B966" t="s">
        <v>230</v>
      </c>
      <c r="S966">
        <v>13</v>
      </c>
      <c r="T966">
        <v>6</v>
      </c>
      <c r="AH966">
        <v>19</v>
      </c>
      <c r="AI966" t="s">
        <v>455</v>
      </c>
    </row>
    <row r="967" spans="1:35">
      <c r="B967" t="s">
        <v>231</v>
      </c>
      <c r="S967">
        <v>5</v>
      </c>
      <c r="T967">
        <v>7</v>
      </c>
      <c r="AH967">
        <v>12</v>
      </c>
      <c r="AI967" t="s">
        <v>455</v>
      </c>
    </row>
    <row r="968" spans="1:35">
      <c r="B968" t="s">
        <v>295</v>
      </c>
      <c r="S968">
        <v>1</v>
      </c>
      <c r="T968">
        <v>1</v>
      </c>
      <c r="AH968">
        <v>2</v>
      </c>
      <c r="AI968" t="s">
        <v>455</v>
      </c>
    </row>
    <row r="969" spans="1:35">
      <c r="B969" t="s">
        <v>232</v>
      </c>
      <c r="S969">
        <v>1</v>
      </c>
      <c r="AH969">
        <v>1</v>
      </c>
      <c r="AI969" t="s">
        <v>455</v>
      </c>
    </row>
    <row r="970" spans="1:35">
      <c r="B970" t="s">
        <v>233</v>
      </c>
      <c r="S970">
        <v>1</v>
      </c>
      <c r="AH970">
        <v>1</v>
      </c>
      <c r="AI970" t="s">
        <v>455</v>
      </c>
    </row>
    <row r="971" spans="1:35">
      <c r="B971" t="s">
        <v>234</v>
      </c>
      <c r="S971">
        <v>1</v>
      </c>
      <c r="AH971">
        <v>1</v>
      </c>
      <c r="AI971" t="s">
        <v>455</v>
      </c>
    </row>
    <row r="972" spans="1:35">
      <c r="B972" t="s">
        <v>235</v>
      </c>
      <c r="S972">
        <v>1</v>
      </c>
      <c r="AH972">
        <v>1</v>
      </c>
      <c r="AI972" t="s">
        <v>455</v>
      </c>
    </row>
    <row r="973" spans="1:35">
      <c r="A973" t="s">
        <v>237</v>
      </c>
      <c r="B973" t="s">
        <v>238</v>
      </c>
      <c r="S973">
        <v>2</v>
      </c>
      <c r="T973">
        <v>2</v>
      </c>
      <c r="AH973">
        <v>4</v>
      </c>
      <c r="AI973" t="s">
        <v>455</v>
      </c>
    </row>
    <row r="974" spans="1:35">
      <c r="B974" t="s">
        <v>272</v>
      </c>
      <c r="S974">
        <v>3</v>
      </c>
      <c r="T974">
        <v>4</v>
      </c>
      <c r="AH974">
        <v>7</v>
      </c>
      <c r="AI974" t="s">
        <v>455</v>
      </c>
    </row>
    <row r="975" spans="1:35">
      <c r="B975" t="s">
        <v>240</v>
      </c>
      <c r="S975">
        <v>4</v>
      </c>
      <c r="T975">
        <v>5</v>
      </c>
      <c r="AH975">
        <v>9</v>
      </c>
      <c r="AI975" t="s">
        <v>455</v>
      </c>
    </row>
    <row r="976" spans="1:35">
      <c r="B976" t="s">
        <v>242</v>
      </c>
      <c r="S976">
        <v>4</v>
      </c>
      <c r="T976">
        <v>8</v>
      </c>
      <c r="AH976">
        <v>12</v>
      </c>
      <c r="AI976" t="s">
        <v>455</v>
      </c>
    </row>
    <row r="977" spans="1:35">
      <c r="B977" t="s">
        <v>271</v>
      </c>
      <c r="S977">
        <v>43</v>
      </c>
      <c r="AH977">
        <v>43</v>
      </c>
      <c r="AI977" t="s">
        <v>455</v>
      </c>
    </row>
    <row r="978" spans="1:35">
      <c r="B978" t="s">
        <v>347</v>
      </c>
      <c r="S978">
        <v>1</v>
      </c>
      <c r="AH978">
        <v>1</v>
      </c>
      <c r="AI978" t="s">
        <v>455</v>
      </c>
    </row>
    <row r="979" spans="1:35">
      <c r="B979" t="s">
        <v>239</v>
      </c>
      <c r="S979">
        <v>4</v>
      </c>
      <c r="AH979">
        <v>4</v>
      </c>
      <c r="AI979" t="s">
        <v>455</v>
      </c>
    </row>
    <row r="980" spans="1:35">
      <c r="B980" t="s">
        <v>273</v>
      </c>
      <c r="S980">
        <v>1</v>
      </c>
      <c r="AH980">
        <v>1</v>
      </c>
      <c r="AI980" t="s">
        <v>455</v>
      </c>
    </row>
    <row r="981" spans="1:35">
      <c r="B981" t="s">
        <v>274</v>
      </c>
      <c r="S981">
        <v>2</v>
      </c>
      <c r="AH981">
        <v>2</v>
      </c>
      <c r="AI981" t="s">
        <v>455</v>
      </c>
    </row>
    <row r="982" spans="1:35">
      <c r="B982" t="s">
        <v>437</v>
      </c>
      <c r="T982">
        <v>1</v>
      </c>
      <c r="AH982">
        <v>1</v>
      </c>
      <c r="AI982" t="s">
        <v>455</v>
      </c>
    </row>
    <row r="983" spans="1:35">
      <c r="B983" t="s">
        <v>245</v>
      </c>
      <c r="T983">
        <v>1</v>
      </c>
      <c r="AH983">
        <v>1</v>
      </c>
      <c r="AI983" t="s">
        <v>455</v>
      </c>
    </row>
    <row r="984" spans="1:35">
      <c r="A984" t="s">
        <v>248</v>
      </c>
      <c r="B984" t="s">
        <v>108</v>
      </c>
      <c r="S984">
        <v>1</v>
      </c>
      <c r="T984">
        <v>5</v>
      </c>
      <c r="AH984">
        <v>6</v>
      </c>
      <c r="AI984" t="s">
        <v>455</v>
      </c>
    </row>
    <row r="985" spans="1:35">
      <c r="B985" t="s">
        <v>129</v>
      </c>
      <c r="S985">
        <v>2</v>
      </c>
      <c r="T985">
        <v>2</v>
      </c>
      <c r="AH985">
        <v>4</v>
      </c>
      <c r="AI985" t="s">
        <v>455</v>
      </c>
    </row>
    <row r="986" spans="1:35">
      <c r="B986" t="s">
        <v>249</v>
      </c>
      <c r="S986">
        <v>4</v>
      </c>
      <c r="T986">
        <v>4</v>
      </c>
      <c r="AH986">
        <v>8</v>
      </c>
      <c r="AI986" t="s">
        <v>455</v>
      </c>
    </row>
    <row r="987" spans="1:35">
      <c r="B987" t="s">
        <v>130</v>
      </c>
      <c r="S987">
        <v>1</v>
      </c>
      <c r="AH987">
        <v>1</v>
      </c>
      <c r="AI987" t="s">
        <v>455</v>
      </c>
    </row>
    <row r="988" spans="1:35">
      <c r="B988" t="s">
        <v>118</v>
      </c>
      <c r="T988">
        <v>2</v>
      </c>
      <c r="AH988">
        <v>2</v>
      </c>
      <c r="AI988" t="s">
        <v>455</v>
      </c>
    </row>
    <row r="989" spans="1:35">
      <c r="B989" t="s">
        <v>104</v>
      </c>
      <c r="S989">
        <v>1</v>
      </c>
      <c r="AH989">
        <v>1</v>
      </c>
      <c r="AI989" t="s">
        <v>455</v>
      </c>
    </row>
    <row r="990" spans="1:35">
      <c r="B990" t="s">
        <v>103</v>
      </c>
      <c r="S990">
        <v>2</v>
      </c>
      <c r="AH990">
        <v>2</v>
      </c>
      <c r="AI990" t="s">
        <v>455</v>
      </c>
    </row>
    <row r="991" spans="1:35">
      <c r="B991" t="s">
        <v>113</v>
      </c>
      <c r="S991">
        <v>1</v>
      </c>
      <c r="AH991">
        <v>1</v>
      </c>
      <c r="AI991" t="s">
        <v>455</v>
      </c>
    </row>
    <row r="992" spans="1:35">
      <c r="B992" t="s">
        <v>114</v>
      </c>
      <c r="S992">
        <v>1</v>
      </c>
      <c r="AH992">
        <v>1</v>
      </c>
      <c r="AI992" t="s">
        <v>455</v>
      </c>
    </row>
    <row r="993" spans="1:35">
      <c r="B993" t="s">
        <v>102</v>
      </c>
      <c r="S993">
        <v>4</v>
      </c>
      <c r="AH993">
        <v>4</v>
      </c>
      <c r="AI993" t="s">
        <v>455</v>
      </c>
    </row>
    <row r="994" spans="1:35">
      <c r="B994" t="s">
        <v>107</v>
      </c>
      <c r="T994">
        <v>1</v>
      </c>
      <c r="AH994">
        <v>1</v>
      </c>
      <c r="AI994" t="s">
        <v>455</v>
      </c>
    </row>
    <row r="995" spans="1:35">
      <c r="B995" t="s">
        <v>105</v>
      </c>
      <c r="T995">
        <v>1</v>
      </c>
      <c r="AH995">
        <v>1</v>
      </c>
      <c r="AI995" t="s">
        <v>455</v>
      </c>
    </row>
    <row r="996" spans="1:35">
      <c r="B996" t="s">
        <v>106</v>
      </c>
      <c r="T996">
        <v>1</v>
      </c>
      <c r="AH996">
        <v>1</v>
      </c>
      <c r="AI996" t="s">
        <v>455</v>
      </c>
    </row>
    <row r="997" spans="1:35">
      <c r="A997" t="s">
        <v>250</v>
      </c>
      <c r="B997" t="s">
        <v>321</v>
      </c>
      <c r="S997">
        <v>1</v>
      </c>
      <c r="T997">
        <v>1</v>
      </c>
      <c r="AH997">
        <v>2</v>
      </c>
      <c r="AI997" t="s">
        <v>455</v>
      </c>
    </row>
    <row r="998" spans="1:35">
      <c r="B998" t="s">
        <v>251</v>
      </c>
      <c r="S998">
        <v>11</v>
      </c>
      <c r="T998">
        <v>1</v>
      </c>
      <c r="AH998">
        <v>12</v>
      </c>
      <c r="AI998" t="s">
        <v>455</v>
      </c>
    </row>
    <row r="999" spans="1:35">
      <c r="A999" t="s">
        <v>253</v>
      </c>
      <c r="B999" t="s">
        <v>74</v>
      </c>
      <c r="S999">
        <v>1</v>
      </c>
      <c r="AH999">
        <v>1</v>
      </c>
      <c r="AI999" t="s">
        <v>455</v>
      </c>
    </row>
    <row r="1000" spans="1:35">
      <c r="A1000" t="s">
        <v>256</v>
      </c>
      <c r="B1000" t="s">
        <v>304</v>
      </c>
      <c r="T1000">
        <v>1</v>
      </c>
      <c r="AH1000">
        <v>1</v>
      </c>
      <c r="AI1000" t="s">
        <v>455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891"/>
  <sheetViews>
    <sheetView topLeftCell="A43" workbookViewId="0"/>
  </sheetViews>
  <sheetFormatPr defaultColWidth="9" defaultRowHeight="12.75"/>
  <cols>
    <col min="1" max="1" width="25.5703125" customWidth="1"/>
    <col min="2" max="2" width="34.140625" customWidth="1"/>
    <col min="3" max="11" width="4.28515625" customWidth="1"/>
    <col min="12" max="33" width="5.28515625" customWidth="1"/>
    <col min="34" max="34" width="7.85546875" customWidth="1"/>
    <col min="35" max="35" width="13.85546875" customWidth="1"/>
  </cols>
  <sheetData>
    <row r="1" spans="1:35">
      <c r="A1" t="s">
        <v>172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173</v>
      </c>
    </row>
    <row r="2" spans="1:35">
      <c r="A2" t="s">
        <v>174</v>
      </c>
      <c r="B2" t="s">
        <v>175</v>
      </c>
      <c r="D2">
        <v>3</v>
      </c>
      <c r="E2">
        <v>4</v>
      </c>
      <c r="F2">
        <v>7</v>
      </c>
      <c r="G2">
        <v>3</v>
      </c>
      <c r="H2">
        <v>3</v>
      </c>
      <c r="J2">
        <v>2</v>
      </c>
      <c r="M2">
        <v>2</v>
      </c>
      <c r="N2">
        <v>3</v>
      </c>
      <c r="O2">
        <v>1</v>
      </c>
      <c r="AH2">
        <v>28</v>
      </c>
      <c r="AI2" t="s">
        <v>359</v>
      </c>
    </row>
    <row r="3" spans="1:35">
      <c r="B3" t="s">
        <v>259</v>
      </c>
      <c r="D3">
        <v>1</v>
      </c>
      <c r="F3">
        <v>1</v>
      </c>
      <c r="L3">
        <v>1</v>
      </c>
      <c r="M3">
        <v>3</v>
      </c>
      <c r="Q3">
        <v>1</v>
      </c>
      <c r="AH3">
        <v>7</v>
      </c>
      <c r="AI3" t="s">
        <v>359</v>
      </c>
    </row>
    <row r="4" spans="1:35">
      <c r="B4" t="s">
        <v>177</v>
      </c>
      <c r="D4">
        <v>4</v>
      </c>
      <c r="H4">
        <v>1</v>
      </c>
      <c r="J4">
        <v>3</v>
      </c>
      <c r="N4">
        <v>4</v>
      </c>
      <c r="Q4">
        <v>3</v>
      </c>
      <c r="AH4">
        <v>15</v>
      </c>
      <c r="AI4" t="s">
        <v>359</v>
      </c>
    </row>
    <row r="5" spans="1:35">
      <c r="B5" t="s">
        <v>324</v>
      </c>
      <c r="K5">
        <v>1</v>
      </c>
      <c r="O5">
        <v>1</v>
      </c>
      <c r="AH5">
        <v>2</v>
      </c>
      <c r="AI5" t="s">
        <v>359</v>
      </c>
    </row>
    <row r="6" spans="1:35">
      <c r="B6" t="s">
        <v>360</v>
      </c>
      <c r="Q6">
        <v>1</v>
      </c>
      <c r="AH6">
        <v>1</v>
      </c>
      <c r="AI6" t="s">
        <v>359</v>
      </c>
    </row>
    <row r="7" spans="1:35">
      <c r="B7" t="s">
        <v>178</v>
      </c>
      <c r="D7">
        <v>3</v>
      </c>
      <c r="E7">
        <v>1</v>
      </c>
      <c r="F7">
        <v>1</v>
      </c>
      <c r="H7">
        <v>3</v>
      </c>
      <c r="J7">
        <v>3</v>
      </c>
      <c r="N7">
        <v>8</v>
      </c>
      <c r="O7">
        <v>1</v>
      </c>
      <c r="Q7">
        <v>2</v>
      </c>
      <c r="AH7">
        <v>22</v>
      </c>
      <c r="AI7" t="s">
        <v>359</v>
      </c>
    </row>
    <row r="8" spans="1:35">
      <c r="B8" t="s">
        <v>179</v>
      </c>
      <c r="D8">
        <v>2</v>
      </c>
      <c r="F8">
        <v>2</v>
      </c>
      <c r="H8">
        <v>1</v>
      </c>
      <c r="K8">
        <v>12</v>
      </c>
      <c r="L8">
        <v>13</v>
      </c>
      <c r="M8">
        <v>10</v>
      </c>
      <c r="N8">
        <v>28</v>
      </c>
      <c r="O8">
        <v>1</v>
      </c>
      <c r="Q8">
        <v>22</v>
      </c>
      <c r="AH8">
        <v>91</v>
      </c>
      <c r="AI8" t="s">
        <v>359</v>
      </c>
    </row>
    <row r="9" spans="1:35">
      <c r="B9" t="s">
        <v>260</v>
      </c>
      <c r="Q9">
        <v>2</v>
      </c>
      <c r="AH9">
        <v>2</v>
      </c>
      <c r="AI9" t="s">
        <v>359</v>
      </c>
    </row>
    <row r="10" spans="1:35">
      <c r="B10" t="s">
        <v>277</v>
      </c>
      <c r="G10">
        <v>1</v>
      </c>
      <c r="AH10">
        <v>1</v>
      </c>
      <c r="AI10" t="s">
        <v>359</v>
      </c>
    </row>
    <row r="11" spans="1:35">
      <c r="B11" t="s">
        <v>180</v>
      </c>
      <c r="F11">
        <v>2</v>
      </c>
      <c r="H11">
        <v>1</v>
      </c>
      <c r="O11">
        <v>1</v>
      </c>
      <c r="AH11">
        <v>4</v>
      </c>
      <c r="AI11" t="s">
        <v>359</v>
      </c>
    </row>
    <row r="12" spans="1:35">
      <c r="B12" t="s">
        <v>361</v>
      </c>
      <c r="F12">
        <v>1</v>
      </c>
      <c r="AH12">
        <v>1</v>
      </c>
      <c r="AI12" t="s">
        <v>359</v>
      </c>
    </row>
    <row r="13" spans="1:35">
      <c r="B13" t="s">
        <v>261</v>
      </c>
      <c r="D13">
        <v>1</v>
      </c>
      <c r="J13">
        <v>2</v>
      </c>
      <c r="L13">
        <v>1</v>
      </c>
      <c r="M13">
        <v>1</v>
      </c>
      <c r="Q13">
        <v>1</v>
      </c>
      <c r="AH13">
        <v>6</v>
      </c>
      <c r="AI13" t="s">
        <v>359</v>
      </c>
    </row>
    <row r="14" spans="1:35">
      <c r="B14" t="s">
        <v>262</v>
      </c>
      <c r="D14">
        <v>1</v>
      </c>
      <c r="L14">
        <v>1</v>
      </c>
      <c r="M14">
        <v>1</v>
      </c>
      <c r="Q14">
        <v>1</v>
      </c>
      <c r="AH14">
        <v>4</v>
      </c>
      <c r="AI14" t="s">
        <v>359</v>
      </c>
    </row>
    <row r="15" spans="1:35">
      <c r="B15" t="s">
        <v>362</v>
      </c>
      <c r="D15">
        <v>1</v>
      </c>
      <c r="J15">
        <v>1</v>
      </c>
      <c r="AH15">
        <v>2</v>
      </c>
      <c r="AI15" t="s">
        <v>359</v>
      </c>
    </row>
    <row r="16" spans="1:35">
      <c r="B16" t="s">
        <v>181</v>
      </c>
      <c r="D16">
        <v>7</v>
      </c>
      <c r="E16">
        <v>3</v>
      </c>
      <c r="F16">
        <v>8</v>
      </c>
      <c r="G16">
        <v>7</v>
      </c>
      <c r="H16">
        <v>2</v>
      </c>
      <c r="J16">
        <v>10</v>
      </c>
      <c r="K16">
        <v>4</v>
      </c>
      <c r="L16">
        <v>3</v>
      </c>
      <c r="M16">
        <v>3</v>
      </c>
      <c r="N16">
        <v>5</v>
      </c>
      <c r="O16">
        <v>4</v>
      </c>
      <c r="Q16">
        <v>5</v>
      </c>
      <c r="AH16">
        <v>61</v>
      </c>
      <c r="AI16" t="s">
        <v>359</v>
      </c>
    </row>
    <row r="17" spans="1:35">
      <c r="B17" t="s">
        <v>111</v>
      </c>
      <c r="D17">
        <v>2</v>
      </c>
      <c r="H17">
        <v>3</v>
      </c>
      <c r="J17">
        <v>1</v>
      </c>
      <c r="K17">
        <v>1</v>
      </c>
      <c r="L17">
        <v>1</v>
      </c>
      <c r="M17">
        <v>2</v>
      </c>
      <c r="O17">
        <v>3</v>
      </c>
      <c r="Q17">
        <v>3</v>
      </c>
      <c r="AH17">
        <v>16</v>
      </c>
      <c r="AI17" t="s">
        <v>359</v>
      </c>
    </row>
    <row r="18" spans="1:35">
      <c r="B18" t="s">
        <v>182</v>
      </c>
      <c r="D18">
        <v>5</v>
      </c>
      <c r="E18">
        <v>4</v>
      </c>
      <c r="F18">
        <v>7</v>
      </c>
      <c r="G18">
        <v>3</v>
      </c>
      <c r="H18">
        <v>4</v>
      </c>
      <c r="J18">
        <v>2</v>
      </c>
      <c r="K18">
        <v>1</v>
      </c>
      <c r="L18">
        <v>1</v>
      </c>
      <c r="M18">
        <v>3</v>
      </c>
      <c r="N18">
        <v>3</v>
      </c>
      <c r="O18">
        <v>1</v>
      </c>
      <c r="AH18">
        <v>34</v>
      </c>
      <c r="AI18" t="s">
        <v>359</v>
      </c>
    </row>
    <row r="19" spans="1:35">
      <c r="B19" t="s">
        <v>183</v>
      </c>
      <c r="D19">
        <v>3</v>
      </c>
      <c r="E19">
        <v>4</v>
      </c>
      <c r="F19">
        <v>7</v>
      </c>
      <c r="G19">
        <v>3</v>
      </c>
      <c r="H19">
        <v>3</v>
      </c>
      <c r="J19">
        <v>2</v>
      </c>
      <c r="M19">
        <v>2</v>
      </c>
      <c r="N19">
        <v>3</v>
      </c>
      <c r="O19">
        <v>1</v>
      </c>
      <c r="AH19">
        <v>28</v>
      </c>
      <c r="AI19" t="s">
        <v>359</v>
      </c>
    </row>
    <row r="20" spans="1:35">
      <c r="B20" t="s">
        <v>184</v>
      </c>
      <c r="E20">
        <v>1</v>
      </c>
      <c r="G20">
        <v>1</v>
      </c>
      <c r="Q20">
        <v>1</v>
      </c>
      <c r="AH20">
        <v>3</v>
      </c>
      <c r="AI20" t="s">
        <v>359</v>
      </c>
    </row>
    <row r="21" spans="1:35">
      <c r="A21" t="s">
        <v>185</v>
      </c>
      <c r="B21" t="s">
        <v>363</v>
      </c>
      <c r="Q21">
        <v>1</v>
      </c>
      <c r="AH21">
        <v>1</v>
      </c>
      <c r="AI21" t="s">
        <v>359</v>
      </c>
    </row>
    <row r="22" spans="1:35">
      <c r="B22" t="s">
        <v>186</v>
      </c>
      <c r="D22">
        <v>4</v>
      </c>
      <c r="H22">
        <v>1</v>
      </c>
      <c r="J22">
        <v>2</v>
      </c>
      <c r="N22">
        <v>5</v>
      </c>
      <c r="Q22">
        <v>40</v>
      </c>
      <c r="AH22">
        <v>52</v>
      </c>
      <c r="AI22" t="s">
        <v>359</v>
      </c>
    </row>
    <row r="23" spans="1:35">
      <c r="B23" t="s">
        <v>187</v>
      </c>
      <c r="D23">
        <v>4</v>
      </c>
      <c r="H23">
        <v>1</v>
      </c>
      <c r="J23">
        <v>2</v>
      </c>
      <c r="N23">
        <v>5</v>
      </c>
      <c r="Q23">
        <v>40</v>
      </c>
      <c r="AH23">
        <v>52</v>
      </c>
      <c r="AI23" t="s">
        <v>359</v>
      </c>
    </row>
    <row r="24" spans="1:35">
      <c r="B24" t="s">
        <v>364</v>
      </c>
      <c r="L24">
        <v>1</v>
      </c>
      <c r="AH24">
        <v>1</v>
      </c>
      <c r="AI24" t="s">
        <v>359</v>
      </c>
    </row>
    <row r="25" spans="1:35">
      <c r="B25" t="s">
        <v>278</v>
      </c>
      <c r="F25">
        <v>2</v>
      </c>
      <c r="G25">
        <v>1</v>
      </c>
      <c r="J25">
        <v>1</v>
      </c>
      <c r="O25">
        <v>2</v>
      </c>
      <c r="AH25">
        <v>6</v>
      </c>
      <c r="AI25" t="s">
        <v>359</v>
      </c>
    </row>
    <row r="26" spans="1:35">
      <c r="B26" t="s">
        <v>279</v>
      </c>
      <c r="F26">
        <v>2</v>
      </c>
      <c r="N26">
        <v>1</v>
      </c>
      <c r="AH26">
        <v>3</v>
      </c>
      <c r="AI26" t="s">
        <v>359</v>
      </c>
    </row>
    <row r="27" spans="1:35">
      <c r="A27" t="s">
        <v>188</v>
      </c>
      <c r="B27" t="s">
        <v>189</v>
      </c>
      <c r="D27">
        <v>5</v>
      </c>
      <c r="E27">
        <v>2</v>
      </c>
      <c r="F27">
        <v>1</v>
      </c>
      <c r="G27">
        <v>1</v>
      </c>
      <c r="H27">
        <v>1</v>
      </c>
      <c r="J27">
        <v>2</v>
      </c>
      <c r="K27">
        <v>1</v>
      </c>
      <c r="L27">
        <v>1</v>
      </c>
      <c r="M27">
        <v>1</v>
      </c>
      <c r="N27">
        <v>5</v>
      </c>
      <c r="O27">
        <v>2</v>
      </c>
      <c r="Q27">
        <v>3</v>
      </c>
      <c r="AH27">
        <v>25</v>
      </c>
      <c r="AI27" t="s">
        <v>359</v>
      </c>
    </row>
    <row r="28" spans="1:35">
      <c r="B28" t="s">
        <v>265</v>
      </c>
      <c r="D28">
        <v>2</v>
      </c>
      <c r="E28">
        <v>2</v>
      </c>
      <c r="F28">
        <v>2</v>
      </c>
      <c r="G28">
        <v>2</v>
      </c>
      <c r="H28">
        <v>3</v>
      </c>
      <c r="J28">
        <v>5</v>
      </c>
      <c r="K28">
        <v>4</v>
      </c>
      <c r="L28">
        <v>1</v>
      </c>
      <c r="M28">
        <v>3</v>
      </c>
      <c r="N28">
        <v>1</v>
      </c>
      <c r="O28">
        <v>1</v>
      </c>
      <c r="Q28">
        <v>3</v>
      </c>
      <c r="AH28">
        <v>29</v>
      </c>
      <c r="AI28" t="s">
        <v>359</v>
      </c>
    </row>
    <row r="29" spans="1:35">
      <c r="B29" t="s">
        <v>340</v>
      </c>
      <c r="F29">
        <v>1</v>
      </c>
      <c r="G29">
        <v>1</v>
      </c>
      <c r="AH29">
        <v>2</v>
      </c>
      <c r="AI29" t="s">
        <v>359</v>
      </c>
    </row>
    <row r="30" spans="1:35">
      <c r="B30" t="s">
        <v>365</v>
      </c>
      <c r="G30">
        <v>1</v>
      </c>
      <c r="AH30">
        <v>1</v>
      </c>
      <c r="AI30" t="s">
        <v>359</v>
      </c>
    </row>
    <row r="31" spans="1:35">
      <c r="B31" t="s">
        <v>325</v>
      </c>
      <c r="D31">
        <v>1</v>
      </c>
      <c r="F31">
        <v>1</v>
      </c>
      <c r="L31">
        <v>1</v>
      </c>
      <c r="N31">
        <v>1</v>
      </c>
      <c r="AH31">
        <v>4</v>
      </c>
      <c r="AI31" t="s">
        <v>359</v>
      </c>
    </row>
    <row r="32" spans="1:35">
      <c r="B32" t="s">
        <v>366</v>
      </c>
      <c r="F32">
        <v>1</v>
      </c>
      <c r="K32">
        <v>1</v>
      </c>
      <c r="AH32">
        <v>2</v>
      </c>
      <c r="AI32" t="s">
        <v>359</v>
      </c>
    </row>
    <row r="33" spans="2:35">
      <c r="B33" t="s">
        <v>310</v>
      </c>
      <c r="F33">
        <v>2</v>
      </c>
      <c r="H33">
        <v>1</v>
      </c>
      <c r="J33">
        <v>1</v>
      </c>
      <c r="AH33">
        <v>4</v>
      </c>
      <c r="AI33" t="s">
        <v>359</v>
      </c>
    </row>
    <row r="34" spans="2:35">
      <c r="B34" t="s">
        <v>287</v>
      </c>
      <c r="F34">
        <v>1</v>
      </c>
      <c r="J34">
        <v>1</v>
      </c>
      <c r="AH34">
        <v>2</v>
      </c>
      <c r="AI34" t="s">
        <v>359</v>
      </c>
    </row>
    <row r="35" spans="2:35">
      <c r="B35" t="s">
        <v>339</v>
      </c>
      <c r="F35">
        <v>1</v>
      </c>
      <c r="H35">
        <v>1</v>
      </c>
      <c r="AH35">
        <v>2</v>
      </c>
      <c r="AI35" t="s">
        <v>359</v>
      </c>
    </row>
    <row r="36" spans="2:35">
      <c r="B36" t="s">
        <v>367</v>
      </c>
      <c r="E36">
        <v>1</v>
      </c>
      <c r="AH36">
        <v>1</v>
      </c>
      <c r="AI36" t="s">
        <v>359</v>
      </c>
    </row>
    <row r="37" spans="2:35">
      <c r="B37" t="s">
        <v>190</v>
      </c>
      <c r="D37">
        <v>2</v>
      </c>
      <c r="J37">
        <v>1</v>
      </c>
      <c r="K37">
        <v>2</v>
      </c>
      <c r="L37">
        <v>1</v>
      </c>
      <c r="M37">
        <v>1</v>
      </c>
      <c r="N37">
        <v>1</v>
      </c>
      <c r="O37">
        <v>2</v>
      </c>
      <c r="AH37">
        <v>10</v>
      </c>
      <c r="AI37" t="s">
        <v>359</v>
      </c>
    </row>
    <row r="38" spans="2:35">
      <c r="B38" t="s">
        <v>308</v>
      </c>
      <c r="D38">
        <v>1</v>
      </c>
      <c r="AH38">
        <v>1</v>
      </c>
      <c r="AI38" t="s">
        <v>359</v>
      </c>
    </row>
    <row r="39" spans="2:35">
      <c r="B39" t="s">
        <v>368</v>
      </c>
      <c r="H39">
        <v>1</v>
      </c>
      <c r="K39">
        <v>1</v>
      </c>
      <c r="AH39">
        <v>2</v>
      </c>
      <c r="AI39" t="s">
        <v>359</v>
      </c>
    </row>
    <row r="40" spans="2:35">
      <c r="B40" t="s">
        <v>341</v>
      </c>
      <c r="K40">
        <v>1</v>
      </c>
      <c r="AH40">
        <v>1</v>
      </c>
      <c r="AI40" t="s">
        <v>359</v>
      </c>
    </row>
    <row r="41" spans="2:35">
      <c r="B41" t="s">
        <v>191</v>
      </c>
      <c r="J41">
        <v>1</v>
      </c>
      <c r="AH41">
        <v>1</v>
      </c>
      <c r="AI41" t="s">
        <v>359</v>
      </c>
    </row>
    <row r="42" spans="2:35">
      <c r="B42" t="s">
        <v>131</v>
      </c>
      <c r="N42">
        <v>1</v>
      </c>
      <c r="AH42">
        <v>1</v>
      </c>
      <c r="AI42" t="s">
        <v>359</v>
      </c>
    </row>
    <row r="43" spans="2:35">
      <c r="B43" t="s">
        <v>369</v>
      </c>
      <c r="M43">
        <v>1</v>
      </c>
      <c r="AH43">
        <v>1</v>
      </c>
      <c r="AI43" t="s">
        <v>359</v>
      </c>
    </row>
    <row r="44" spans="2:35">
      <c r="B44" t="s">
        <v>192</v>
      </c>
      <c r="E44">
        <v>1</v>
      </c>
      <c r="H44">
        <v>1</v>
      </c>
      <c r="J44">
        <v>1</v>
      </c>
      <c r="L44">
        <v>2</v>
      </c>
      <c r="N44">
        <v>1</v>
      </c>
      <c r="O44">
        <v>3</v>
      </c>
      <c r="AH44">
        <v>9</v>
      </c>
      <c r="AI44" t="s">
        <v>359</v>
      </c>
    </row>
    <row r="45" spans="2:35">
      <c r="B45" t="s">
        <v>193</v>
      </c>
      <c r="E45">
        <v>1</v>
      </c>
      <c r="F45">
        <v>2</v>
      </c>
      <c r="G45">
        <v>2</v>
      </c>
      <c r="H45">
        <v>1</v>
      </c>
      <c r="J45">
        <v>4</v>
      </c>
      <c r="K45">
        <v>1</v>
      </c>
      <c r="L45">
        <v>3</v>
      </c>
      <c r="M45">
        <v>1</v>
      </c>
      <c r="N45">
        <v>4</v>
      </c>
      <c r="O45">
        <v>2</v>
      </c>
      <c r="AH45">
        <v>21</v>
      </c>
      <c r="AI45" t="s">
        <v>359</v>
      </c>
    </row>
    <row r="46" spans="2:35">
      <c r="B46" t="s">
        <v>370</v>
      </c>
      <c r="M46">
        <v>1</v>
      </c>
      <c r="AH46">
        <v>1</v>
      </c>
      <c r="AI46" t="s">
        <v>359</v>
      </c>
    </row>
    <row r="47" spans="2:35">
      <c r="B47" t="s">
        <v>288</v>
      </c>
      <c r="F47">
        <v>2</v>
      </c>
      <c r="AH47">
        <v>2</v>
      </c>
      <c r="AI47" t="s">
        <v>359</v>
      </c>
    </row>
    <row r="48" spans="2:35">
      <c r="B48" t="s">
        <v>121</v>
      </c>
      <c r="E48">
        <v>1</v>
      </c>
      <c r="F48">
        <v>2</v>
      </c>
      <c r="H48">
        <v>2</v>
      </c>
      <c r="J48">
        <v>2</v>
      </c>
      <c r="K48">
        <v>1</v>
      </c>
      <c r="O48">
        <v>1</v>
      </c>
      <c r="AH48">
        <v>9</v>
      </c>
      <c r="AI48" t="s">
        <v>359</v>
      </c>
    </row>
    <row r="49" spans="2:35">
      <c r="B49" t="s">
        <v>194</v>
      </c>
      <c r="E49">
        <v>1</v>
      </c>
      <c r="AH49">
        <v>1</v>
      </c>
      <c r="AI49" t="s">
        <v>359</v>
      </c>
    </row>
    <row r="50" spans="2:35">
      <c r="B50" t="s">
        <v>266</v>
      </c>
      <c r="F50">
        <v>1</v>
      </c>
      <c r="H50">
        <v>2</v>
      </c>
      <c r="Q50">
        <v>5</v>
      </c>
      <c r="AH50">
        <v>8</v>
      </c>
      <c r="AI50" t="s">
        <v>359</v>
      </c>
    </row>
    <row r="51" spans="2:35">
      <c r="B51" t="s">
        <v>132</v>
      </c>
      <c r="H51">
        <v>1</v>
      </c>
      <c r="K51">
        <v>1</v>
      </c>
      <c r="AH51">
        <v>2</v>
      </c>
      <c r="AI51" t="s">
        <v>359</v>
      </c>
    </row>
    <row r="52" spans="2:35">
      <c r="B52" t="s">
        <v>344</v>
      </c>
      <c r="F52">
        <v>2</v>
      </c>
      <c r="O52">
        <v>1</v>
      </c>
      <c r="AH52">
        <v>3</v>
      </c>
      <c r="AI52" t="s">
        <v>359</v>
      </c>
    </row>
    <row r="53" spans="2:35">
      <c r="B53" t="s">
        <v>345</v>
      </c>
      <c r="E53">
        <v>1</v>
      </c>
      <c r="G53">
        <v>1</v>
      </c>
      <c r="H53">
        <v>1</v>
      </c>
      <c r="AH53">
        <v>3</v>
      </c>
      <c r="AI53" t="s">
        <v>359</v>
      </c>
    </row>
    <row r="54" spans="2:35">
      <c r="B54" t="s">
        <v>267</v>
      </c>
      <c r="D54">
        <v>1</v>
      </c>
      <c r="G54">
        <v>1</v>
      </c>
      <c r="K54">
        <v>1</v>
      </c>
      <c r="L54">
        <v>1</v>
      </c>
      <c r="M54">
        <v>1</v>
      </c>
      <c r="Q54">
        <v>1</v>
      </c>
      <c r="AH54">
        <v>6</v>
      </c>
      <c r="AI54" t="s">
        <v>359</v>
      </c>
    </row>
    <row r="55" spans="2:35">
      <c r="B55" t="s">
        <v>116</v>
      </c>
      <c r="N55">
        <v>2</v>
      </c>
      <c r="Q55">
        <v>1</v>
      </c>
      <c r="AH55">
        <v>3</v>
      </c>
      <c r="AI55" t="s">
        <v>359</v>
      </c>
    </row>
    <row r="56" spans="2:35">
      <c r="B56" t="s">
        <v>128</v>
      </c>
      <c r="D56">
        <v>2</v>
      </c>
      <c r="F56">
        <v>1</v>
      </c>
      <c r="L56">
        <v>1</v>
      </c>
      <c r="O56">
        <v>1</v>
      </c>
      <c r="Q56">
        <v>1</v>
      </c>
      <c r="AH56">
        <v>6</v>
      </c>
      <c r="AI56" t="s">
        <v>359</v>
      </c>
    </row>
    <row r="57" spans="2:35">
      <c r="B57" t="s">
        <v>195</v>
      </c>
      <c r="D57">
        <v>1</v>
      </c>
      <c r="E57">
        <v>2</v>
      </c>
      <c r="F57">
        <v>3</v>
      </c>
      <c r="G57">
        <v>1</v>
      </c>
      <c r="H57">
        <v>4</v>
      </c>
      <c r="J57">
        <v>1</v>
      </c>
      <c r="K57">
        <v>2</v>
      </c>
      <c r="L57">
        <v>1</v>
      </c>
      <c r="AH57">
        <v>15</v>
      </c>
      <c r="AI57" t="s">
        <v>359</v>
      </c>
    </row>
    <row r="58" spans="2:35">
      <c r="B58" t="s">
        <v>289</v>
      </c>
      <c r="D58">
        <v>2</v>
      </c>
      <c r="F58">
        <v>2</v>
      </c>
      <c r="G58">
        <v>1</v>
      </c>
      <c r="H58">
        <v>2</v>
      </c>
      <c r="J58">
        <v>1</v>
      </c>
      <c r="L58">
        <v>1</v>
      </c>
      <c r="Q58">
        <v>1</v>
      </c>
      <c r="AH58">
        <v>10</v>
      </c>
      <c r="AI58" t="s">
        <v>359</v>
      </c>
    </row>
    <row r="59" spans="2:35">
      <c r="B59" t="s">
        <v>268</v>
      </c>
      <c r="E59">
        <v>1</v>
      </c>
      <c r="F59">
        <v>3</v>
      </c>
      <c r="G59">
        <v>3</v>
      </c>
      <c r="H59">
        <v>2</v>
      </c>
      <c r="K59">
        <v>3</v>
      </c>
      <c r="O59">
        <v>1</v>
      </c>
      <c r="AH59">
        <v>13</v>
      </c>
      <c r="AI59" t="s">
        <v>359</v>
      </c>
    </row>
    <row r="60" spans="2:35">
      <c r="B60" t="s">
        <v>290</v>
      </c>
      <c r="G60">
        <v>1</v>
      </c>
      <c r="J60">
        <v>1</v>
      </c>
      <c r="Q60">
        <v>1</v>
      </c>
      <c r="AH60">
        <v>3</v>
      </c>
      <c r="AI60" t="s">
        <v>359</v>
      </c>
    </row>
    <row r="61" spans="2:35">
      <c r="B61" t="s">
        <v>312</v>
      </c>
      <c r="J61">
        <v>1</v>
      </c>
      <c r="AH61">
        <v>1</v>
      </c>
      <c r="AI61" t="s">
        <v>359</v>
      </c>
    </row>
    <row r="62" spans="2:35">
      <c r="B62" t="s">
        <v>313</v>
      </c>
      <c r="G62">
        <v>1</v>
      </c>
      <c r="H62">
        <v>1</v>
      </c>
      <c r="J62">
        <v>1</v>
      </c>
      <c r="K62">
        <v>2</v>
      </c>
      <c r="L62">
        <v>1</v>
      </c>
      <c r="AH62">
        <v>6</v>
      </c>
      <c r="AI62" t="s">
        <v>359</v>
      </c>
    </row>
    <row r="63" spans="2:35">
      <c r="B63" t="s">
        <v>291</v>
      </c>
      <c r="G63">
        <v>1</v>
      </c>
      <c r="L63">
        <v>1</v>
      </c>
      <c r="Q63">
        <v>1</v>
      </c>
      <c r="AH63">
        <v>3</v>
      </c>
      <c r="AI63" t="s">
        <v>359</v>
      </c>
    </row>
    <row r="64" spans="2:35">
      <c r="B64" t="s">
        <v>314</v>
      </c>
      <c r="E64">
        <v>2</v>
      </c>
      <c r="F64">
        <v>2</v>
      </c>
      <c r="J64">
        <v>1</v>
      </c>
      <c r="K64">
        <v>1</v>
      </c>
      <c r="O64">
        <v>1</v>
      </c>
      <c r="AH64">
        <v>7</v>
      </c>
      <c r="AI64" t="s">
        <v>359</v>
      </c>
    </row>
    <row r="65" spans="2:35">
      <c r="B65" t="s">
        <v>196</v>
      </c>
      <c r="D65">
        <v>1</v>
      </c>
      <c r="E65">
        <v>2</v>
      </c>
      <c r="F65">
        <v>2</v>
      </c>
      <c r="K65">
        <v>2</v>
      </c>
      <c r="O65">
        <v>1</v>
      </c>
      <c r="AH65">
        <v>8</v>
      </c>
      <c r="AI65" t="s">
        <v>359</v>
      </c>
    </row>
    <row r="66" spans="2:35">
      <c r="B66" t="s">
        <v>328</v>
      </c>
      <c r="D66">
        <v>1</v>
      </c>
      <c r="E66">
        <v>1</v>
      </c>
      <c r="F66">
        <v>2</v>
      </c>
      <c r="J66">
        <v>2</v>
      </c>
      <c r="K66">
        <v>1</v>
      </c>
      <c r="M66">
        <v>1</v>
      </c>
      <c r="O66">
        <v>1</v>
      </c>
      <c r="AH66">
        <v>9</v>
      </c>
      <c r="AI66" t="s">
        <v>359</v>
      </c>
    </row>
    <row r="67" spans="2:35">
      <c r="B67" t="s">
        <v>292</v>
      </c>
      <c r="D67">
        <v>1</v>
      </c>
      <c r="E67">
        <v>2</v>
      </c>
      <c r="F67">
        <v>1</v>
      </c>
      <c r="J67">
        <v>1</v>
      </c>
      <c r="K67">
        <v>3</v>
      </c>
      <c r="M67">
        <v>1</v>
      </c>
      <c r="O67">
        <v>1</v>
      </c>
      <c r="AH67">
        <v>10</v>
      </c>
      <c r="AI67" t="s">
        <v>359</v>
      </c>
    </row>
    <row r="68" spans="2:35">
      <c r="B68" t="s">
        <v>197</v>
      </c>
      <c r="H68">
        <v>2</v>
      </c>
      <c r="J68">
        <v>1</v>
      </c>
      <c r="O68">
        <v>2</v>
      </c>
      <c r="AH68">
        <v>5</v>
      </c>
      <c r="AI68" t="s">
        <v>359</v>
      </c>
    </row>
    <row r="69" spans="2:35">
      <c r="B69" t="s">
        <v>112</v>
      </c>
      <c r="D69">
        <v>2</v>
      </c>
      <c r="E69">
        <v>2</v>
      </c>
      <c r="F69">
        <v>2</v>
      </c>
      <c r="G69">
        <v>1</v>
      </c>
      <c r="H69">
        <v>1</v>
      </c>
      <c r="J69">
        <v>2</v>
      </c>
      <c r="K69">
        <v>2</v>
      </c>
      <c r="N69">
        <v>3</v>
      </c>
      <c r="O69">
        <v>3</v>
      </c>
      <c r="AH69">
        <v>18</v>
      </c>
      <c r="AI69" t="s">
        <v>359</v>
      </c>
    </row>
    <row r="70" spans="2:35">
      <c r="B70" t="s">
        <v>198</v>
      </c>
      <c r="E70">
        <v>1</v>
      </c>
      <c r="F70">
        <v>2</v>
      </c>
      <c r="H70">
        <v>1</v>
      </c>
      <c r="L70">
        <v>1</v>
      </c>
      <c r="M70">
        <v>1</v>
      </c>
      <c r="O70">
        <v>1</v>
      </c>
      <c r="AH70">
        <v>7</v>
      </c>
      <c r="AI70" t="s">
        <v>359</v>
      </c>
    </row>
    <row r="71" spans="2:35">
      <c r="B71" t="s">
        <v>199</v>
      </c>
      <c r="F71">
        <v>1</v>
      </c>
      <c r="J71">
        <v>2</v>
      </c>
      <c r="Q71">
        <v>1</v>
      </c>
      <c r="AH71">
        <v>4</v>
      </c>
      <c r="AI71" t="s">
        <v>359</v>
      </c>
    </row>
    <row r="72" spans="2:35">
      <c r="B72" t="s">
        <v>293</v>
      </c>
      <c r="D72">
        <v>1</v>
      </c>
      <c r="F72">
        <v>3</v>
      </c>
      <c r="H72">
        <v>1</v>
      </c>
      <c r="O72">
        <v>2</v>
      </c>
      <c r="AH72">
        <v>7</v>
      </c>
      <c r="AI72" t="s">
        <v>359</v>
      </c>
    </row>
    <row r="73" spans="2:35">
      <c r="B73" t="s">
        <v>315</v>
      </c>
      <c r="E73">
        <v>1</v>
      </c>
      <c r="F73">
        <v>1</v>
      </c>
      <c r="J73">
        <v>1</v>
      </c>
      <c r="K73">
        <v>2</v>
      </c>
      <c r="N73">
        <v>1</v>
      </c>
      <c r="AH73">
        <v>6</v>
      </c>
      <c r="AI73" t="s">
        <v>359</v>
      </c>
    </row>
    <row r="74" spans="2:35">
      <c r="B74" t="s">
        <v>371</v>
      </c>
      <c r="H74">
        <v>1</v>
      </c>
      <c r="AH74">
        <v>1</v>
      </c>
      <c r="AI74" t="s">
        <v>359</v>
      </c>
    </row>
    <row r="75" spans="2:35">
      <c r="B75" t="s">
        <v>200</v>
      </c>
      <c r="F75">
        <v>2</v>
      </c>
      <c r="H75">
        <v>1</v>
      </c>
      <c r="N75">
        <v>1</v>
      </c>
      <c r="O75">
        <v>1</v>
      </c>
      <c r="Q75">
        <v>1</v>
      </c>
      <c r="AH75">
        <v>6</v>
      </c>
      <c r="AI75" t="s">
        <v>359</v>
      </c>
    </row>
    <row r="76" spans="2:35">
      <c r="B76" t="s">
        <v>110</v>
      </c>
      <c r="F76">
        <v>1</v>
      </c>
      <c r="H76">
        <v>2</v>
      </c>
      <c r="L76">
        <v>1</v>
      </c>
      <c r="O76">
        <v>2</v>
      </c>
      <c r="AH76">
        <v>6</v>
      </c>
      <c r="AI76" t="s">
        <v>359</v>
      </c>
    </row>
    <row r="77" spans="2:35">
      <c r="B77" t="s">
        <v>81</v>
      </c>
      <c r="F77">
        <v>2</v>
      </c>
      <c r="G77">
        <v>1</v>
      </c>
      <c r="H77">
        <v>2</v>
      </c>
      <c r="J77">
        <v>1</v>
      </c>
      <c r="N77">
        <v>1</v>
      </c>
      <c r="O77">
        <v>2</v>
      </c>
      <c r="Q77">
        <v>1</v>
      </c>
      <c r="AH77">
        <v>10</v>
      </c>
      <c r="AI77" t="s">
        <v>359</v>
      </c>
    </row>
    <row r="78" spans="2:35">
      <c r="B78" t="s">
        <v>101</v>
      </c>
      <c r="F78">
        <v>3</v>
      </c>
      <c r="H78">
        <v>3</v>
      </c>
      <c r="J78">
        <v>1</v>
      </c>
      <c r="K78">
        <v>1</v>
      </c>
      <c r="M78">
        <v>1</v>
      </c>
      <c r="N78">
        <v>1</v>
      </c>
      <c r="O78">
        <v>1</v>
      </c>
      <c r="Q78">
        <v>1</v>
      </c>
      <c r="AH78">
        <v>12</v>
      </c>
      <c r="AI78" t="s">
        <v>359</v>
      </c>
    </row>
    <row r="79" spans="2:35">
      <c r="B79" t="s">
        <v>100</v>
      </c>
      <c r="E79">
        <v>1</v>
      </c>
      <c r="F79">
        <v>2</v>
      </c>
      <c r="L79">
        <v>3</v>
      </c>
      <c r="N79">
        <v>1</v>
      </c>
      <c r="Q79">
        <v>1</v>
      </c>
      <c r="AH79">
        <v>8</v>
      </c>
      <c r="AI79" t="s">
        <v>359</v>
      </c>
    </row>
    <row r="80" spans="2:35">
      <c r="B80" t="s">
        <v>99</v>
      </c>
      <c r="F80">
        <v>2</v>
      </c>
      <c r="H80">
        <v>1</v>
      </c>
      <c r="J80">
        <v>1</v>
      </c>
      <c r="M80">
        <v>1</v>
      </c>
      <c r="N80">
        <v>1</v>
      </c>
      <c r="O80">
        <v>1</v>
      </c>
      <c r="AH80">
        <v>7</v>
      </c>
      <c r="AI80" t="s">
        <v>359</v>
      </c>
    </row>
    <row r="81" spans="1:35">
      <c r="A81" t="s">
        <v>202</v>
      </c>
      <c r="B81" t="s">
        <v>205</v>
      </c>
      <c r="D81">
        <v>1</v>
      </c>
      <c r="E81">
        <v>1</v>
      </c>
      <c r="G81">
        <v>1</v>
      </c>
      <c r="H81">
        <v>27</v>
      </c>
      <c r="K81">
        <v>2</v>
      </c>
      <c r="M81">
        <v>2</v>
      </c>
      <c r="N81">
        <v>2</v>
      </c>
      <c r="O81">
        <v>3</v>
      </c>
      <c r="Q81">
        <v>4</v>
      </c>
      <c r="AH81">
        <v>43</v>
      </c>
      <c r="AI81" t="s">
        <v>359</v>
      </c>
    </row>
    <row r="82" spans="1:35">
      <c r="B82" t="s">
        <v>209</v>
      </c>
      <c r="D82">
        <v>4</v>
      </c>
      <c r="E82">
        <v>1</v>
      </c>
      <c r="F82">
        <v>23</v>
      </c>
      <c r="H82">
        <v>1</v>
      </c>
      <c r="J82">
        <v>2</v>
      </c>
      <c r="K82">
        <v>2</v>
      </c>
      <c r="L82">
        <v>1</v>
      </c>
      <c r="N82">
        <v>5</v>
      </c>
      <c r="O82">
        <v>1</v>
      </c>
      <c r="Q82">
        <v>3</v>
      </c>
      <c r="AH82">
        <v>43</v>
      </c>
      <c r="AI82" t="s">
        <v>359</v>
      </c>
    </row>
    <row r="83" spans="1:35">
      <c r="B83" t="s">
        <v>203</v>
      </c>
      <c r="D83">
        <v>4</v>
      </c>
      <c r="E83">
        <v>1</v>
      </c>
      <c r="F83">
        <v>22</v>
      </c>
      <c r="H83">
        <v>1</v>
      </c>
      <c r="J83">
        <v>2</v>
      </c>
      <c r="K83">
        <v>2</v>
      </c>
      <c r="L83">
        <v>1</v>
      </c>
      <c r="N83">
        <v>4</v>
      </c>
      <c r="Q83">
        <v>3</v>
      </c>
      <c r="AH83">
        <v>40</v>
      </c>
      <c r="AI83" t="s">
        <v>359</v>
      </c>
    </row>
    <row r="84" spans="1:35">
      <c r="B84" t="s">
        <v>204</v>
      </c>
      <c r="D84">
        <v>4</v>
      </c>
      <c r="E84">
        <v>1</v>
      </c>
      <c r="F84">
        <v>22</v>
      </c>
      <c r="H84">
        <v>1</v>
      </c>
      <c r="J84">
        <v>2</v>
      </c>
      <c r="K84">
        <v>2</v>
      </c>
      <c r="L84">
        <v>1</v>
      </c>
      <c r="N84">
        <v>4</v>
      </c>
      <c r="Q84">
        <v>3</v>
      </c>
      <c r="AH84">
        <v>40</v>
      </c>
      <c r="AI84" t="s">
        <v>359</v>
      </c>
    </row>
    <row r="85" spans="1:35">
      <c r="B85" t="s">
        <v>206</v>
      </c>
      <c r="D85">
        <v>3</v>
      </c>
      <c r="E85">
        <v>1</v>
      </c>
      <c r="F85">
        <v>8</v>
      </c>
      <c r="J85">
        <v>2</v>
      </c>
      <c r="N85">
        <v>3</v>
      </c>
      <c r="Q85">
        <v>2</v>
      </c>
      <c r="AH85">
        <v>19</v>
      </c>
      <c r="AI85" t="s">
        <v>359</v>
      </c>
    </row>
    <row r="86" spans="1:35">
      <c r="B86" t="s">
        <v>208</v>
      </c>
      <c r="D86">
        <v>3</v>
      </c>
      <c r="E86">
        <v>1</v>
      </c>
      <c r="F86">
        <v>7</v>
      </c>
      <c r="J86">
        <v>2</v>
      </c>
      <c r="N86">
        <v>2</v>
      </c>
      <c r="Q86">
        <v>2</v>
      </c>
      <c r="AH86">
        <v>17</v>
      </c>
      <c r="AI86" t="s">
        <v>359</v>
      </c>
    </row>
    <row r="87" spans="1:35">
      <c r="B87" t="s">
        <v>210</v>
      </c>
      <c r="L87">
        <v>1</v>
      </c>
      <c r="AH87">
        <v>1</v>
      </c>
      <c r="AI87" t="s">
        <v>359</v>
      </c>
    </row>
    <row r="88" spans="1:35">
      <c r="B88" t="s">
        <v>211</v>
      </c>
      <c r="D88">
        <v>5</v>
      </c>
      <c r="E88">
        <v>1</v>
      </c>
      <c r="F88">
        <v>23</v>
      </c>
      <c r="H88">
        <v>1</v>
      </c>
      <c r="J88">
        <v>2</v>
      </c>
      <c r="K88">
        <v>14</v>
      </c>
      <c r="L88">
        <v>14</v>
      </c>
      <c r="M88">
        <v>10</v>
      </c>
      <c r="N88">
        <v>32</v>
      </c>
      <c r="Q88">
        <v>25</v>
      </c>
      <c r="AH88">
        <v>127</v>
      </c>
      <c r="AI88" t="s">
        <v>359</v>
      </c>
    </row>
    <row r="89" spans="1:35">
      <c r="B89" t="s">
        <v>212</v>
      </c>
      <c r="D89">
        <v>5</v>
      </c>
      <c r="E89">
        <v>1</v>
      </c>
      <c r="F89">
        <v>22</v>
      </c>
      <c r="H89">
        <v>1</v>
      </c>
      <c r="J89">
        <v>2</v>
      </c>
      <c r="K89">
        <v>14</v>
      </c>
      <c r="L89">
        <v>14</v>
      </c>
      <c r="M89">
        <v>10</v>
      </c>
      <c r="N89">
        <v>32</v>
      </c>
      <c r="Q89">
        <v>25</v>
      </c>
      <c r="AH89">
        <v>126</v>
      </c>
      <c r="AI89" t="s">
        <v>359</v>
      </c>
    </row>
    <row r="90" spans="1:35">
      <c r="B90" t="s">
        <v>213</v>
      </c>
      <c r="D90">
        <v>5</v>
      </c>
      <c r="E90">
        <v>5</v>
      </c>
      <c r="F90">
        <v>22</v>
      </c>
      <c r="H90">
        <v>3</v>
      </c>
      <c r="J90">
        <v>4</v>
      </c>
      <c r="K90">
        <v>14</v>
      </c>
      <c r="L90">
        <v>15</v>
      </c>
      <c r="M90">
        <v>10</v>
      </c>
      <c r="N90">
        <v>32</v>
      </c>
      <c r="O90">
        <v>1</v>
      </c>
      <c r="Q90">
        <v>25</v>
      </c>
      <c r="AH90">
        <v>136</v>
      </c>
      <c r="AI90" t="s">
        <v>359</v>
      </c>
    </row>
    <row r="91" spans="1:35">
      <c r="B91" t="s">
        <v>214</v>
      </c>
      <c r="D91">
        <v>7</v>
      </c>
      <c r="E91">
        <v>3</v>
      </c>
      <c r="F91">
        <v>23</v>
      </c>
      <c r="G91">
        <v>1</v>
      </c>
      <c r="H91">
        <v>28</v>
      </c>
      <c r="J91">
        <v>3</v>
      </c>
      <c r="K91">
        <v>15</v>
      </c>
      <c r="L91">
        <v>14</v>
      </c>
      <c r="M91">
        <v>12</v>
      </c>
      <c r="N91">
        <v>35</v>
      </c>
      <c r="O91">
        <v>3</v>
      </c>
      <c r="Q91">
        <v>29</v>
      </c>
      <c r="AH91">
        <v>173</v>
      </c>
      <c r="AI91" t="s">
        <v>359</v>
      </c>
    </row>
    <row r="92" spans="1:35">
      <c r="B92" t="s">
        <v>215</v>
      </c>
      <c r="D92">
        <v>7</v>
      </c>
      <c r="E92">
        <v>3</v>
      </c>
      <c r="F92">
        <v>23</v>
      </c>
      <c r="G92">
        <v>1</v>
      </c>
      <c r="H92">
        <v>28</v>
      </c>
      <c r="J92">
        <v>3</v>
      </c>
      <c r="K92">
        <v>15</v>
      </c>
      <c r="L92">
        <v>14</v>
      </c>
      <c r="M92">
        <v>12</v>
      </c>
      <c r="N92">
        <v>35</v>
      </c>
      <c r="O92">
        <v>3</v>
      </c>
      <c r="Q92">
        <v>29</v>
      </c>
      <c r="AH92">
        <v>173</v>
      </c>
      <c r="AI92" t="s">
        <v>359</v>
      </c>
    </row>
    <row r="93" spans="1:35">
      <c r="B93" t="s">
        <v>316</v>
      </c>
      <c r="J93">
        <v>4</v>
      </c>
      <c r="L93">
        <v>1</v>
      </c>
      <c r="M93">
        <v>9</v>
      </c>
      <c r="Q93">
        <v>1</v>
      </c>
      <c r="AH93">
        <v>15</v>
      </c>
      <c r="AI93" t="s">
        <v>359</v>
      </c>
    </row>
    <row r="94" spans="1:35">
      <c r="B94" t="s">
        <v>216</v>
      </c>
      <c r="D94">
        <v>4</v>
      </c>
      <c r="E94">
        <v>1</v>
      </c>
      <c r="F94">
        <v>22</v>
      </c>
      <c r="H94">
        <v>1</v>
      </c>
      <c r="J94">
        <v>2</v>
      </c>
      <c r="K94">
        <v>3</v>
      </c>
      <c r="L94">
        <v>1</v>
      </c>
      <c r="N94">
        <v>4</v>
      </c>
      <c r="Q94">
        <v>3</v>
      </c>
      <c r="AH94">
        <v>41</v>
      </c>
      <c r="AI94" t="s">
        <v>359</v>
      </c>
    </row>
    <row r="95" spans="1:35">
      <c r="B95" t="s">
        <v>217</v>
      </c>
      <c r="D95">
        <v>4</v>
      </c>
      <c r="E95">
        <v>1</v>
      </c>
      <c r="F95">
        <v>23</v>
      </c>
      <c r="H95">
        <v>1</v>
      </c>
      <c r="J95">
        <v>3</v>
      </c>
      <c r="K95">
        <v>2</v>
      </c>
      <c r="L95">
        <v>1</v>
      </c>
      <c r="N95">
        <v>5</v>
      </c>
      <c r="Q95">
        <v>4</v>
      </c>
      <c r="AH95">
        <v>44</v>
      </c>
      <c r="AI95" t="s">
        <v>359</v>
      </c>
    </row>
    <row r="96" spans="1:35">
      <c r="B96" t="s">
        <v>218</v>
      </c>
      <c r="D96">
        <v>1</v>
      </c>
      <c r="E96">
        <v>1</v>
      </c>
      <c r="G96">
        <v>1</v>
      </c>
      <c r="H96">
        <v>27</v>
      </c>
      <c r="K96">
        <v>1</v>
      </c>
      <c r="M96">
        <v>2</v>
      </c>
      <c r="N96">
        <v>2</v>
      </c>
      <c r="O96">
        <v>3</v>
      </c>
      <c r="Q96">
        <v>5</v>
      </c>
      <c r="AH96">
        <v>43</v>
      </c>
      <c r="AI96" t="s">
        <v>359</v>
      </c>
    </row>
    <row r="97" spans="2:35">
      <c r="B97" t="s">
        <v>219</v>
      </c>
      <c r="D97">
        <v>4</v>
      </c>
      <c r="F97">
        <v>1</v>
      </c>
      <c r="J97">
        <v>2</v>
      </c>
      <c r="K97">
        <v>12</v>
      </c>
      <c r="L97">
        <v>13</v>
      </c>
      <c r="M97">
        <v>10</v>
      </c>
      <c r="N97">
        <v>29</v>
      </c>
      <c r="Q97">
        <v>24</v>
      </c>
      <c r="AH97">
        <v>95</v>
      </c>
      <c r="AI97" t="s">
        <v>359</v>
      </c>
    </row>
    <row r="98" spans="2:35">
      <c r="B98" t="s">
        <v>220</v>
      </c>
      <c r="D98">
        <v>5</v>
      </c>
      <c r="E98">
        <v>2</v>
      </c>
      <c r="F98">
        <v>23</v>
      </c>
      <c r="G98">
        <v>1</v>
      </c>
      <c r="H98">
        <v>28</v>
      </c>
      <c r="J98">
        <v>2</v>
      </c>
      <c r="K98">
        <v>3</v>
      </c>
      <c r="L98">
        <v>1</v>
      </c>
      <c r="M98">
        <v>2</v>
      </c>
      <c r="N98">
        <v>6</v>
      </c>
      <c r="O98">
        <v>4</v>
      </c>
      <c r="Q98">
        <v>7</v>
      </c>
      <c r="AH98">
        <v>84</v>
      </c>
      <c r="AI98" t="s">
        <v>359</v>
      </c>
    </row>
    <row r="99" spans="2:35">
      <c r="B99" t="s">
        <v>221</v>
      </c>
      <c r="D99">
        <v>1</v>
      </c>
      <c r="E99">
        <v>1</v>
      </c>
      <c r="F99">
        <v>1</v>
      </c>
      <c r="G99">
        <v>1</v>
      </c>
      <c r="H99">
        <v>27</v>
      </c>
      <c r="K99">
        <v>1</v>
      </c>
      <c r="M99">
        <v>2</v>
      </c>
      <c r="N99">
        <v>2</v>
      </c>
      <c r="O99">
        <v>4</v>
      </c>
      <c r="Q99">
        <v>4</v>
      </c>
      <c r="AH99">
        <v>44</v>
      </c>
      <c r="AI99" t="s">
        <v>359</v>
      </c>
    </row>
    <row r="100" spans="2:35">
      <c r="B100" t="s">
        <v>222</v>
      </c>
      <c r="D100">
        <v>1</v>
      </c>
      <c r="E100">
        <v>1</v>
      </c>
      <c r="F100">
        <v>1</v>
      </c>
      <c r="G100">
        <v>1</v>
      </c>
      <c r="H100">
        <v>27</v>
      </c>
      <c r="K100">
        <v>1</v>
      </c>
      <c r="M100">
        <v>2</v>
      </c>
      <c r="N100">
        <v>2</v>
      </c>
      <c r="O100">
        <v>29</v>
      </c>
      <c r="Q100">
        <v>4</v>
      </c>
      <c r="AH100">
        <v>69</v>
      </c>
      <c r="AI100" t="s">
        <v>359</v>
      </c>
    </row>
    <row r="101" spans="2:35">
      <c r="B101" t="s">
        <v>223</v>
      </c>
      <c r="D101">
        <v>1</v>
      </c>
      <c r="E101">
        <v>1</v>
      </c>
      <c r="F101">
        <v>1</v>
      </c>
      <c r="G101">
        <v>1</v>
      </c>
      <c r="H101">
        <v>27</v>
      </c>
      <c r="K101">
        <v>1</v>
      </c>
      <c r="M101">
        <v>2</v>
      </c>
      <c r="N101">
        <v>2</v>
      </c>
      <c r="O101">
        <v>4</v>
      </c>
      <c r="Q101">
        <v>4</v>
      </c>
      <c r="AH101">
        <v>44</v>
      </c>
      <c r="AI101" t="s">
        <v>359</v>
      </c>
    </row>
    <row r="102" spans="2:35">
      <c r="B102" t="s">
        <v>372</v>
      </c>
      <c r="L102">
        <v>1</v>
      </c>
      <c r="AH102">
        <v>1</v>
      </c>
      <c r="AI102" t="s">
        <v>359</v>
      </c>
    </row>
    <row r="103" spans="2:35">
      <c r="B103" t="s">
        <v>224</v>
      </c>
      <c r="D103">
        <v>1</v>
      </c>
      <c r="E103">
        <v>1</v>
      </c>
      <c r="H103">
        <v>5</v>
      </c>
      <c r="J103">
        <v>2</v>
      </c>
      <c r="K103">
        <v>2</v>
      </c>
      <c r="L103">
        <v>1</v>
      </c>
      <c r="AH103">
        <v>12</v>
      </c>
      <c r="AI103" t="s">
        <v>359</v>
      </c>
    </row>
    <row r="104" spans="2:35">
      <c r="B104" t="s">
        <v>225</v>
      </c>
      <c r="D104">
        <v>4</v>
      </c>
      <c r="E104">
        <v>1</v>
      </c>
      <c r="F104">
        <v>22</v>
      </c>
      <c r="H104">
        <v>1</v>
      </c>
      <c r="J104">
        <v>2</v>
      </c>
      <c r="K104">
        <v>2</v>
      </c>
      <c r="L104">
        <v>1</v>
      </c>
      <c r="N104">
        <v>4</v>
      </c>
      <c r="Q104">
        <v>3</v>
      </c>
      <c r="AH104">
        <v>40</v>
      </c>
      <c r="AI104" t="s">
        <v>359</v>
      </c>
    </row>
    <row r="105" spans="2:35">
      <c r="B105" t="s">
        <v>226</v>
      </c>
      <c r="D105">
        <v>4</v>
      </c>
      <c r="H105">
        <v>1</v>
      </c>
      <c r="J105">
        <v>2</v>
      </c>
      <c r="N105">
        <v>4</v>
      </c>
      <c r="Q105">
        <v>3</v>
      </c>
      <c r="AH105">
        <v>14</v>
      </c>
      <c r="AI105" t="s">
        <v>359</v>
      </c>
    </row>
    <row r="106" spans="2:35">
      <c r="B106" t="s">
        <v>227</v>
      </c>
      <c r="D106">
        <v>4</v>
      </c>
      <c r="E106">
        <v>2</v>
      </c>
      <c r="F106">
        <v>22</v>
      </c>
      <c r="G106">
        <v>1</v>
      </c>
      <c r="H106">
        <v>1</v>
      </c>
      <c r="J106">
        <v>2</v>
      </c>
      <c r="K106">
        <v>3</v>
      </c>
      <c r="L106">
        <v>1</v>
      </c>
      <c r="N106">
        <v>4</v>
      </c>
      <c r="O106">
        <v>1</v>
      </c>
      <c r="Q106">
        <v>3</v>
      </c>
      <c r="AH106">
        <v>44</v>
      </c>
      <c r="AI106" t="s">
        <v>359</v>
      </c>
    </row>
    <row r="107" spans="2:35">
      <c r="B107" t="s">
        <v>228</v>
      </c>
      <c r="D107">
        <v>7</v>
      </c>
      <c r="E107">
        <v>2</v>
      </c>
      <c r="F107">
        <v>23</v>
      </c>
      <c r="G107">
        <v>1</v>
      </c>
      <c r="H107">
        <v>28</v>
      </c>
      <c r="J107">
        <v>3</v>
      </c>
      <c r="K107">
        <v>15</v>
      </c>
      <c r="L107">
        <v>14</v>
      </c>
      <c r="M107">
        <v>12</v>
      </c>
      <c r="N107">
        <v>35</v>
      </c>
      <c r="O107">
        <v>3</v>
      </c>
      <c r="Q107">
        <v>29</v>
      </c>
      <c r="AH107">
        <v>172</v>
      </c>
      <c r="AI107" t="s">
        <v>359</v>
      </c>
    </row>
    <row r="108" spans="2:35">
      <c r="B108" t="s">
        <v>229</v>
      </c>
      <c r="D108">
        <v>4</v>
      </c>
      <c r="E108">
        <v>1</v>
      </c>
      <c r="F108">
        <v>22</v>
      </c>
      <c r="H108">
        <v>1</v>
      </c>
      <c r="J108">
        <v>2</v>
      </c>
      <c r="K108">
        <v>2</v>
      </c>
      <c r="L108">
        <v>1</v>
      </c>
      <c r="N108">
        <v>4</v>
      </c>
      <c r="Q108">
        <v>3</v>
      </c>
      <c r="AH108">
        <v>40</v>
      </c>
      <c r="AI108" t="s">
        <v>359</v>
      </c>
    </row>
    <row r="109" spans="2:35">
      <c r="B109" t="s">
        <v>230</v>
      </c>
      <c r="D109">
        <v>7</v>
      </c>
      <c r="E109">
        <v>2</v>
      </c>
      <c r="F109">
        <v>23</v>
      </c>
      <c r="G109">
        <v>1</v>
      </c>
      <c r="H109">
        <v>28</v>
      </c>
      <c r="J109">
        <v>3</v>
      </c>
      <c r="K109">
        <v>15</v>
      </c>
      <c r="L109">
        <v>14</v>
      </c>
      <c r="M109">
        <v>12</v>
      </c>
      <c r="N109">
        <v>35</v>
      </c>
      <c r="O109">
        <v>3</v>
      </c>
      <c r="Q109">
        <v>29</v>
      </c>
      <c r="AH109">
        <v>172</v>
      </c>
      <c r="AI109" t="s">
        <v>359</v>
      </c>
    </row>
    <row r="110" spans="2:35">
      <c r="B110" t="s">
        <v>231</v>
      </c>
      <c r="D110">
        <v>1</v>
      </c>
      <c r="E110">
        <v>1</v>
      </c>
      <c r="G110">
        <v>1</v>
      </c>
      <c r="H110">
        <v>27</v>
      </c>
      <c r="K110">
        <v>1</v>
      </c>
      <c r="M110">
        <v>2</v>
      </c>
      <c r="N110">
        <v>2</v>
      </c>
      <c r="O110">
        <v>3</v>
      </c>
      <c r="Q110">
        <v>4</v>
      </c>
      <c r="AH110">
        <v>42</v>
      </c>
      <c r="AI110" t="s">
        <v>359</v>
      </c>
    </row>
    <row r="111" spans="2:35">
      <c r="B111" t="s">
        <v>294</v>
      </c>
      <c r="D111">
        <v>2</v>
      </c>
      <c r="AH111">
        <v>2</v>
      </c>
      <c r="AI111" t="s">
        <v>359</v>
      </c>
    </row>
    <row r="112" spans="2:35">
      <c r="B112" t="s">
        <v>295</v>
      </c>
      <c r="D112">
        <v>2</v>
      </c>
      <c r="F112">
        <v>1</v>
      </c>
      <c r="H112">
        <v>2</v>
      </c>
      <c r="L112">
        <v>1</v>
      </c>
      <c r="N112">
        <v>2</v>
      </c>
      <c r="O112">
        <v>1</v>
      </c>
      <c r="Q112">
        <v>3</v>
      </c>
      <c r="AH112">
        <v>12</v>
      </c>
      <c r="AI112" t="s">
        <v>359</v>
      </c>
    </row>
    <row r="113" spans="1:35">
      <c r="B113" t="s">
        <v>232</v>
      </c>
      <c r="D113">
        <v>2</v>
      </c>
      <c r="F113">
        <v>1</v>
      </c>
      <c r="K113">
        <v>1</v>
      </c>
      <c r="L113">
        <v>1</v>
      </c>
      <c r="N113">
        <v>1</v>
      </c>
      <c r="O113">
        <v>1</v>
      </c>
      <c r="Q113">
        <v>2</v>
      </c>
      <c r="AH113">
        <v>9</v>
      </c>
      <c r="AI113" t="s">
        <v>359</v>
      </c>
    </row>
    <row r="114" spans="1:35">
      <c r="B114" t="s">
        <v>233</v>
      </c>
      <c r="D114">
        <v>5</v>
      </c>
      <c r="E114">
        <v>1</v>
      </c>
      <c r="F114">
        <v>23</v>
      </c>
      <c r="H114">
        <v>2</v>
      </c>
      <c r="J114">
        <v>2</v>
      </c>
      <c r="K114">
        <v>2</v>
      </c>
      <c r="L114">
        <v>1</v>
      </c>
      <c r="N114">
        <v>4</v>
      </c>
      <c r="O114">
        <v>1</v>
      </c>
      <c r="Q114">
        <v>3</v>
      </c>
      <c r="AH114">
        <v>44</v>
      </c>
      <c r="AI114" t="s">
        <v>359</v>
      </c>
    </row>
    <row r="115" spans="1:35">
      <c r="B115" t="s">
        <v>234</v>
      </c>
      <c r="D115">
        <v>5</v>
      </c>
      <c r="E115">
        <v>1</v>
      </c>
      <c r="F115">
        <v>22</v>
      </c>
      <c r="H115">
        <v>2</v>
      </c>
      <c r="J115">
        <v>2</v>
      </c>
      <c r="K115">
        <v>2</v>
      </c>
      <c r="L115">
        <v>1</v>
      </c>
      <c r="M115">
        <v>1</v>
      </c>
      <c r="N115">
        <v>4</v>
      </c>
      <c r="O115">
        <v>2</v>
      </c>
      <c r="Q115">
        <v>3</v>
      </c>
      <c r="AH115">
        <v>45</v>
      </c>
      <c r="AI115" t="s">
        <v>359</v>
      </c>
    </row>
    <row r="116" spans="1:35">
      <c r="B116" t="s">
        <v>235</v>
      </c>
      <c r="D116">
        <v>5</v>
      </c>
      <c r="E116">
        <v>1</v>
      </c>
      <c r="F116">
        <v>22</v>
      </c>
      <c r="H116">
        <v>2</v>
      </c>
      <c r="J116">
        <v>3</v>
      </c>
      <c r="K116">
        <v>2</v>
      </c>
      <c r="L116">
        <v>1</v>
      </c>
      <c r="M116">
        <v>1</v>
      </c>
      <c r="N116">
        <v>4</v>
      </c>
      <c r="O116">
        <v>2</v>
      </c>
      <c r="Q116">
        <v>3</v>
      </c>
      <c r="AH116">
        <v>46</v>
      </c>
      <c r="AI116" t="s">
        <v>359</v>
      </c>
    </row>
    <row r="117" spans="1:35">
      <c r="B117" t="s">
        <v>296</v>
      </c>
      <c r="F117">
        <v>1</v>
      </c>
      <c r="J117">
        <v>1</v>
      </c>
      <c r="K117">
        <v>2</v>
      </c>
      <c r="N117">
        <v>1</v>
      </c>
      <c r="O117">
        <v>2</v>
      </c>
      <c r="Q117">
        <v>2</v>
      </c>
      <c r="AH117">
        <v>9</v>
      </c>
      <c r="AI117" t="s">
        <v>359</v>
      </c>
    </row>
    <row r="118" spans="1:35">
      <c r="B118" t="s">
        <v>236</v>
      </c>
      <c r="H118">
        <v>1</v>
      </c>
      <c r="L118">
        <v>1</v>
      </c>
      <c r="N118">
        <v>1</v>
      </c>
      <c r="AH118">
        <v>3</v>
      </c>
      <c r="AI118" t="s">
        <v>359</v>
      </c>
    </row>
    <row r="119" spans="1:35">
      <c r="A119" t="s">
        <v>373</v>
      </c>
      <c r="B119" t="s">
        <v>374</v>
      </c>
      <c r="G119">
        <v>1</v>
      </c>
      <c r="AH119">
        <v>1</v>
      </c>
      <c r="AI119" t="s">
        <v>359</v>
      </c>
    </row>
    <row r="120" spans="1:35">
      <c r="A120" t="s">
        <v>237</v>
      </c>
      <c r="B120" t="s">
        <v>238</v>
      </c>
      <c r="D120">
        <v>5</v>
      </c>
      <c r="E120">
        <v>2</v>
      </c>
      <c r="F120">
        <v>3</v>
      </c>
      <c r="G120">
        <v>2</v>
      </c>
      <c r="H120">
        <v>1</v>
      </c>
      <c r="J120">
        <v>5</v>
      </c>
      <c r="K120">
        <v>2</v>
      </c>
      <c r="L120">
        <v>6</v>
      </c>
      <c r="M120">
        <v>3</v>
      </c>
      <c r="N120">
        <v>2</v>
      </c>
      <c r="O120">
        <v>3</v>
      </c>
      <c r="Q120">
        <v>5</v>
      </c>
      <c r="AH120">
        <v>39</v>
      </c>
      <c r="AI120" t="s">
        <v>359</v>
      </c>
    </row>
    <row r="121" spans="1:35">
      <c r="B121" t="s">
        <v>240</v>
      </c>
      <c r="D121">
        <v>9</v>
      </c>
      <c r="E121">
        <v>3</v>
      </c>
      <c r="F121">
        <v>9</v>
      </c>
      <c r="G121">
        <v>5</v>
      </c>
      <c r="H121">
        <v>2</v>
      </c>
      <c r="J121">
        <v>6</v>
      </c>
      <c r="K121">
        <v>6</v>
      </c>
      <c r="L121">
        <v>1</v>
      </c>
      <c r="M121">
        <v>9</v>
      </c>
      <c r="N121">
        <v>4</v>
      </c>
      <c r="O121">
        <v>8</v>
      </c>
      <c r="Q121">
        <v>6</v>
      </c>
      <c r="AH121">
        <v>68</v>
      </c>
      <c r="AI121" t="s">
        <v>359</v>
      </c>
    </row>
    <row r="122" spans="1:35">
      <c r="B122" t="s">
        <v>242</v>
      </c>
      <c r="D122">
        <v>15</v>
      </c>
      <c r="E122">
        <v>3</v>
      </c>
      <c r="F122">
        <v>10</v>
      </c>
      <c r="G122">
        <v>2</v>
      </c>
      <c r="H122">
        <v>7</v>
      </c>
      <c r="J122">
        <v>12</v>
      </c>
      <c r="K122">
        <v>5</v>
      </c>
      <c r="L122">
        <v>6</v>
      </c>
      <c r="M122">
        <v>4</v>
      </c>
      <c r="N122">
        <v>2</v>
      </c>
      <c r="O122">
        <v>10</v>
      </c>
      <c r="Q122">
        <v>5</v>
      </c>
      <c r="AH122">
        <v>81</v>
      </c>
      <c r="AI122" t="s">
        <v>359</v>
      </c>
    </row>
    <row r="123" spans="1:35">
      <c r="B123" t="s">
        <v>272</v>
      </c>
      <c r="D123">
        <v>2</v>
      </c>
      <c r="E123">
        <v>3</v>
      </c>
      <c r="F123">
        <v>1</v>
      </c>
      <c r="G123">
        <v>3</v>
      </c>
      <c r="J123">
        <v>2</v>
      </c>
      <c r="K123">
        <v>1</v>
      </c>
      <c r="L123">
        <v>2</v>
      </c>
      <c r="M123">
        <v>1</v>
      </c>
      <c r="N123">
        <v>2</v>
      </c>
      <c r="O123">
        <v>1</v>
      </c>
      <c r="AH123">
        <v>18</v>
      </c>
      <c r="AI123" t="s">
        <v>359</v>
      </c>
    </row>
    <row r="124" spans="1:35">
      <c r="B124" t="s">
        <v>270</v>
      </c>
      <c r="D124">
        <v>2</v>
      </c>
      <c r="E124">
        <v>1</v>
      </c>
      <c r="F124">
        <v>1</v>
      </c>
      <c r="J124">
        <v>1</v>
      </c>
      <c r="K124">
        <v>2</v>
      </c>
      <c r="L124">
        <v>1</v>
      </c>
      <c r="M124">
        <v>1</v>
      </c>
      <c r="N124">
        <v>1</v>
      </c>
      <c r="AH124">
        <v>10</v>
      </c>
      <c r="AI124" t="s">
        <v>359</v>
      </c>
    </row>
    <row r="125" spans="1:35">
      <c r="B125" t="s">
        <v>243</v>
      </c>
      <c r="D125">
        <v>2</v>
      </c>
      <c r="E125">
        <v>1</v>
      </c>
      <c r="F125">
        <v>2</v>
      </c>
      <c r="J125">
        <v>1</v>
      </c>
      <c r="Q125">
        <v>1</v>
      </c>
      <c r="AH125">
        <v>7</v>
      </c>
      <c r="AI125" t="s">
        <v>359</v>
      </c>
    </row>
    <row r="126" spans="1:35">
      <c r="B126" t="s">
        <v>241</v>
      </c>
      <c r="E126">
        <v>4</v>
      </c>
      <c r="F126">
        <v>5</v>
      </c>
      <c r="H126">
        <v>2</v>
      </c>
      <c r="J126">
        <v>4</v>
      </c>
      <c r="K126">
        <v>1</v>
      </c>
      <c r="M126">
        <v>1</v>
      </c>
      <c r="N126">
        <v>2</v>
      </c>
      <c r="O126">
        <v>3</v>
      </c>
      <c r="Q126">
        <v>5</v>
      </c>
      <c r="AH126">
        <v>27</v>
      </c>
      <c r="AI126" t="s">
        <v>359</v>
      </c>
    </row>
    <row r="127" spans="1:35">
      <c r="B127" t="s">
        <v>330</v>
      </c>
      <c r="D127">
        <v>1</v>
      </c>
      <c r="E127">
        <v>1</v>
      </c>
      <c r="K127">
        <v>4</v>
      </c>
      <c r="L127">
        <v>1</v>
      </c>
      <c r="M127">
        <v>2</v>
      </c>
      <c r="O127">
        <v>4</v>
      </c>
      <c r="AH127">
        <v>13</v>
      </c>
      <c r="AI127" t="s">
        <v>359</v>
      </c>
    </row>
    <row r="128" spans="1:35">
      <c r="B128" t="s">
        <v>239</v>
      </c>
      <c r="D128">
        <v>1</v>
      </c>
      <c r="J128">
        <v>2</v>
      </c>
      <c r="K128">
        <v>4</v>
      </c>
      <c r="M128">
        <v>1</v>
      </c>
      <c r="N128">
        <v>2</v>
      </c>
      <c r="AH128">
        <v>10</v>
      </c>
      <c r="AI128" t="s">
        <v>359</v>
      </c>
    </row>
    <row r="129" spans="1:35">
      <c r="B129" t="s">
        <v>298</v>
      </c>
      <c r="D129">
        <v>4</v>
      </c>
      <c r="J129">
        <v>1</v>
      </c>
      <c r="N129">
        <v>1</v>
      </c>
      <c r="O129">
        <v>1</v>
      </c>
      <c r="AH129">
        <v>7</v>
      </c>
      <c r="AI129" t="s">
        <v>359</v>
      </c>
    </row>
    <row r="130" spans="1:35">
      <c r="B130" t="s">
        <v>271</v>
      </c>
      <c r="D130">
        <v>18</v>
      </c>
      <c r="H130">
        <v>16</v>
      </c>
      <c r="L130">
        <v>3</v>
      </c>
      <c r="M130">
        <v>24</v>
      </c>
      <c r="N130">
        <v>30</v>
      </c>
      <c r="AH130">
        <v>91</v>
      </c>
      <c r="AI130" t="s">
        <v>359</v>
      </c>
    </row>
    <row r="131" spans="1:35">
      <c r="B131" t="s">
        <v>375</v>
      </c>
      <c r="D131">
        <v>2</v>
      </c>
      <c r="M131">
        <v>1</v>
      </c>
      <c r="AH131">
        <v>3</v>
      </c>
      <c r="AI131" t="s">
        <v>359</v>
      </c>
    </row>
    <row r="132" spans="1:35">
      <c r="B132" t="s">
        <v>376</v>
      </c>
      <c r="K132">
        <v>1</v>
      </c>
      <c r="N132">
        <v>1</v>
      </c>
      <c r="AH132">
        <v>2</v>
      </c>
      <c r="AI132" t="s">
        <v>359</v>
      </c>
    </row>
    <row r="133" spans="1:35">
      <c r="B133" t="s">
        <v>336</v>
      </c>
      <c r="K133">
        <v>3</v>
      </c>
      <c r="L133">
        <v>1</v>
      </c>
      <c r="M133">
        <v>9</v>
      </c>
      <c r="AH133">
        <v>13</v>
      </c>
      <c r="AI133" t="s">
        <v>359</v>
      </c>
    </row>
    <row r="134" spans="1:35">
      <c r="B134" t="s">
        <v>273</v>
      </c>
      <c r="H134">
        <v>1</v>
      </c>
      <c r="J134">
        <v>1</v>
      </c>
      <c r="N134">
        <v>2</v>
      </c>
      <c r="Q134">
        <v>2</v>
      </c>
      <c r="AH134">
        <v>6</v>
      </c>
      <c r="AI134" t="s">
        <v>359</v>
      </c>
    </row>
    <row r="135" spans="1:35">
      <c r="B135" t="s">
        <v>331</v>
      </c>
      <c r="J135">
        <v>1</v>
      </c>
      <c r="N135">
        <v>2</v>
      </c>
      <c r="AH135">
        <v>3</v>
      </c>
      <c r="AI135" t="s">
        <v>359</v>
      </c>
    </row>
    <row r="136" spans="1:35">
      <c r="B136" t="s">
        <v>274</v>
      </c>
      <c r="H136">
        <v>2</v>
      </c>
      <c r="AH136">
        <v>2</v>
      </c>
      <c r="AI136" t="s">
        <v>359</v>
      </c>
    </row>
    <row r="137" spans="1:35">
      <c r="B137" t="s">
        <v>244</v>
      </c>
      <c r="E137">
        <v>1</v>
      </c>
      <c r="H137">
        <v>1</v>
      </c>
      <c r="N137">
        <v>1</v>
      </c>
      <c r="Q137">
        <v>1</v>
      </c>
      <c r="AH137">
        <v>4</v>
      </c>
      <c r="AI137" t="s">
        <v>359</v>
      </c>
    </row>
    <row r="138" spans="1:35">
      <c r="B138" t="s">
        <v>245</v>
      </c>
      <c r="D138">
        <v>1</v>
      </c>
      <c r="F138">
        <v>2</v>
      </c>
      <c r="G138">
        <v>2</v>
      </c>
      <c r="H138">
        <v>1</v>
      </c>
      <c r="J138">
        <v>1</v>
      </c>
      <c r="K138">
        <v>1</v>
      </c>
      <c r="L138">
        <v>1</v>
      </c>
      <c r="M138">
        <v>2</v>
      </c>
      <c r="N138">
        <v>1</v>
      </c>
      <c r="AH138">
        <v>12</v>
      </c>
      <c r="AI138" t="s">
        <v>359</v>
      </c>
    </row>
    <row r="139" spans="1:35">
      <c r="B139" t="s">
        <v>319</v>
      </c>
      <c r="F139">
        <v>1</v>
      </c>
      <c r="M139">
        <v>1</v>
      </c>
      <c r="AH139">
        <v>2</v>
      </c>
      <c r="AI139" t="s">
        <v>359</v>
      </c>
    </row>
    <row r="140" spans="1:35">
      <c r="A140" t="s">
        <v>377</v>
      </c>
      <c r="B140" t="s">
        <v>378</v>
      </c>
      <c r="N140">
        <v>2</v>
      </c>
      <c r="AH140">
        <v>2</v>
      </c>
      <c r="AI140" t="s">
        <v>359</v>
      </c>
    </row>
    <row r="141" spans="1:35">
      <c r="A141" t="s">
        <v>246</v>
      </c>
      <c r="B141" t="s">
        <v>247</v>
      </c>
      <c r="H141">
        <v>4</v>
      </c>
      <c r="N141">
        <v>1</v>
      </c>
      <c r="O141">
        <v>3</v>
      </c>
      <c r="Q141">
        <v>2</v>
      </c>
      <c r="AH141">
        <v>10</v>
      </c>
      <c r="AI141" t="s">
        <v>359</v>
      </c>
    </row>
    <row r="142" spans="1:35">
      <c r="A142" t="s">
        <v>299</v>
      </c>
      <c r="B142" t="s">
        <v>379</v>
      </c>
      <c r="G142">
        <v>1</v>
      </c>
      <c r="AH142">
        <v>1</v>
      </c>
      <c r="AI142" t="s">
        <v>359</v>
      </c>
    </row>
    <row r="143" spans="1:35">
      <c r="B143" t="s">
        <v>380</v>
      </c>
      <c r="F143">
        <v>38</v>
      </c>
      <c r="AH143">
        <v>38</v>
      </c>
      <c r="AI143" t="s">
        <v>359</v>
      </c>
    </row>
    <row r="144" spans="1:35">
      <c r="B144" t="s">
        <v>300</v>
      </c>
      <c r="D144">
        <v>1</v>
      </c>
      <c r="H144">
        <v>1</v>
      </c>
      <c r="J144">
        <v>1</v>
      </c>
      <c r="O144">
        <v>2</v>
      </c>
      <c r="AH144">
        <v>5</v>
      </c>
      <c r="AI144" t="s">
        <v>359</v>
      </c>
    </row>
    <row r="145" spans="1:35">
      <c r="A145" t="s">
        <v>248</v>
      </c>
      <c r="B145" t="s">
        <v>108</v>
      </c>
      <c r="D145">
        <v>6</v>
      </c>
      <c r="E145">
        <v>3</v>
      </c>
      <c r="F145">
        <v>1</v>
      </c>
      <c r="G145">
        <v>3</v>
      </c>
      <c r="H145">
        <v>4</v>
      </c>
      <c r="J145">
        <v>3</v>
      </c>
      <c r="K145">
        <v>6</v>
      </c>
      <c r="L145">
        <v>4</v>
      </c>
      <c r="M145">
        <v>4</v>
      </c>
      <c r="N145">
        <v>5</v>
      </c>
      <c r="O145">
        <v>5</v>
      </c>
      <c r="Q145">
        <v>7</v>
      </c>
      <c r="AH145">
        <v>51</v>
      </c>
      <c r="AI145" t="s">
        <v>359</v>
      </c>
    </row>
    <row r="146" spans="1:35">
      <c r="B146" t="s">
        <v>249</v>
      </c>
      <c r="D146">
        <v>8</v>
      </c>
      <c r="E146">
        <v>5</v>
      </c>
      <c r="F146">
        <v>12</v>
      </c>
      <c r="G146">
        <v>8</v>
      </c>
      <c r="H146">
        <v>2</v>
      </c>
      <c r="J146">
        <v>11</v>
      </c>
      <c r="K146">
        <v>4</v>
      </c>
      <c r="L146">
        <v>4</v>
      </c>
      <c r="M146">
        <v>2</v>
      </c>
      <c r="N146">
        <v>3</v>
      </c>
      <c r="O146">
        <v>4</v>
      </c>
      <c r="Q146">
        <v>5</v>
      </c>
      <c r="AH146">
        <v>68</v>
      </c>
      <c r="AI146" t="s">
        <v>359</v>
      </c>
    </row>
    <row r="147" spans="1:35">
      <c r="B147" t="s">
        <v>129</v>
      </c>
      <c r="D147">
        <v>3</v>
      </c>
      <c r="E147">
        <v>3</v>
      </c>
      <c r="F147">
        <v>4</v>
      </c>
      <c r="G147">
        <v>1</v>
      </c>
      <c r="H147">
        <v>1</v>
      </c>
      <c r="J147">
        <v>2</v>
      </c>
      <c r="K147">
        <v>3</v>
      </c>
      <c r="L147">
        <v>5</v>
      </c>
      <c r="M147">
        <v>3</v>
      </c>
      <c r="N147">
        <v>2</v>
      </c>
      <c r="Q147">
        <v>4</v>
      </c>
      <c r="AH147">
        <v>31</v>
      </c>
      <c r="AI147" t="s">
        <v>359</v>
      </c>
    </row>
    <row r="148" spans="1:35">
      <c r="B148" t="s">
        <v>118</v>
      </c>
      <c r="D148">
        <v>2</v>
      </c>
      <c r="E148">
        <v>1</v>
      </c>
      <c r="F148">
        <v>1</v>
      </c>
      <c r="G148">
        <v>1</v>
      </c>
      <c r="H148">
        <v>1</v>
      </c>
      <c r="L148">
        <v>3</v>
      </c>
      <c r="N148">
        <v>1</v>
      </c>
      <c r="Q148">
        <v>1</v>
      </c>
      <c r="AH148">
        <v>11</v>
      </c>
      <c r="AI148" t="s">
        <v>359</v>
      </c>
    </row>
    <row r="149" spans="1:35">
      <c r="B149" t="s">
        <v>333</v>
      </c>
      <c r="D149">
        <v>1</v>
      </c>
      <c r="G149">
        <v>1</v>
      </c>
      <c r="N149">
        <v>1</v>
      </c>
      <c r="AH149">
        <v>3</v>
      </c>
      <c r="AI149" t="s">
        <v>359</v>
      </c>
    </row>
    <row r="150" spans="1:35">
      <c r="B150" t="s">
        <v>130</v>
      </c>
      <c r="D150">
        <v>2</v>
      </c>
      <c r="E150">
        <v>1</v>
      </c>
      <c r="F150">
        <v>1</v>
      </c>
      <c r="H150">
        <v>1</v>
      </c>
      <c r="J150">
        <v>2</v>
      </c>
      <c r="AH150">
        <v>7</v>
      </c>
      <c r="AI150" t="s">
        <v>359</v>
      </c>
    </row>
    <row r="151" spans="1:35">
      <c r="B151" t="s">
        <v>320</v>
      </c>
      <c r="D151">
        <v>1</v>
      </c>
      <c r="E151">
        <v>1</v>
      </c>
      <c r="K151">
        <v>1</v>
      </c>
      <c r="L151">
        <v>2</v>
      </c>
      <c r="AH151">
        <v>5</v>
      </c>
      <c r="AI151" t="s">
        <v>359</v>
      </c>
    </row>
    <row r="152" spans="1:35">
      <c r="B152" t="s">
        <v>381</v>
      </c>
      <c r="K152">
        <v>2</v>
      </c>
      <c r="AH152">
        <v>2</v>
      </c>
      <c r="AI152" t="s">
        <v>359</v>
      </c>
    </row>
    <row r="153" spans="1:35">
      <c r="B153" t="s">
        <v>382</v>
      </c>
      <c r="N153">
        <v>1</v>
      </c>
      <c r="AH153">
        <v>1</v>
      </c>
      <c r="AI153" t="s">
        <v>359</v>
      </c>
    </row>
    <row r="154" spans="1:35">
      <c r="B154" t="s">
        <v>383</v>
      </c>
      <c r="M154">
        <v>1</v>
      </c>
      <c r="AH154">
        <v>1</v>
      </c>
      <c r="AI154" t="s">
        <v>359</v>
      </c>
    </row>
    <row r="155" spans="1:35">
      <c r="B155" t="s">
        <v>348</v>
      </c>
      <c r="D155">
        <v>1</v>
      </c>
      <c r="G155">
        <v>1</v>
      </c>
      <c r="AH155">
        <v>2</v>
      </c>
      <c r="AI155" t="s">
        <v>359</v>
      </c>
    </row>
    <row r="156" spans="1:35">
      <c r="B156" t="s">
        <v>104</v>
      </c>
      <c r="D156">
        <v>3</v>
      </c>
      <c r="F156">
        <v>1</v>
      </c>
      <c r="G156">
        <v>1</v>
      </c>
      <c r="H156">
        <v>1</v>
      </c>
      <c r="J156">
        <v>3</v>
      </c>
      <c r="K156">
        <v>2</v>
      </c>
      <c r="M156">
        <v>1</v>
      </c>
      <c r="N156">
        <v>3</v>
      </c>
      <c r="Q156">
        <v>2</v>
      </c>
      <c r="AH156">
        <v>17</v>
      </c>
      <c r="AI156" t="s">
        <v>359</v>
      </c>
    </row>
    <row r="157" spans="1:35">
      <c r="B157" t="s">
        <v>103</v>
      </c>
      <c r="D157">
        <v>1</v>
      </c>
      <c r="F157">
        <v>1</v>
      </c>
      <c r="H157">
        <v>1</v>
      </c>
      <c r="J157">
        <v>2</v>
      </c>
      <c r="K157">
        <v>2</v>
      </c>
      <c r="AH157">
        <v>7</v>
      </c>
      <c r="AI157" t="s">
        <v>359</v>
      </c>
    </row>
    <row r="158" spans="1:35">
      <c r="B158" t="s">
        <v>113</v>
      </c>
      <c r="D158">
        <v>1</v>
      </c>
      <c r="F158">
        <v>1</v>
      </c>
      <c r="G158">
        <v>1</v>
      </c>
      <c r="H158">
        <v>2</v>
      </c>
      <c r="J158">
        <v>1</v>
      </c>
      <c r="K158">
        <v>4</v>
      </c>
      <c r="M158">
        <v>4</v>
      </c>
      <c r="N158">
        <v>3</v>
      </c>
      <c r="Q158">
        <v>2</v>
      </c>
      <c r="AH158">
        <v>19</v>
      </c>
      <c r="AI158" t="s">
        <v>359</v>
      </c>
    </row>
    <row r="159" spans="1:35">
      <c r="B159" t="s">
        <v>114</v>
      </c>
      <c r="K159">
        <v>2</v>
      </c>
      <c r="AH159">
        <v>2</v>
      </c>
      <c r="AI159" t="s">
        <v>359</v>
      </c>
    </row>
    <row r="160" spans="1:35">
      <c r="B160" t="s">
        <v>102</v>
      </c>
      <c r="D160">
        <v>3</v>
      </c>
      <c r="E160">
        <v>1</v>
      </c>
      <c r="G160">
        <v>1</v>
      </c>
      <c r="H160">
        <v>3</v>
      </c>
      <c r="J160">
        <v>2</v>
      </c>
      <c r="K160">
        <v>2</v>
      </c>
      <c r="M160">
        <v>1</v>
      </c>
      <c r="O160">
        <v>1</v>
      </c>
      <c r="AH160">
        <v>14</v>
      </c>
      <c r="AI160" t="s">
        <v>359</v>
      </c>
    </row>
    <row r="161" spans="1:35">
      <c r="B161" t="s">
        <v>354</v>
      </c>
      <c r="D161">
        <v>1</v>
      </c>
      <c r="H161">
        <v>2</v>
      </c>
      <c r="J161">
        <v>1</v>
      </c>
      <c r="L161">
        <v>1</v>
      </c>
      <c r="AH161">
        <v>5</v>
      </c>
      <c r="AI161" t="s">
        <v>359</v>
      </c>
    </row>
    <row r="162" spans="1:35">
      <c r="B162" t="s">
        <v>107</v>
      </c>
      <c r="D162">
        <v>1</v>
      </c>
      <c r="E162">
        <v>4</v>
      </c>
      <c r="F162">
        <v>15</v>
      </c>
      <c r="G162">
        <v>3</v>
      </c>
      <c r="H162">
        <v>4</v>
      </c>
      <c r="K162">
        <v>2</v>
      </c>
      <c r="L162">
        <v>1</v>
      </c>
      <c r="N162">
        <v>3</v>
      </c>
      <c r="Q162">
        <v>5</v>
      </c>
      <c r="AH162">
        <v>38</v>
      </c>
      <c r="AI162" t="s">
        <v>359</v>
      </c>
    </row>
    <row r="163" spans="1:35">
      <c r="B163" t="s">
        <v>105</v>
      </c>
      <c r="D163">
        <v>1</v>
      </c>
      <c r="E163">
        <v>3</v>
      </c>
      <c r="F163">
        <v>15</v>
      </c>
      <c r="G163">
        <v>2</v>
      </c>
      <c r="H163">
        <v>2</v>
      </c>
      <c r="K163">
        <v>3</v>
      </c>
      <c r="L163">
        <v>1</v>
      </c>
      <c r="M163">
        <v>1</v>
      </c>
      <c r="N163">
        <v>3</v>
      </c>
      <c r="O163">
        <v>2</v>
      </c>
      <c r="Q163">
        <v>1</v>
      </c>
      <c r="AH163">
        <v>34</v>
      </c>
      <c r="AI163" t="s">
        <v>359</v>
      </c>
    </row>
    <row r="164" spans="1:35">
      <c r="B164" t="s">
        <v>106</v>
      </c>
      <c r="D164">
        <v>1</v>
      </c>
      <c r="E164">
        <v>3</v>
      </c>
      <c r="F164">
        <v>15</v>
      </c>
      <c r="H164">
        <v>1</v>
      </c>
      <c r="K164">
        <v>3</v>
      </c>
      <c r="L164">
        <v>1</v>
      </c>
      <c r="M164">
        <v>1</v>
      </c>
      <c r="N164">
        <v>3</v>
      </c>
      <c r="O164">
        <v>1</v>
      </c>
      <c r="Q164">
        <v>2</v>
      </c>
      <c r="AH164">
        <v>31</v>
      </c>
      <c r="AI164" t="s">
        <v>359</v>
      </c>
    </row>
    <row r="165" spans="1:35">
      <c r="A165" t="s">
        <v>250</v>
      </c>
      <c r="B165" t="s">
        <v>251</v>
      </c>
      <c r="D165">
        <v>5</v>
      </c>
      <c r="E165">
        <v>1</v>
      </c>
      <c r="F165">
        <v>2</v>
      </c>
      <c r="H165">
        <v>1</v>
      </c>
      <c r="J165">
        <v>3</v>
      </c>
      <c r="K165">
        <v>12</v>
      </c>
      <c r="L165">
        <v>13</v>
      </c>
      <c r="M165">
        <v>10</v>
      </c>
      <c r="N165">
        <v>30</v>
      </c>
      <c r="O165">
        <v>1</v>
      </c>
      <c r="Q165">
        <v>24</v>
      </c>
      <c r="AH165">
        <v>102</v>
      </c>
      <c r="AI165" t="s">
        <v>359</v>
      </c>
    </row>
    <row r="166" spans="1:35">
      <c r="B166" t="s">
        <v>252</v>
      </c>
      <c r="D166">
        <v>3</v>
      </c>
      <c r="J166">
        <v>2</v>
      </c>
      <c r="Q166">
        <v>2</v>
      </c>
      <c r="AH166">
        <v>7</v>
      </c>
      <c r="AI166" t="s">
        <v>359</v>
      </c>
    </row>
    <row r="167" spans="1:35">
      <c r="B167" t="s">
        <v>384</v>
      </c>
      <c r="M167">
        <v>1</v>
      </c>
      <c r="O167">
        <v>1</v>
      </c>
      <c r="AH167">
        <v>2</v>
      </c>
      <c r="AI167" t="s">
        <v>359</v>
      </c>
    </row>
    <row r="168" spans="1:35">
      <c r="A168" t="s">
        <v>253</v>
      </c>
      <c r="B168" t="s">
        <v>74</v>
      </c>
      <c r="E168">
        <v>1</v>
      </c>
      <c r="G168">
        <v>1</v>
      </c>
      <c r="H168">
        <v>1</v>
      </c>
      <c r="N168">
        <v>1</v>
      </c>
      <c r="AH168">
        <v>4</v>
      </c>
      <c r="AI168" t="s">
        <v>359</v>
      </c>
    </row>
    <row r="169" spans="1:35">
      <c r="B169" t="s">
        <v>254</v>
      </c>
      <c r="K169">
        <v>1</v>
      </c>
      <c r="L169">
        <v>1</v>
      </c>
      <c r="AH169">
        <v>2</v>
      </c>
      <c r="AI169" t="s">
        <v>359</v>
      </c>
    </row>
    <row r="170" spans="1:35">
      <c r="A170" t="s">
        <v>256</v>
      </c>
      <c r="B170" t="s">
        <v>304</v>
      </c>
      <c r="E170">
        <v>1</v>
      </c>
      <c r="G170">
        <v>2</v>
      </c>
      <c r="H170">
        <v>2</v>
      </c>
      <c r="K170">
        <v>2</v>
      </c>
      <c r="M170">
        <v>1</v>
      </c>
      <c r="N170">
        <v>1</v>
      </c>
      <c r="O170">
        <v>4</v>
      </c>
      <c r="AH170">
        <v>13</v>
      </c>
      <c r="AI170" t="s">
        <v>359</v>
      </c>
    </row>
    <row r="171" spans="1:35">
      <c r="B171" t="s">
        <v>385</v>
      </c>
      <c r="F171">
        <v>1</v>
      </c>
      <c r="AH171">
        <v>1</v>
      </c>
      <c r="AI171" t="s">
        <v>359</v>
      </c>
    </row>
    <row r="172" spans="1:35">
      <c r="B172" t="s">
        <v>386</v>
      </c>
      <c r="J172">
        <v>1</v>
      </c>
      <c r="AH172">
        <v>1</v>
      </c>
      <c r="AI172" t="s">
        <v>359</v>
      </c>
    </row>
    <row r="173" spans="1:35">
      <c r="B173" t="s">
        <v>349</v>
      </c>
      <c r="O173">
        <v>1</v>
      </c>
      <c r="AH173">
        <v>1</v>
      </c>
      <c r="AI173" t="s">
        <v>359</v>
      </c>
    </row>
    <row r="174" spans="1:35">
      <c r="B174" t="s">
        <v>387</v>
      </c>
      <c r="O174">
        <v>1</v>
      </c>
      <c r="AH174">
        <v>1</v>
      </c>
      <c r="AI174" t="s">
        <v>359</v>
      </c>
    </row>
    <row r="175" spans="1:35">
      <c r="A175" t="s">
        <v>174</v>
      </c>
      <c r="B175" t="s">
        <v>175</v>
      </c>
      <c r="S175">
        <v>1</v>
      </c>
      <c r="AH175">
        <v>1</v>
      </c>
      <c r="AI175" t="s">
        <v>388</v>
      </c>
    </row>
    <row r="176" spans="1:35">
      <c r="B176" t="s">
        <v>177</v>
      </c>
      <c r="S176">
        <v>3</v>
      </c>
      <c r="AH176">
        <v>3</v>
      </c>
      <c r="AI176" t="s">
        <v>388</v>
      </c>
    </row>
    <row r="177" spans="1:35">
      <c r="B177" t="s">
        <v>259</v>
      </c>
      <c r="S177">
        <v>3</v>
      </c>
      <c r="AH177">
        <v>3</v>
      </c>
      <c r="AI177" t="s">
        <v>388</v>
      </c>
    </row>
    <row r="178" spans="1:35">
      <c r="B178" t="s">
        <v>178</v>
      </c>
      <c r="S178">
        <v>6</v>
      </c>
      <c r="AH178">
        <v>6</v>
      </c>
      <c r="AI178" t="s">
        <v>388</v>
      </c>
    </row>
    <row r="179" spans="1:35">
      <c r="B179" t="s">
        <v>179</v>
      </c>
      <c r="S179">
        <v>10</v>
      </c>
      <c r="AH179">
        <v>10</v>
      </c>
      <c r="AI179" t="s">
        <v>388</v>
      </c>
    </row>
    <row r="180" spans="1:35">
      <c r="B180" t="s">
        <v>180</v>
      </c>
      <c r="S180">
        <v>3</v>
      </c>
      <c r="AH180">
        <v>3</v>
      </c>
      <c r="AI180" t="s">
        <v>388</v>
      </c>
    </row>
    <row r="181" spans="1:35">
      <c r="B181" t="s">
        <v>261</v>
      </c>
      <c r="S181">
        <v>2</v>
      </c>
      <c r="AH181">
        <v>2</v>
      </c>
      <c r="AI181" t="s">
        <v>388</v>
      </c>
    </row>
    <row r="182" spans="1:35">
      <c r="B182" t="s">
        <v>262</v>
      </c>
      <c r="S182">
        <v>2</v>
      </c>
      <c r="AH182">
        <v>2</v>
      </c>
      <c r="AI182" t="s">
        <v>388</v>
      </c>
    </row>
    <row r="183" spans="1:35">
      <c r="B183" t="s">
        <v>181</v>
      </c>
      <c r="S183">
        <v>6</v>
      </c>
      <c r="AH183">
        <v>6</v>
      </c>
      <c r="AI183" t="s">
        <v>388</v>
      </c>
    </row>
    <row r="184" spans="1:35">
      <c r="B184" t="s">
        <v>111</v>
      </c>
      <c r="S184">
        <v>1</v>
      </c>
      <c r="AH184">
        <v>1</v>
      </c>
      <c r="AI184" t="s">
        <v>388</v>
      </c>
    </row>
    <row r="185" spans="1:35">
      <c r="B185" t="s">
        <v>182</v>
      </c>
      <c r="S185">
        <v>1</v>
      </c>
      <c r="AH185">
        <v>1</v>
      </c>
      <c r="AI185" t="s">
        <v>388</v>
      </c>
    </row>
    <row r="186" spans="1:35">
      <c r="B186" t="s">
        <v>183</v>
      </c>
      <c r="S186">
        <v>1</v>
      </c>
      <c r="AH186">
        <v>1</v>
      </c>
      <c r="AI186" t="s">
        <v>388</v>
      </c>
    </row>
    <row r="187" spans="1:35">
      <c r="A187" t="s">
        <v>185</v>
      </c>
      <c r="B187" t="s">
        <v>186</v>
      </c>
      <c r="S187">
        <v>3</v>
      </c>
      <c r="AH187">
        <v>3</v>
      </c>
      <c r="AI187" t="s">
        <v>388</v>
      </c>
    </row>
    <row r="188" spans="1:35">
      <c r="B188" t="s">
        <v>187</v>
      </c>
      <c r="S188">
        <v>3</v>
      </c>
      <c r="AH188">
        <v>3</v>
      </c>
      <c r="AI188" t="s">
        <v>388</v>
      </c>
    </row>
    <row r="189" spans="1:35">
      <c r="A189" t="s">
        <v>188</v>
      </c>
      <c r="B189" t="s">
        <v>189</v>
      </c>
      <c r="S189">
        <v>3</v>
      </c>
      <c r="AH189">
        <v>3</v>
      </c>
      <c r="AI189" t="s">
        <v>388</v>
      </c>
    </row>
    <row r="190" spans="1:35">
      <c r="B190" t="s">
        <v>310</v>
      </c>
      <c r="S190">
        <v>1</v>
      </c>
      <c r="AH190">
        <v>1</v>
      </c>
      <c r="AI190" t="s">
        <v>388</v>
      </c>
    </row>
    <row r="191" spans="1:35">
      <c r="B191" t="s">
        <v>365</v>
      </c>
      <c r="S191">
        <v>1</v>
      </c>
      <c r="AH191">
        <v>1</v>
      </c>
      <c r="AI191" t="s">
        <v>388</v>
      </c>
    </row>
    <row r="192" spans="1:35">
      <c r="B192" t="s">
        <v>264</v>
      </c>
      <c r="S192">
        <v>2</v>
      </c>
      <c r="AH192">
        <v>2</v>
      </c>
      <c r="AI192" t="s">
        <v>388</v>
      </c>
    </row>
    <row r="193" spans="2:35">
      <c r="B193" t="s">
        <v>190</v>
      </c>
      <c r="S193">
        <v>2</v>
      </c>
      <c r="AH193">
        <v>2</v>
      </c>
      <c r="AI193" t="s">
        <v>388</v>
      </c>
    </row>
    <row r="194" spans="2:35">
      <c r="B194" t="s">
        <v>341</v>
      </c>
      <c r="S194">
        <v>1</v>
      </c>
      <c r="AH194">
        <v>1</v>
      </c>
      <c r="AI194" t="s">
        <v>388</v>
      </c>
    </row>
    <row r="195" spans="2:35">
      <c r="B195" t="s">
        <v>192</v>
      </c>
      <c r="S195">
        <v>1</v>
      </c>
      <c r="AH195">
        <v>1</v>
      </c>
      <c r="AI195" t="s">
        <v>388</v>
      </c>
    </row>
    <row r="196" spans="2:35">
      <c r="B196" t="s">
        <v>193</v>
      </c>
      <c r="S196">
        <v>1</v>
      </c>
      <c r="AH196">
        <v>1</v>
      </c>
      <c r="AI196" t="s">
        <v>388</v>
      </c>
    </row>
    <row r="197" spans="2:35">
      <c r="B197" t="s">
        <v>194</v>
      </c>
      <c r="S197">
        <v>3</v>
      </c>
      <c r="AH197">
        <v>3</v>
      </c>
      <c r="AI197" t="s">
        <v>388</v>
      </c>
    </row>
    <row r="198" spans="2:35">
      <c r="B198" t="s">
        <v>267</v>
      </c>
      <c r="S198">
        <v>1</v>
      </c>
      <c r="AH198">
        <v>1</v>
      </c>
      <c r="AI198" t="s">
        <v>388</v>
      </c>
    </row>
    <row r="199" spans="2:35">
      <c r="B199" t="s">
        <v>128</v>
      </c>
      <c r="S199">
        <v>1</v>
      </c>
      <c r="AH199">
        <v>1</v>
      </c>
      <c r="AI199" t="s">
        <v>388</v>
      </c>
    </row>
    <row r="200" spans="2:35">
      <c r="B200" t="s">
        <v>195</v>
      </c>
      <c r="S200">
        <v>2</v>
      </c>
      <c r="AH200">
        <v>2</v>
      </c>
      <c r="AI200" t="s">
        <v>388</v>
      </c>
    </row>
    <row r="201" spans="2:35">
      <c r="B201" t="s">
        <v>289</v>
      </c>
      <c r="S201">
        <v>3</v>
      </c>
      <c r="AH201">
        <v>3</v>
      </c>
      <c r="AI201" t="s">
        <v>388</v>
      </c>
    </row>
    <row r="202" spans="2:35">
      <c r="B202" t="s">
        <v>268</v>
      </c>
      <c r="S202">
        <v>1</v>
      </c>
      <c r="AH202">
        <v>1</v>
      </c>
      <c r="AI202" t="s">
        <v>388</v>
      </c>
    </row>
    <row r="203" spans="2:35">
      <c r="B203" t="s">
        <v>290</v>
      </c>
      <c r="S203">
        <v>1</v>
      </c>
      <c r="AH203">
        <v>1</v>
      </c>
      <c r="AI203" t="s">
        <v>388</v>
      </c>
    </row>
    <row r="204" spans="2:35">
      <c r="B204" t="s">
        <v>291</v>
      </c>
      <c r="S204">
        <v>1</v>
      </c>
      <c r="AH204">
        <v>1</v>
      </c>
      <c r="AI204" t="s">
        <v>388</v>
      </c>
    </row>
    <row r="205" spans="2:35">
      <c r="B205" t="s">
        <v>112</v>
      </c>
      <c r="S205">
        <v>2</v>
      </c>
      <c r="AH205">
        <v>2</v>
      </c>
      <c r="AI205" t="s">
        <v>388</v>
      </c>
    </row>
    <row r="206" spans="2:35">
      <c r="B206" t="s">
        <v>198</v>
      </c>
      <c r="S206">
        <v>4</v>
      </c>
      <c r="AH206">
        <v>4</v>
      </c>
      <c r="AI206" t="s">
        <v>388</v>
      </c>
    </row>
    <row r="207" spans="2:35">
      <c r="B207" t="s">
        <v>199</v>
      </c>
      <c r="S207">
        <v>3</v>
      </c>
      <c r="AH207">
        <v>3</v>
      </c>
      <c r="AI207" t="s">
        <v>388</v>
      </c>
    </row>
    <row r="208" spans="2:35">
      <c r="B208" t="s">
        <v>293</v>
      </c>
      <c r="S208">
        <v>3</v>
      </c>
      <c r="AH208">
        <v>3</v>
      </c>
      <c r="AI208" t="s">
        <v>388</v>
      </c>
    </row>
    <row r="209" spans="1:35">
      <c r="B209" t="s">
        <v>389</v>
      </c>
      <c r="S209">
        <v>1</v>
      </c>
      <c r="AH209">
        <v>1</v>
      </c>
      <c r="AI209" t="s">
        <v>388</v>
      </c>
    </row>
    <row r="210" spans="1:35">
      <c r="A210" t="s">
        <v>202</v>
      </c>
      <c r="B210" t="s">
        <v>203</v>
      </c>
      <c r="S210">
        <v>4</v>
      </c>
      <c r="AH210">
        <v>4</v>
      </c>
      <c r="AI210" t="s">
        <v>388</v>
      </c>
    </row>
    <row r="211" spans="1:35">
      <c r="B211" t="s">
        <v>204</v>
      </c>
      <c r="S211">
        <v>5</v>
      </c>
      <c r="AH211">
        <v>5</v>
      </c>
      <c r="AI211" t="s">
        <v>388</v>
      </c>
    </row>
    <row r="212" spans="1:35">
      <c r="B212" t="s">
        <v>205</v>
      </c>
      <c r="S212">
        <v>5</v>
      </c>
      <c r="AH212">
        <v>5</v>
      </c>
      <c r="AI212" t="s">
        <v>388</v>
      </c>
    </row>
    <row r="213" spans="1:35">
      <c r="B213" t="s">
        <v>206</v>
      </c>
      <c r="S213">
        <v>1</v>
      </c>
      <c r="AH213">
        <v>1</v>
      </c>
      <c r="AI213" t="s">
        <v>388</v>
      </c>
    </row>
    <row r="214" spans="1:35">
      <c r="B214" t="s">
        <v>208</v>
      </c>
      <c r="S214">
        <v>1</v>
      </c>
      <c r="AH214">
        <v>1</v>
      </c>
      <c r="AI214" t="s">
        <v>388</v>
      </c>
    </row>
    <row r="215" spans="1:35">
      <c r="B215" t="s">
        <v>209</v>
      </c>
      <c r="S215">
        <v>4</v>
      </c>
      <c r="AH215">
        <v>4</v>
      </c>
      <c r="AI215" t="s">
        <v>388</v>
      </c>
    </row>
    <row r="216" spans="1:35">
      <c r="B216" t="s">
        <v>211</v>
      </c>
      <c r="S216">
        <v>14</v>
      </c>
      <c r="AH216">
        <v>14</v>
      </c>
      <c r="AI216" t="s">
        <v>388</v>
      </c>
    </row>
    <row r="217" spans="1:35">
      <c r="B217" t="s">
        <v>212</v>
      </c>
      <c r="S217">
        <v>14</v>
      </c>
      <c r="AH217">
        <v>14</v>
      </c>
      <c r="AI217" t="s">
        <v>388</v>
      </c>
    </row>
    <row r="218" spans="1:35">
      <c r="B218" t="s">
        <v>213</v>
      </c>
      <c r="S218">
        <v>15</v>
      </c>
      <c r="AH218">
        <v>15</v>
      </c>
      <c r="AI218" t="s">
        <v>388</v>
      </c>
    </row>
    <row r="219" spans="1:35">
      <c r="B219" t="s">
        <v>214</v>
      </c>
      <c r="S219">
        <v>19</v>
      </c>
      <c r="AH219">
        <v>19</v>
      </c>
      <c r="AI219" t="s">
        <v>388</v>
      </c>
    </row>
    <row r="220" spans="1:35">
      <c r="B220" t="s">
        <v>215</v>
      </c>
      <c r="S220">
        <v>19</v>
      </c>
      <c r="AH220">
        <v>19</v>
      </c>
      <c r="AI220" t="s">
        <v>388</v>
      </c>
    </row>
    <row r="221" spans="1:35">
      <c r="B221" t="s">
        <v>216</v>
      </c>
      <c r="S221">
        <v>4</v>
      </c>
      <c r="AH221">
        <v>4</v>
      </c>
      <c r="AI221" t="s">
        <v>388</v>
      </c>
    </row>
    <row r="222" spans="1:35">
      <c r="B222" t="s">
        <v>217</v>
      </c>
      <c r="S222">
        <v>4</v>
      </c>
      <c r="AH222">
        <v>4</v>
      </c>
      <c r="AI222" t="s">
        <v>388</v>
      </c>
    </row>
    <row r="223" spans="1:35">
      <c r="B223" t="s">
        <v>218</v>
      </c>
      <c r="S223">
        <v>5</v>
      </c>
      <c r="AH223">
        <v>5</v>
      </c>
      <c r="AI223" t="s">
        <v>388</v>
      </c>
    </row>
    <row r="224" spans="1:35">
      <c r="B224" t="s">
        <v>219</v>
      </c>
      <c r="S224">
        <v>14</v>
      </c>
      <c r="AH224">
        <v>14</v>
      </c>
      <c r="AI224" t="s">
        <v>388</v>
      </c>
    </row>
    <row r="225" spans="2:35">
      <c r="B225" t="s">
        <v>220</v>
      </c>
      <c r="S225">
        <v>9</v>
      </c>
      <c r="AH225">
        <v>9</v>
      </c>
      <c r="AI225" t="s">
        <v>388</v>
      </c>
    </row>
    <row r="226" spans="2:35">
      <c r="B226" t="s">
        <v>221</v>
      </c>
      <c r="S226">
        <v>5</v>
      </c>
      <c r="AH226">
        <v>5</v>
      </c>
      <c r="AI226" t="s">
        <v>388</v>
      </c>
    </row>
    <row r="227" spans="2:35">
      <c r="B227" t="s">
        <v>222</v>
      </c>
      <c r="S227">
        <v>5</v>
      </c>
      <c r="AH227">
        <v>5</v>
      </c>
      <c r="AI227" t="s">
        <v>388</v>
      </c>
    </row>
    <row r="228" spans="2:35">
      <c r="B228" t="s">
        <v>223</v>
      </c>
      <c r="S228">
        <v>5</v>
      </c>
      <c r="AH228">
        <v>5</v>
      </c>
      <c r="AI228" t="s">
        <v>388</v>
      </c>
    </row>
    <row r="229" spans="2:35">
      <c r="B229" t="s">
        <v>224</v>
      </c>
      <c r="S229">
        <v>2</v>
      </c>
      <c r="AH229">
        <v>2</v>
      </c>
      <c r="AI229" t="s">
        <v>388</v>
      </c>
    </row>
    <row r="230" spans="2:35">
      <c r="B230" t="s">
        <v>225</v>
      </c>
      <c r="S230">
        <v>4</v>
      </c>
      <c r="AH230">
        <v>4</v>
      </c>
      <c r="AI230" t="s">
        <v>388</v>
      </c>
    </row>
    <row r="231" spans="2:35">
      <c r="B231" t="s">
        <v>226</v>
      </c>
      <c r="S231">
        <v>3</v>
      </c>
      <c r="AH231">
        <v>3</v>
      </c>
      <c r="AI231" t="s">
        <v>388</v>
      </c>
    </row>
    <row r="232" spans="2:35">
      <c r="B232" t="s">
        <v>227</v>
      </c>
      <c r="S232">
        <v>4</v>
      </c>
      <c r="AH232">
        <v>4</v>
      </c>
      <c r="AI232" t="s">
        <v>388</v>
      </c>
    </row>
    <row r="233" spans="2:35">
      <c r="B233" t="s">
        <v>228</v>
      </c>
      <c r="S233">
        <v>19</v>
      </c>
      <c r="AH233">
        <v>19</v>
      </c>
      <c r="AI233" t="s">
        <v>388</v>
      </c>
    </row>
    <row r="234" spans="2:35">
      <c r="B234" t="s">
        <v>229</v>
      </c>
      <c r="S234">
        <v>4</v>
      </c>
      <c r="AH234">
        <v>4</v>
      </c>
      <c r="AI234" t="s">
        <v>388</v>
      </c>
    </row>
    <row r="235" spans="2:35">
      <c r="B235" t="s">
        <v>230</v>
      </c>
      <c r="S235">
        <v>19</v>
      </c>
      <c r="AH235">
        <v>19</v>
      </c>
      <c r="AI235" t="s">
        <v>388</v>
      </c>
    </row>
    <row r="236" spans="2:35">
      <c r="B236" t="s">
        <v>231</v>
      </c>
      <c r="S236">
        <v>5</v>
      </c>
      <c r="AH236">
        <v>5</v>
      </c>
      <c r="AI236" t="s">
        <v>388</v>
      </c>
    </row>
    <row r="237" spans="2:35">
      <c r="B237" t="s">
        <v>295</v>
      </c>
      <c r="S237">
        <v>5</v>
      </c>
      <c r="AH237">
        <v>5</v>
      </c>
      <c r="AI237" t="s">
        <v>388</v>
      </c>
    </row>
    <row r="238" spans="2:35">
      <c r="B238" t="s">
        <v>232</v>
      </c>
      <c r="S238">
        <v>1</v>
      </c>
      <c r="AH238">
        <v>1</v>
      </c>
      <c r="AI238" t="s">
        <v>388</v>
      </c>
    </row>
    <row r="239" spans="2:35">
      <c r="B239" t="s">
        <v>233</v>
      </c>
      <c r="S239">
        <v>5</v>
      </c>
      <c r="AH239">
        <v>5</v>
      </c>
      <c r="AI239" t="s">
        <v>388</v>
      </c>
    </row>
    <row r="240" spans="2:35">
      <c r="B240" t="s">
        <v>234</v>
      </c>
      <c r="S240">
        <v>4</v>
      </c>
      <c r="AH240">
        <v>4</v>
      </c>
      <c r="AI240" t="s">
        <v>388</v>
      </c>
    </row>
    <row r="241" spans="1:35">
      <c r="B241" t="s">
        <v>235</v>
      </c>
      <c r="S241">
        <v>4</v>
      </c>
      <c r="AH241">
        <v>4</v>
      </c>
      <c r="AI241" t="s">
        <v>388</v>
      </c>
    </row>
    <row r="242" spans="1:35">
      <c r="A242" t="s">
        <v>237</v>
      </c>
      <c r="B242" t="s">
        <v>270</v>
      </c>
      <c r="S242">
        <v>4</v>
      </c>
      <c r="AH242">
        <v>4</v>
      </c>
      <c r="AI242" t="s">
        <v>388</v>
      </c>
    </row>
    <row r="243" spans="1:35">
      <c r="B243" t="s">
        <v>330</v>
      </c>
      <c r="S243">
        <v>2</v>
      </c>
      <c r="AH243">
        <v>2</v>
      </c>
      <c r="AI243" t="s">
        <v>388</v>
      </c>
    </row>
    <row r="244" spans="1:35">
      <c r="B244" t="s">
        <v>347</v>
      </c>
      <c r="S244">
        <v>1</v>
      </c>
      <c r="AH244">
        <v>1</v>
      </c>
      <c r="AI244" t="s">
        <v>388</v>
      </c>
    </row>
    <row r="245" spans="1:35">
      <c r="B245" t="s">
        <v>238</v>
      </c>
      <c r="S245">
        <v>9</v>
      </c>
      <c r="AH245">
        <v>9</v>
      </c>
      <c r="AI245" t="s">
        <v>388</v>
      </c>
    </row>
    <row r="246" spans="1:35">
      <c r="B246" t="s">
        <v>239</v>
      </c>
      <c r="S246">
        <v>2</v>
      </c>
      <c r="AH246">
        <v>2</v>
      </c>
      <c r="AI246" t="s">
        <v>388</v>
      </c>
    </row>
    <row r="247" spans="1:35">
      <c r="B247" t="s">
        <v>272</v>
      </c>
      <c r="S247">
        <v>4</v>
      </c>
      <c r="AH247">
        <v>4</v>
      </c>
      <c r="AI247" t="s">
        <v>388</v>
      </c>
    </row>
    <row r="248" spans="1:35">
      <c r="B248" t="s">
        <v>273</v>
      </c>
      <c r="S248">
        <v>4</v>
      </c>
      <c r="AH248">
        <v>4</v>
      </c>
      <c r="AI248" t="s">
        <v>388</v>
      </c>
    </row>
    <row r="249" spans="1:35">
      <c r="B249" t="s">
        <v>242</v>
      </c>
      <c r="S249">
        <v>7</v>
      </c>
      <c r="AH249">
        <v>7</v>
      </c>
      <c r="AI249" t="s">
        <v>388</v>
      </c>
    </row>
    <row r="250" spans="1:35">
      <c r="B250" t="s">
        <v>274</v>
      </c>
      <c r="S250">
        <v>1</v>
      </c>
      <c r="AH250">
        <v>1</v>
      </c>
      <c r="AI250" t="s">
        <v>388</v>
      </c>
    </row>
    <row r="251" spans="1:35">
      <c r="B251" t="s">
        <v>244</v>
      </c>
      <c r="S251">
        <v>5</v>
      </c>
      <c r="AH251">
        <v>5</v>
      </c>
      <c r="AI251" t="s">
        <v>388</v>
      </c>
    </row>
    <row r="252" spans="1:35">
      <c r="A252" t="s">
        <v>390</v>
      </c>
      <c r="B252" t="s">
        <v>391</v>
      </c>
      <c r="S252">
        <v>1</v>
      </c>
      <c r="AH252">
        <v>1</v>
      </c>
      <c r="AI252" t="s">
        <v>388</v>
      </c>
    </row>
    <row r="253" spans="1:35">
      <c r="A253" t="s">
        <v>246</v>
      </c>
      <c r="B253" t="s">
        <v>247</v>
      </c>
      <c r="S253">
        <v>3</v>
      </c>
      <c r="AH253">
        <v>3</v>
      </c>
      <c r="AI253" t="s">
        <v>388</v>
      </c>
    </row>
    <row r="254" spans="1:35">
      <c r="A254" t="s">
        <v>299</v>
      </c>
      <c r="B254" t="s">
        <v>300</v>
      </c>
      <c r="S254">
        <v>1</v>
      </c>
      <c r="AH254">
        <v>1</v>
      </c>
      <c r="AI254" t="s">
        <v>388</v>
      </c>
    </row>
    <row r="255" spans="1:35">
      <c r="B255" t="s">
        <v>392</v>
      </c>
      <c r="S255">
        <v>1</v>
      </c>
      <c r="AH255">
        <v>1</v>
      </c>
      <c r="AI255" t="s">
        <v>388</v>
      </c>
    </row>
    <row r="256" spans="1:35">
      <c r="A256" t="s">
        <v>248</v>
      </c>
      <c r="B256" t="s">
        <v>108</v>
      </c>
      <c r="S256">
        <v>3</v>
      </c>
      <c r="AH256">
        <v>3</v>
      </c>
      <c r="AI256" t="s">
        <v>388</v>
      </c>
    </row>
    <row r="257" spans="1:35">
      <c r="B257" t="s">
        <v>129</v>
      </c>
      <c r="S257">
        <v>6</v>
      </c>
      <c r="AH257">
        <v>6</v>
      </c>
      <c r="AI257" t="s">
        <v>388</v>
      </c>
    </row>
    <row r="258" spans="1:35">
      <c r="B258" t="s">
        <v>130</v>
      </c>
      <c r="S258">
        <v>1</v>
      </c>
      <c r="AH258">
        <v>1</v>
      </c>
      <c r="AI258" t="s">
        <v>388</v>
      </c>
    </row>
    <row r="259" spans="1:35">
      <c r="B259" t="s">
        <v>249</v>
      </c>
      <c r="S259">
        <v>6</v>
      </c>
      <c r="AH259">
        <v>6</v>
      </c>
      <c r="AI259" t="s">
        <v>388</v>
      </c>
    </row>
    <row r="260" spans="1:35">
      <c r="B260" t="s">
        <v>104</v>
      </c>
      <c r="S260">
        <v>2</v>
      </c>
      <c r="AH260">
        <v>2</v>
      </c>
      <c r="AI260" t="s">
        <v>388</v>
      </c>
    </row>
    <row r="261" spans="1:35">
      <c r="B261" t="s">
        <v>103</v>
      </c>
      <c r="S261">
        <v>1</v>
      </c>
      <c r="AH261">
        <v>1</v>
      </c>
      <c r="AI261" t="s">
        <v>388</v>
      </c>
    </row>
    <row r="262" spans="1:35">
      <c r="B262" t="s">
        <v>113</v>
      </c>
      <c r="S262">
        <v>2</v>
      </c>
      <c r="AH262">
        <v>2</v>
      </c>
      <c r="AI262" t="s">
        <v>388</v>
      </c>
    </row>
    <row r="263" spans="1:35">
      <c r="B263" t="s">
        <v>102</v>
      </c>
      <c r="S263">
        <v>1</v>
      </c>
      <c r="AH263">
        <v>1</v>
      </c>
      <c r="AI263" t="s">
        <v>388</v>
      </c>
    </row>
    <row r="264" spans="1:35">
      <c r="B264" t="s">
        <v>107</v>
      </c>
      <c r="S264">
        <v>3</v>
      </c>
      <c r="AH264">
        <v>3</v>
      </c>
      <c r="AI264" t="s">
        <v>388</v>
      </c>
    </row>
    <row r="265" spans="1:35">
      <c r="B265" t="s">
        <v>105</v>
      </c>
      <c r="S265">
        <v>3</v>
      </c>
      <c r="AH265">
        <v>3</v>
      </c>
      <c r="AI265" t="s">
        <v>388</v>
      </c>
    </row>
    <row r="266" spans="1:35">
      <c r="B266" t="s">
        <v>106</v>
      </c>
      <c r="S266">
        <v>3</v>
      </c>
      <c r="AH266">
        <v>3</v>
      </c>
      <c r="AI266" t="s">
        <v>388</v>
      </c>
    </row>
    <row r="267" spans="1:35">
      <c r="A267" t="s">
        <v>250</v>
      </c>
      <c r="B267" t="s">
        <v>251</v>
      </c>
      <c r="S267">
        <v>16</v>
      </c>
      <c r="AH267">
        <v>16</v>
      </c>
      <c r="AI267" t="s">
        <v>388</v>
      </c>
    </row>
    <row r="268" spans="1:35">
      <c r="B268" t="s">
        <v>252</v>
      </c>
      <c r="S268">
        <v>3</v>
      </c>
      <c r="AH268">
        <v>3</v>
      </c>
      <c r="AI268" t="s">
        <v>388</v>
      </c>
    </row>
    <row r="269" spans="1:35">
      <c r="A269" t="s">
        <v>256</v>
      </c>
      <c r="B269" t="s">
        <v>304</v>
      </c>
      <c r="S269">
        <v>1</v>
      </c>
      <c r="AH269">
        <v>1</v>
      </c>
      <c r="AI269" t="s">
        <v>388</v>
      </c>
    </row>
    <row r="270" spans="1:35">
      <c r="A270" t="s">
        <v>174</v>
      </c>
      <c r="B270" t="s">
        <v>179</v>
      </c>
      <c r="T270">
        <v>2</v>
      </c>
      <c r="AH270">
        <v>2</v>
      </c>
      <c r="AI270" t="s">
        <v>393</v>
      </c>
    </row>
    <row r="271" spans="1:35">
      <c r="B271" t="s">
        <v>181</v>
      </c>
      <c r="T271">
        <v>3</v>
      </c>
      <c r="AH271">
        <v>3</v>
      </c>
      <c r="AI271" t="s">
        <v>393</v>
      </c>
    </row>
    <row r="272" spans="1:35">
      <c r="B272" t="s">
        <v>182</v>
      </c>
      <c r="T272">
        <v>1</v>
      </c>
      <c r="AH272">
        <v>1</v>
      </c>
      <c r="AI272" t="s">
        <v>393</v>
      </c>
    </row>
    <row r="273" spans="1:35">
      <c r="A273" t="s">
        <v>188</v>
      </c>
      <c r="B273" t="s">
        <v>189</v>
      </c>
      <c r="T273">
        <v>1</v>
      </c>
      <c r="AH273">
        <v>1</v>
      </c>
      <c r="AI273" t="s">
        <v>393</v>
      </c>
    </row>
    <row r="274" spans="1:35">
      <c r="B274" t="s">
        <v>368</v>
      </c>
      <c r="T274">
        <v>1</v>
      </c>
      <c r="AH274">
        <v>1</v>
      </c>
      <c r="AI274" t="s">
        <v>393</v>
      </c>
    </row>
    <row r="275" spans="1:35">
      <c r="B275" t="s">
        <v>190</v>
      </c>
      <c r="T275">
        <v>2</v>
      </c>
      <c r="AH275">
        <v>2</v>
      </c>
      <c r="AI275" t="s">
        <v>393</v>
      </c>
    </row>
    <row r="276" spans="1:35">
      <c r="B276" t="s">
        <v>341</v>
      </c>
      <c r="T276">
        <v>1</v>
      </c>
      <c r="AH276">
        <v>1</v>
      </c>
      <c r="AI276" t="s">
        <v>393</v>
      </c>
    </row>
    <row r="277" spans="1:35">
      <c r="B277" t="s">
        <v>287</v>
      </c>
      <c r="T277">
        <v>1</v>
      </c>
      <c r="AH277">
        <v>1</v>
      </c>
      <c r="AI277" t="s">
        <v>393</v>
      </c>
    </row>
    <row r="278" spans="1:35">
      <c r="B278" t="s">
        <v>265</v>
      </c>
      <c r="T278">
        <v>2</v>
      </c>
      <c r="AH278">
        <v>2</v>
      </c>
      <c r="AI278" t="s">
        <v>393</v>
      </c>
    </row>
    <row r="279" spans="1:35">
      <c r="B279" t="s">
        <v>193</v>
      </c>
      <c r="T279">
        <v>2</v>
      </c>
      <c r="AH279">
        <v>2</v>
      </c>
      <c r="AI279" t="s">
        <v>393</v>
      </c>
    </row>
    <row r="280" spans="1:35">
      <c r="B280" t="s">
        <v>116</v>
      </c>
      <c r="T280">
        <v>1</v>
      </c>
      <c r="AH280">
        <v>1</v>
      </c>
      <c r="AI280" t="s">
        <v>393</v>
      </c>
    </row>
    <row r="281" spans="1:35">
      <c r="B281" t="s">
        <v>268</v>
      </c>
      <c r="T281">
        <v>3</v>
      </c>
      <c r="AH281">
        <v>3</v>
      </c>
      <c r="AI281" t="s">
        <v>393</v>
      </c>
    </row>
    <row r="282" spans="1:35">
      <c r="B282" t="s">
        <v>314</v>
      </c>
      <c r="T282">
        <v>1</v>
      </c>
      <c r="AH282">
        <v>1</v>
      </c>
      <c r="AI282" t="s">
        <v>393</v>
      </c>
    </row>
    <row r="283" spans="1:35">
      <c r="B283" t="s">
        <v>196</v>
      </c>
      <c r="T283">
        <v>1</v>
      </c>
      <c r="AH283">
        <v>1</v>
      </c>
      <c r="AI283" t="s">
        <v>393</v>
      </c>
    </row>
    <row r="284" spans="1:35">
      <c r="B284" t="s">
        <v>328</v>
      </c>
      <c r="T284">
        <v>1</v>
      </c>
      <c r="AH284">
        <v>1</v>
      </c>
      <c r="AI284" t="s">
        <v>393</v>
      </c>
    </row>
    <row r="285" spans="1:35">
      <c r="B285" t="s">
        <v>292</v>
      </c>
      <c r="T285">
        <v>3</v>
      </c>
      <c r="AH285">
        <v>3</v>
      </c>
      <c r="AI285" t="s">
        <v>393</v>
      </c>
    </row>
    <row r="286" spans="1:35">
      <c r="B286" t="s">
        <v>197</v>
      </c>
      <c r="T286">
        <v>1</v>
      </c>
      <c r="AH286">
        <v>1</v>
      </c>
      <c r="AI286" t="s">
        <v>393</v>
      </c>
    </row>
    <row r="287" spans="1:35">
      <c r="B287" t="s">
        <v>112</v>
      </c>
      <c r="T287">
        <v>1</v>
      </c>
      <c r="AH287">
        <v>1</v>
      </c>
      <c r="AI287" t="s">
        <v>393</v>
      </c>
    </row>
    <row r="288" spans="1:35">
      <c r="B288" t="s">
        <v>110</v>
      </c>
      <c r="T288">
        <v>1</v>
      </c>
      <c r="AH288">
        <v>1</v>
      </c>
      <c r="AI288" t="s">
        <v>393</v>
      </c>
    </row>
    <row r="289" spans="1:35">
      <c r="A289" t="s">
        <v>202</v>
      </c>
      <c r="B289" t="s">
        <v>203</v>
      </c>
      <c r="T289">
        <v>2</v>
      </c>
      <c r="AH289">
        <v>2</v>
      </c>
      <c r="AI289" t="s">
        <v>393</v>
      </c>
    </row>
    <row r="290" spans="1:35">
      <c r="B290" t="s">
        <v>204</v>
      </c>
      <c r="T290">
        <v>2</v>
      </c>
      <c r="AH290">
        <v>2</v>
      </c>
      <c r="AI290" t="s">
        <v>393</v>
      </c>
    </row>
    <row r="291" spans="1:35">
      <c r="B291" t="s">
        <v>205</v>
      </c>
      <c r="T291">
        <v>3</v>
      </c>
      <c r="AH291">
        <v>3</v>
      </c>
      <c r="AI291" t="s">
        <v>393</v>
      </c>
    </row>
    <row r="292" spans="1:35">
      <c r="B292" t="s">
        <v>206</v>
      </c>
      <c r="T292">
        <v>2</v>
      </c>
      <c r="AH292">
        <v>2</v>
      </c>
      <c r="AI292" t="s">
        <v>393</v>
      </c>
    </row>
    <row r="293" spans="1:35">
      <c r="B293" t="s">
        <v>208</v>
      </c>
      <c r="T293">
        <v>2</v>
      </c>
      <c r="AH293">
        <v>2</v>
      </c>
      <c r="AI293" t="s">
        <v>393</v>
      </c>
    </row>
    <row r="294" spans="1:35">
      <c r="B294" t="s">
        <v>209</v>
      </c>
      <c r="T294">
        <v>2</v>
      </c>
      <c r="AH294">
        <v>2</v>
      </c>
      <c r="AI294" t="s">
        <v>393</v>
      </c>
    </row>
    <row r="295" spans="1:35">
      <c r="B295" t="s">
        <v>211</v>
      </c>
      <c r="T295">
        <v>4</v>
      </c>
      <c r="AH295">
        <v>4</v>
      </c>
      <c r="AI295" t="s">
        <v>393</v>
      </c>
    </row>
    <row r="296" spans="1:35">
      <c r="B296" t="s">
        <v>212</v>
      </c>
      <c r="T296">
        <v>4</v>
      </c>
      <c r="AH296">
        <v>4</v>
      </c>
      <c r="AI296" t="s">
        <v>393</v>
      </c>
    </row>
    <row r="297" spans="1:35">
      <c r="B297" t="s">
        <v>213</v>
      </c>
      <c r="T297">
        <v>4</v>
      </c>
      <c r="AH297">
        <v>4</v>
      </c>
      <c r="AI297" t="s">
        <v>393</v>
      </c>
    </row>
    <row r="298" spans="1:35">
      <c r="B298" t="s">
        <v>214</v>
      </c>
      <c r="T298">
        <v>7</v>
      </c>
      <c r="AH298">
        <v>7</v>
      </c>
      <c r="AI298" t="s">
        <v>393</v>
      </c>
    </row>
    <row r="299" spans="1:35">
      <c r="B299" t="s">
        <v>215</v>
      </c>
      <c r="T299">
        <v>7</v>
      </c>
      <c r="AH299">
        <v>7</v>
      </c>
      <c r="AI299" t="s">
        <v>393</v>
      </c>
    </row>
    <row r="300" spans="1:35">
      <c r="B300" t="s">
        <v>216</v>
      </c>
      <c r="T300">
        <v>2</v>
      </c>
      <c r="AH300">
        <v>2</v>
      </c>
      <c r="AI300" t="s">
        <v>393</v>
      </c>
    </row>
    <row r="301" spans="1:35">
      <c r="B301" t="s">
        <v>217</v>
      </c>
      <c r="T301">
        <v>2</v>
      </c>
      <c r="AH301">
        <v>2</v>
      </c>
      <c r="AI301" t="s">
        <v>393</v>
      </c>
    </row>
    <row r="302" spans="1:35">
      <c r="B302" t="s">
        <v>218</v>
      </c>
      <c r="T302">
        <v>3</v>
      </c>
      <c r="AH302">
        <v>3</v>
      </c>
      <c r="AI302" t="s">
        <v>393</v>
      </c>
    </row>
    <row r="303" spans="1:35">
      <c r="B303" t="s">
        <v>219</v>
      </c>
      <c r="T303">
        <v>2</v>
      </c>
      <c r="AH303">
        <v>2</v>
      </c>
      <c r="AI303" t="s">
        <v>393</v>
      </c>
    </row>
    <row r="304" spans="1:35">
      <c r="B304" t="s">
        <v>220</v>
      </c>
      <c r="T304">
        <v>5</v>
      </c>
      <c r="AH304">
        <v>5</v>
      </c>
      <c r="AI304" t="s">
        <v>393</v>
      </c>
    </row>
    <row r="305" spans="1:35">
      <c r="B305" t="s">
        <v>221</v>
      </c>
      <c r="T305">
        <v>3</v>
      </c>
      <c r="AH305">
        <v>3</v>
      </c>
      <c r="AI305" t="s">
        <v>393</v>
      </c>
    </row>
    <row r="306" spans="1:35">
      <c r="B306" t="s">
        <v>222</v>
      </c>
      <c r="T306">
        <v>3</v>
      </c>
      <c r="AH306">
        <v>3</v>
      </c>
      <c r="AI306" t="s">
        <v>393</v>
      </c>
    </row>
    <row r="307" spans="1:35">
      <c r="B307" t="s">
        <v>223</v>
      </c>
      <c r="T307">
        <v>3</v>
      </c>
      <c r="AH307">
        <v>3</v>
      </c>
      <c r="AI307" t="s">
        <v>393</v>
      </c>
    </row>
    <row r="308" spans="1:35">
      <c r="B308" t="s">
        <v>225</v>
      </c>
      <c r="T308">
        <v>2</v>
      </c>
      <c r="AH308">
        <v>2</v>
      </c>
      <c r="AI308" t="s">
        <v>393</v>
      </c>
    </row>
    <row r="309" spans="1:35">
      <c r="B309" t="s">
        <v>227</v>
      </c>
      <c r="T309">
        <v>2</v>
      </c>
      <c r="AH309">
        <v>2</v>
      </c>
      <c r="AI309" t="s">
        <v>393</v>
      </c>
    </row>
    <row r="310" spans="1:35">
      <c r="B310" t="s">
        <v>228</v>
      </c>
      <c r="T310">
        <v>7</v>
      </c>
      <c r="AH310">
        <v>7</v>
      </c>
      <c r="AI310" t="s">
        <v>393</v>
      </c>
    </row>
    <row r="311" spans="1:35">
      <c r="B311" t="s">
        <v>229</v>
      </c>
      <c r="T311">
        <v>2</v>
      </c>
      <c r="AH311">
        <v>2</v>
      </c>
      <c r="AI311" t="s">
        <v>393</v>
      </c>
    </row>
    <row r="312" spans="1:35">
      <c r="B312" t="s">
        <v>230</v>
      </c>
      <c r="T312">
        <v>7</v>
      </c>
      <c r="AH312">
        <v>7</v>
      </c>
      <c r="AI312" t="s">
        <v>393</v>
      </c>
    </row>
    <row r="313" spans="1:35">
      <c r="B313" t="s">
        <v>231</v>
      </c>
      <c r="T313">
        <v>3</v>
      </c>
      <c r="AH313">
        <v>3</v>
      </c>
      <c r="AI313" t="s">
        <v>393</v>
      </c>
    </row>
    <row r="314" spans="1:35">
      <c r="B314" t="s">
        <v>233</v>
      </c>
      <c r="T314">
        <v>2</v>
      </c>
      <c r="AH314">
        <v>2</v>
      </c>
      <c r="AI314" t="s">
        <v>393</v>
      </c>
    </row>
    <row r="315" spans="1:35">
      <c r="B315" t="s">
        <v>234</v>
      </c>
      <c r="T315">
        <v>3</v>
      </c>
      <c r="AH315">
        <v>3</v>
      </c>
      <c r="AI315" t="s">
        <v>393</v>
      </c>
    </row>
    <row r="316" spans="1:35">
      <c r="B316" t="s">
        <v>235</v>
      </c>
      <c r="T316">
        <v>3</v>
      </c>
      <c r="AH316">
        <v>3</v>
      </c>
      <c r="AI316" t="s">
        <v>393</v>
      </c>
    </row>
    <row r="317" spans="1:35">
      <c r="A317" t="s">
        <v>237</v>
      </c>
      <c r="B317" t="s">
        <v>270</v>
      </c>
      <c r="T317">
        <v>1</v>
      </c>
      <c r="AH317">
        <v>1</v>
      </c>
      <c r="AI317" t="s">
        <v>393</v>
      </c>
    </row>
    <row r="318" spans="1:35">
      <c r="B318" t="s">
        <v>238</v>
      </c>
      <c r="T318">
        <v>4</v>
      </c>
      <c r="AH318">
        <v>4</v>
      </c>
      <c r="AI318" t="s">
        <v>393</v>
      </c>
    </row>
    <row r="319" spans="1:35">
      <c r="B319" t="s">
        <v>239</v>
      </c>
      <c r="T319">
        <v>4</v>
      </c>
      <c r="AH319">
        <v>4</v>
      </c>
      <c r="AI319" t="s">
        <v>393</v>
      </c>
    </row>
    <row r="320" spans="1:35">
      <c r="B320" t="s">
        <v>272</v>
      </c>
      <c r="T320">
        <v>5</v>
      </c>
      <c r="AH320">
        <v>5</v>
      </c>
      <c r="AI320" t="s">
        <v>393</v>
      </c>
    </row>
    <row r="321" spans="1:35">
      <c r="B321" t="s">
        <v>273</v>
      </c>
      <c r="T321">
        <v>1</v>
      </c>
      <c r="AH321">
        <v>1</v>
      </c>
      <c r="AI321" t="s">
        <v>393</v>
      </c>
    </row>
    <row r="322" spans="1:35">
      <c r="B322" t="s">
        <v>240</v>
      </c>
      <c r="T322">
        <v>3</v>
      </c>
      <c r="AH322">
        <v>3</v>
      </c>
      <c r="AI322" t="s">
        <v>393</v>
      </c>
    </row>
    <row r="323" spans="1:35">
      <c r="B323" t="s">
        <v>241</v>
      </c>
      <c r="T323">
        <v>1</v>
      </c>
      <c r="AH323">
        <v>1</v>
      </c>
      <c r="AI323" t="s">
        <v>393</v>
      </c>
    </row>
    <row r="324" spans="1:35">
      <c r="B324" t="s">
        <v>242</v>
      </c>
      <c r="T324">
        <v>4</v>
      </c>
      <c r="AH324">
        <v>4</v>
      </c>
      <c r="AI324" t="s">
        <v>393</v>
      </c>
    </row>
    <row r="325" spans="1:35">
      <c r="B325" t="s">
        <v>243</v>
      </c>
      <c r="T325">
        <v>1</v>
      </c>
      <c r="AH325">
        <v>1</v>
      </c>
      <c r="AI325" t="s">
        <v>393</v>
      </c>
    </row>
    <row r="326" spans="1:35">
      <c r="B326" t="s">
        <v>274</v>
      </c>
      <c r="T326">
        <v>1</v>
      </c>
      <c r="AH326">
        <v>1</v>
      </c>
      <c r="AI326" t="s">
        <v>393</v>
      </c>
    </row>
    <row r="327" spans="1:35">
      <c r="B327" t="s">
        <v>244</v>
      </c>
      <c r="T327">
        <v>1</v>
      </c>
      <c r="AH327">
        <v>1</v>
      </c>
      <c r="AI327" t="s">
        <v>393</v>
      </c>
    </row>
    <row r="328" spans="1:35">
      <c r="B328" t="s">
        <v>319</v>
      </c>
      <c r="T328">
        <v>1</v>
      </c>
      <c r="AH328">
        <v>1</v>
      </c>
      <c r="AI328" t="s">
        <v>393</v>
      </c>
    </row>
    <row r="329" spans="1:35">
      <c r="A329" t="s">
        <v>246</v>
      </c>
      <c r="B329" t="s">
        <v>247</v>
      </c>
      <c r="T329">
        <v>1</v>
      </c>
      <c r="AH329">
        <v>1</v>
      </c>
      <c r="AI329" t="s">
        <v>393</v>
      </c>
    </row>
    <row r="330" spans="1:35">
      <c r="A330" t="s">
        <v>394</v>
      </c>
      <c r="B330" t="s">
        <v>395</v>
      </c>
      <c r="T330">
        <v>1</v>
      </c>
      <c r="AH330">
        <v>1</v>
      </c>
      <c r="AI330" t="s">
        <v>393</v>
      </c>
    </row>
    <row r="331" spans="1:35">
      <c r="A331" t="s">
        <v>248</v>
      </c>
      <c r="B331" t="s">
        <v>108</v>
      </c>
      <c r="T331">
        <v>2</v>
      </c>
      <c r="AH331">
        <v>2</v>
      </c>
      <c r="AI331" t="s">
        <v>393</v>
      </c>
    </row>
    <row r="332" spans="1:35">
      <c r="B332" t="s">
        <v>129</v>
      </c>
      <c r="T332">
        <v>2</v>
      </c>
      <c r="AH332">
        <v>2</v>
      </c>
      <c r="AI332" t="s">
        <v>393</v>
      </c>
    </row>
    <row r="333" spans="1:35">
      <c r="B333" t="s">
        <v>249</v>
      </c>
      <c r="T333">
        <v>3</v>
      </c>
      <c r="AH333">
        <v>3</v>
      </c>
      <c r="AI333" t="s">
        <v>393</v>
      </c>
    </row>
    <row r="334" spans="1:35">
      <c r="B334" t="s">
        <v>383</v>
      </c>
      <c r="T334">
        <v>1</v>
      </c>
      <c r="AH334">
        <v>1</v>
      </c>
      <c r="AI334" t="s">
        <v>393</v>
      </c>
    </row>
    <row r="335" spans="1:35">
      <c r="B335" t="s">
        <v>348</v>
      </c>
      <c r="T335">
        <v>1</v>
      </c>
      <c r="AH335">
        <v>1</v>
      </c>
      <c r="AI335" t="s">
        <v>393</v>
      </c>
    </row>
    <row r="336" spans="1:35">
      <c r="B336" t="s">
        <v>104</v>
      </c>
      <c r="T336">
        <v>2</v>
      </c>
      <c r="AH336">
        <v>2</v>
      </c>
      <c r="AI336" t="s">
        <v>393</v>
      </c>
    </row>
    <row r="337" spans="1:35">
      <c r="B337" t="s">
        <v>113</v>
      </c>
      <c r="T337">
        <v>2</v>
      </c>
      <c r="AH337">
        <v>2</v>
      </c>
      <c r="AI337" t="s">
        <v>393</v>
      </c>
    </row>
    <row r="338" spans="1:35">
      <c r="B338" t="s">
        <v>355</v>
      </c>
      <c r="T338">
        <v>1</v>
      </c>
      <c r="AH338">
        <v>1</v>
      </c>
      <c r="AI338" t="s">
        <v>393</v>
      </c>
    </row>
    <row r="339" spans="1:35">
      <c r="B339" t="s">
        <v>107</v>
      </c>
      <c r="T339">
        <v>1</v>
      </c>
      <c r="AH339">
        <v>1</v>
      </c>
      <c r="AI339" t="s">
        <v>393</v>
      </c>
    </row>
    <row r="340" spans="1:35">
      <c r="A340" t="s">
        <v>250</v>
      </c>
      <c r="B340" t="s">
        <v>251</v>
      </c>
      <c r="T340">
        <v>2</v>
      </c>
      <c r="AH340">
        <v>2</v>
      </c>
      <c r="AI340" t="s">
        <v>393</v>
      </c>
    </row>
    <row r="341" spans="1:35">
      <c r="B341" t="s">
        <v>384</v>
      </c>
      <c r="T341">
        <v>1</v>
      </c>
      <c r="AH341">
        <v>1</v>
      </c>
      <c r="AI341" t="s">
        <v>393</v>
      </c>
    </row>
    <row r="342" spans="1:35">
      <c r="A342" t="s">
        <v>256</v>
      </c>
      <c r="B342" t="s">
        <v>349</v>
      </c>
      <c r="T342">
        <v>1</v>
      </c>
      <c r="AH342">
        <v>1</v>
      </c>
      <c r="AI342" t="s">
        <v>393</v>
      </c>
    </row>
    <row r="343" spans="1:35">
      <c r="B343" t="s">
        <v>304</v>
      </c>
      <c r="T343">
        <v>1</v>
      </c>
      <c r="AH343">
        <v>1</v>
      </c>
      <c r="AI343" t="s">
        <v>393</v>
      </c>
    </row>
    <row r="344" spans="1:35">
      <c r="A344" t="s">
        <v>174</v>
      </c>
      <c r="B344" t="s">
        <v>175</v>
      </c>
      <c r="U344">
        <v>1</v>
      </c>
      <c r="AH344">
        <v>1</v>
      </c>
      <c r="AI344" t="s">
        <v>396</v>
      </c>
    </row>
    <row r="345" spans="1:35">
      <c r="B345" t="s">
        <v>259</v>
      </c>
      <c r="U345">
        <v>3</v>
      </c>
      <c r="AH345">
        <v>3</v>
      </c>
      <c r="AI345" t="s">
        <v>396</v>
      </c>
    </row>
    <row r="346" spans="1:35">
      <c r="B346" t="s">
        <v>178</v>
      </c>
      <c r="U346">
        <v>2</v>
      </c>
      <c r="AH346">
        <v>2</v>
      </c>
      <c r="AI346" t="s">
        <v>396</v>
      </c>
    </row>
    <row r="347" spans="1:35">
      <c r="B347" t="s">
        <v>179</v>
      </c>
      <c r="U347">
        <v>8</v>
      </c>
      <c r="AH347">
        <v>8</v>
      </c>
      <c r="AI347" t="s">
        <v>396</v>
      </c>
    </row>
    <row r="348" spans="1:35">
      <c r="B348" t="s">
        <v>180</v>
      </c>
      <c r="U348">
        <v>1</v>
      </c>
      <c r="AH348">
        <v>1</v>
      </c>
      <c r="AI348" t="s">
        <v>396</v>
      </c>
    </row>
    <row r="349" spans="1:35">
      <c r="B349" t="s">
        <v>182</v>
      </c>
      <c r="U349">
        <v>1</v>
      </c>
      <c r="AH349">
        <v>1</v>
      </c>
      <c r="AI349" t="s">
        <v>396</v>
      </c>
    </row>
    <row r="350" spans="1:35">
      <c r="B350" t="s">
        <v>183</v>
      </c>
      <c r="U350">
        <v>1</v>
      </c>
      <c r="AH350">
        <v>1</v>
      </c>
      <c r="AI350" t="s">
        <v>396</v>
      </c>
    </row>
    <row r="351" spans="1:35">
      <c r="A351" t="s">
        <v>185</v>
      </c>
      <c r="B351" t="s">
        <v>279</v>
      </c>
      <c r="U351">
        <v>1</v>
      </c>
      <c r="AH351">
        <v>1</v>
      </c>
      <c r="AI351" t="s">
        <v>396</v>
      </c>
    </row>
    <row r="352" spans="1:35">
      <c r="A352" t="s">
        <v>188</v>
      </c>
      <c r="B352" t="s">
        <v>310</v>
      </c>
      <c r="U352">
        <v>1</v>
      </c>
      <c r="AH352">
        <v>1</v>
      </c>
      <c r="AI352" t="s">
        <v>396</v>
      </c>
    </row>
    <row r="353" spans="2:35">
      <c r="B353" t="s">
        <v>325</v>
      </c>
      <c r="U353">
        <v>1</v>
      </c>
      <c r="AH353">
        <v>1</v>
      </c>
      <c r="AI353" t="s">
        <v>396</v>
      </c>
    </row>
    <row r="354" spans="2:35">
      <c r="B354" t="s">
        <v>263</v>
      </c>
      <c r="U354">
        <v>1</v>
      </c>
      <c r="AH354">
        <v>1</v>
      </c>
      <c r="AI354" t="s">
        <v>396</v>
      </c>
    </row>
    <row r="355" spans="2:35">
      <c r="B355" t="s">
        <v>190</v>
      </c>
      <c r="U355">
        <v>1</v>
      </c>
      <c r="AH355">
        <v>1</v>
      </c>
      <c r="AI355" t="s">
        <v>396</v>
      </c>
    </row>
    <row r="356" spans="2:35">
      <c r="B356" t="s">
        <v>339</v>
      </c>
      <c r="U356">
        <v>1</v>
      </c>
      <c r="AH356">
        <v>1</v>
      </c>
      <c r="AI356" t="s">
        <v>396</v>
      </c>
    </row>
    <row r="357" spans="2:35">
      <c r="B357" t="s">
        <v>265</v>
      </c>
      <c r="U357">
        <v>3</v>
      </c>
      <c r="AH357">
        <v>3</v>
      </c>
      <c r="AI357" t="s">
        <v>396</v>
      </c>
    </row>
    <row r="358" spans="2:35">
      <c r="B358" t="s">
        <v>193</v>
      </c>
      <c r="U358">
        <v>3</v>
      </c>
      <c r="AH358">
        <v>3</v>
      </c>
      <c r="AI358" t="s">
        <v>396</v>
      </c>
    </row>
    <row r="359" spans="2:35">
      <c r="B359" t="s">
        <v>194</v>
      </c>
      <c r="U359">
        <v>1</v>
      </c>
      <c r="AH359">
        <v>1</v>
      </c>
      <c r="AI359" t="s">
        <v>396</v>
      </c>
    </row>
    <row r="360" spans="2:35">
      <c r="B360" t="s">
        <v>116</v>
      </c>
      <c r="U360">
        <v>2</v>
      </c>
      <c r="AH360">
        <v>2</v>
      </c>
      <c r="AI360" t="s">
        <v>396</v>
      </c>
    </row>
    <row r="361" spans="2:35">
      <c r="B361" t="s">
        <v>128</v>
      </c>
      <c r="U361">
        <v>1</v>
      </c>
      <c r="AH361">
        <v>1</v>
      </c>
      <c r="AI361" t="s">
        <v>396</v>
      </c>
    </row>
    <row r="362" spans="2:35">
      <c r="B362" t="s">
        <v>195</v>
      </c>
      <c r="U362">
        <v>1</v>
      </c>
      <c r="AH362">
        <v>1</v>
      </c>
      <c r="AI362" t="s">
        <v>396</v>
      </c>
    </row>
    <row r="363" spans="2:35">
      <c r="B363" t="s">
        <v>268</v>
      </c>
      <c r="U363">
        <v>1</v>
      </c>
      <c r="AH363">
        <v>1</v>
      </c>
      <c r="AI363" t="s">
        <v>396</v>
      </c>
    </row>
    <row r="364" spans="2:35">
      <c r="B364" t="s">
        <v>292</v>
      </c>
      <c r="U364">
        <v>1</v>
      </c>
      <c r="AH364">
        <v>1</v>
      </c>
      <c r="AI364" t="s">
        <v>396</v>
      </c>
    </row>
    <row r="365" spans="2:35">
      <c r="B365" t="s">
        <v>198</v>
      </c>
      <c r="U365">
        <v>2</v>
      </c>
      <c r="AH365">
        <v>2</v>
      </c>
      <c r="AI365" t="s">
        <v>396</v>
      </c>
    </row>
    <row r="366" spans="2:35">
      <c r="B366" t="s">
        <v>199</v>
      </c>
      <c r="U366">
        <v>1</v>
      </c>
      <c r="AH366">
        <v>1</v>
      </c>
      <c r="AI366" t="s">
        <v>396</v>
      </c>
    </row>
    <row r="367" spans="2:35">
      <c r="B367" t="s">
        <v>293</v>
      </c>
      <c r="U367">
        <v>1</v>
      </c>
      <c r="AH367">
        <v>1</v>
      </c>
      <c r="AI367" t="s">
        <v>396</v>
      </c>
    </row>
    <row r="368" spans="2:35">
      <c r="B368" t="s">
        <v>397</v>
      </c>
      <c r="U368">
        <v>1</v>
      </c>
      <c r="AH368">
        <v>1</v>
      </c>
      <c r="AI368" t="s">
        <v>396</v>
      </c>
    </row>
    <row r="369" spans="1:35">
      <c r="B369" t="s">
        <v>101</v>
      </c>
      <c r="U369">
        <v>1</v>
      </c>
      <c r="AH369">
        <v>1</v>
      </c>
      <c r="AI369" t="s">
        <v>396</v>
      </c>
    </row>
    <row r="370" spans="1:35">
      <c r="B370" t="s">
        <v>398</v>
      </c>
      <c r="U370">
        <v>1</v>
      </c>
      <c r="AH370">
        <v>1</v>
      </c>
      <c r="AI370" t="s">
        <v>396</v>
      </c>
    </row>
    <row r="371" spans="1:35">
      <c r="A371" t="s">
        <v>202</v>
      </c>
      <c r="B371" t="s">
        <v>205</v>
      </c>
      <c r="U371">
        <v>6</v>
      </c>
      <c r="AH371">
        <v>6</v>
      </c>
      <c r="AI371" t="s">
        <v>396</v>
      </c>
    </row>
    <row r="372" spans="1:35">
      <c r="B372" t="s">
        <v>207</v>
      </c>
      <c r="U372">
        <v>3</v>
      </c>
      <c r="AH372">
        <v>3</v>
      </c>
      <c r="AI372" t="s">
        <v>396</v>
      </c>
    </row>
    <row r="373" spans="1:35">
      <c r="B373" t="s">
        <v>210</v>
      </c>
      <c r="U373">
        <v>1</v>
      </c>
      <c r="AH373">
        <v>1</v>
      </c>
      <c r="AI373" t="s">
        <v>396</v>
      </c>
    </row>
    <row r="374" spans="1:35">
      <c r="B374" t="s">
        <v>211</v>
      </c>
      <c r="U374">
        <v>7</v>
      </c>
      <c r="AH374">
        <v>7</v>
      </c>
      <c r="AI374" t="s">
        <v>396</v>
      </c>
    </row>
    <row r="375" spans="1:35">
      <c r="B375" t="s">
        <v>212</v>
      </c>
      <c r="U375">
        <v>7</v>
      </c>
      <c r="AH375">
        <v>7</v>
      </c>
      <c r="AI375" t="s">
        <v>396</v>
      </c>
    </row>
    <row r="376" spans="1:35">
      <c r="B376" t="s">
        <v>213</v>
      </c>
      <c r="U376">
        <v>7</v>
      </c>
      <c r="AH376">
        <v>7</v>
      </c>
      <c r="AI376" t="s">
        <v>396</v>
      </c>
    </row>
    <row r="377" spans="1:35">
      <c r="B377" t="s">
        <v>214</v>
      </c>
      <c r="U377">
        <v>12</v>
      </c>
      <c r="AH377">
        <v>12</v>
      </c>
      <c r="AI377" t="s">
        <v>396</v>
      </c>
    </row>
    <row r="378" spans="1:35">
      <c r="B378" t="s">
        <v>215</v>
      </c>
      <c r="U378">
        <v>12</v>
      </c>
      <c r="AH378">
        <v>12</v>
      </c>
      <c r="AI378" t="s">
        <v>396</v>
      </c>
    </row>
    <row r="379" spans="1:35">
      <c r="B379" t="s">
        <v>218</v>
      </c>
      <c r="U379">
        <v>5</v>
      </c>
      <c r="AH379">
        <v>5</v>
      </c>
      <c r="AI379" t="s">
        <v>396</v>
      </c>
    </row>
    <row r="380" spans="1:35">
      <c r="B380" t="s">
        <v>219</v>
      </c>
      <c r="U380">
        <v>7</v>
      </c>
      <c r="AH380">
        <v>7</v>
      </c>
      <c r="AI380" t="s">
        <v>396</v>
      </c>
    </row>
    <row r="381" spans="1:35">
      <c r="B381" t="s">
        <v>220</v>
      </c>
      <c r="U381">
        <v>5</v>
      </c>
      <c r="AH381">
        <v>5</v>
      </c>
      <c r="AI381" t="s">
        <v>396</v>
      </c>
    </row>
    <row r="382" spans="1:35">
      <c r="B382" t="s">
        <v>221</v>
      </c>
      <c r="U382">
        <v>5</v>
      </c>
      <c r="AH382">
        <v>5</v>
      </c>
      <c r="AI382" t="s">
        <v>396</v>
      </c>
    </row>
    <row r="383" spans="1:35">
      <c r="B383" t="s">
        <v>222</v>
      </c>
      <c r="U383">
        <v>5</v>
      </c>
      <c r="AH383">
        <v>5</v>
      </c>
      <c r="AI383" t="s">
        <v>396</v>
      </c>
    </row>
    <row r="384" spans="1:35">
      <c r="B384" t="s">
        <v>223</v>
      </c>
      <c r="U384">
        <v>5</v>
      </c>
      <c r="AH384">
        <v>5</v>
      </c>
      <c r="AI384" t="s">
        <v>396</v>
      </c>
    </row>
    <row r="385" spans="1:35">
      <c r="B385" t="s">
        <v>224</v>
      </c>
      <c r="U385">
        <v>1</v>
      </c>
      <c r="AH385">
        <v>1</v>
      </c>
      <c r="AI385" t="s">
        <v>396</v>
      </c>
    </row>
    <row r="386" spans="1:35">
      <c r="B386" t="s">
        <v>227</v>
      </c>
      <c r="U386">
        <v>1</v>
      </c>
      <c r="AH386">
        <v>1</v>
      </c>
      <c r="AI386" t="s">
        <v>396</v>
      </c>
    </row>
    <row r="387" spans="1:35">
      <c r="B387" t="s">
        <v>228</v>
      </c>
      <c r="U387">
        <v>12</v>
      </c>
      <c r="AH387">
        <v>12</v>
      </c>
      <c r="AI387" t="s">
        <v>396</v>
      </c>
    </row>
    <row r="388" spans="1:35">
      <c r="B388" t="s">
        <v>230</v>
      </c>
      <c r="U388">
        <v>12</v>
      </c>
      <c r="AH388">
        <v>12</v>
      </c>
      <c r="AI388" t="s">
        <v>396</v>
      </c>
    </row>
    <row r="389" spans="1:35">
      <c r="B389" t="s">
        <v>231</v>
      </c>
      <c r="U389">
        <v>5</v>
      </c>
      <c r="AH389">
        <v>5</v>
      </c>
      <c r="AI389" t="s">
        <v>396</v>
      </c>
    </row>
    <row r="390" spans="1:35">
      <c r="B390" t="s">
        <v>232</v>
      </c>
      <c r="U390">
        <v>1</v>
      </c>
      <c r="AH390">
        <v>1</v>
      </c>
      <c r="AI390" t="s">
        <v>396</v>
      </c>
    </row>
    <row r="391" spans="1:35">
      <c r="B391" t="s">
        <v>234</v>
      </c>
      <c r="U391">
        <v>1</v>
      </c>
      <c r="AH391">
        <v>1</v>
      </c>
      <c r="AI391" t="s">
        <v>396</v>
      </c>
    </row>
    <row r="392" spans="1:35">
      <c r="B392" t="s">
        <v>235</v>
      </c>
      <c r="U392">
        <v>1</v>
      </c>
      <c r="AH392">
        <v>1</v>
      </c>
      <c r="AI392" t="s">
        <v>396</v>
      </c>
    </row>
    <row r="393" spans="1:35">
      <c r="A393" t="s">
        <v>237</v>
      </c>
      <c r="B393" t="s">
        <v>270</v>
      </c>
      <c r="U393">
        <v>1</v>
      </c>
      <c r="AH393">
        <v>1</v>
      </c>
      <c r="AI393" t="s">
        <v>396</v>
      </c>
    </row>
    <row r="394" spans="1:35">
      <c r="B394" t="s">
        <v>271</v>
      </c>
      <c r="U394">
        <v>24</v>
      </c>
      <c r="AH394">
        <v>24</v>
      </c>
      <c r="AI394" t="s">
        <v>396</v>
      </c>
    </row>
    <row r="395" spans="1:35">
      <c r="B395" t="s">
        <v>238</v>
      </c>
      <c r="U395">
        <v>6</v>
      </c>
      <c r="AH395">
        <v>6</v>
      </c>
      <c r="AI395" t="s">
        <v>396</v>
      </c>
    </row>
    <row r="396" spans="1:35">
      <c r="B396" t="s">
        <v>239</v>
      </c>
      <c r="U396">
        <v>2</v>
      </c>
      <c r="AH396">
        <v>2</v>
      </c>
      <c r="AI396" t="s">
        <v>396</v>
      </c>
    </row>
    <row r="397" spans="1:35">
      <c r="B397" t="s">
        <v>272</v>
      </c>
      <c r="U397">
        <v>3</v>
      </c>
      <c r="AH397">
        <v>3</v>
      </c>
      <c r="AI397" t="s">
        <v>396</v>
      </c>
    </row>
    <row r="398" spans="1:35">
      <c r="B398" t="s">
        <v>273</v>
      </c>
      <c r="U398">
        <v>2</v>
      </c>
      <c r="AH398">
        <v>2</v>
      </c>
      <c r="AI398" t="s">
        <v>396</v>
      </c>
    </row>
    <row r="399" spans="1:35">
      <c r="B399" t="s">
        <v>240</v>
      </c>
      <c r="U399">
        <v>4</v>
      </c>
      <c r="AH399">
        <v>4</v>
      </c>
      <c r="AI399" t="s">
        <v>396</v>
      </c>
    </row>
    <row r="400" spans="1:35">
      <c r="B400" t="s">
        <v>241</v>
      </c>
      <c r="U400">
        <v>1</v>
      </c>
      <c r="AH400">
        <v>1</v>
      </c>
      <c r="AI400" t="s">
        <v>396</v>
      </c>
    </row>
    <row r="401" spans="1:35">
      <c r="B401" t="s">
        <v>242</v>
      </c>
      <c r="U401">
        <v>3</v>
      </c>
      <c r="AH401">
        <v>3</v>
      </c>
      <c r="AI401" t="s">
        <v>396</v>
      </c>
    </row>
    <row r="402" spans="1:35">
      <c r="B402" t="s">
        <v>243</v>
      </c>
      <c r="U402">
        <v>2</v>
      </c>
      <c r="AH402">
        <v>2</v>
      </c>
      <c r="AI402" t="s">
        <v>396</v>
      </c>
    </row>
    <row r="403" spans="1:35">
      <c r="B403" t="s">
        <v>274</v>
      </c>
      <c r="U403">
        <v>1</v>
      </c>
      <c r="AH403">
        <v>1</v>
      </c>
      <c r="AI403" t="s">
        <v>396</v>
      </c>
    </row>
    <row r="404" spans="1:35">
      <c r="B404" t="s">
        <v>245</v>
      </c>
      <c r="U404">
        <v>1</v>
      </c>
      <c r="AH404">
        <v>1</v>
      </c>
      <c r="AI404" t="s">
        <v>396</v>
      </c>
    </row>
    <row r="405" spans="1:35">
      <c r="B405" t="s">
        <v>319</v>
      </c>
      <c r="U405">
        <v>1</v>
      </c>
      <c r="AH405">
        <v>1</v>
      </c>
      <c r="AI405" t="s">
        <v>396</v>
      </c>
    </row>
    <row r="406" spans="1:35">
      <c r="A406" t="s">
        <v>246</v>
      </c>
      <c r="B406" t="s">
        <v>247</v>
      </c>
      <c r="U406">
        <v>1</v>
      </c>
      <c r="AH406">
        <v>1</v>
      </c>
      <c r="AI406" t="s">
        <v>396</v>
      </c>
    </row>
    <row r="407" spans="1:35">
      <c r="A407" t="s">
        <v>248</v>
      </c>
      <c r="B407" t="s">
        <v>118</v>
      </c>
      <c r="U407">
        <v>1</v>
      </c>
      <c r="AH407">
        <v>1</v>
      </c>
      <c r="AI407" t="s">
        <v>396</v>
      </c>
    </row>
    <row r="408" spans="1:35">
      <c r="B408" t="s">
        <v>108</v>
      </c>
      <c r="U408">
        <v>2</v>
      </c>
      <c r="AH408">
        <v>2</v>
      </c>
      <c r="AI408" t="s">
        <v>396</v>
      </c>
    </row>
    <row r="409" spans="1:35">
      <c r="B409" t="s">
        <v>129</v>
      </c>
      <c r="U409">
        <v>2</v>
      </c>
      <c r="AH409">
        <v>2</v>
      </c>
      <c r="AI409" t="s">
        <v>396</v>
      </c>
    </row>
    <row r="410" spans="1:35">
      <c r="B410" t="s">
        <v>333</v>
      </c>
      <c r="U410">
        <v>3</v>
      </c>
      <c r="AH410">
        <v>3</v>
      </c>
      <c r="AI410" t="s">
        <v>396</v>
      </c>
    </row>
    <row r="411" spans="1:35">
      <c r="B411" t="s">
        <v>130</v>
      </c>
      <c r="U411">
        <v>1</v>
      </c>
      <c r="AH411">
        <v>1</v>
      </c>
      <c r="AI411" t="s">
        <v>396</v>
      </c>
    </row>
    <row r="412" spans="1:35">
      <c r="B412" t="s">
        <v>249</v>
      </c>
      <c r="U412">
        <v>2</v>
      </c>
      <c r="AH412">
        <v>2</v>
      </c>
      <c r="AI412" t="s">
        <v>396</v>
      </c>
    </row>
    <row r="413" spans="1:35">
      <c r="B413" t="s">
        <v>383</v>
      </c>
      <c r="U413">
        <v>1</v>
      </c>
      <c r="AH413">
        <v>1</v>
      </c>
      <c r="AI413" t="s">
        <v>396</v>
      </c>
    </row>
    <row r="414" spans="1:35">
      <c r="B414" t="s">
        <v>104</v>
      </c>
      <c r="U414">
        <v>1</v>
      </c>
      <c r="AH414">
        <v>1</v>
      </c>
      <c r="AI414" t="s">
        <v>396</v>
      </c>
    </row>
    <row r="415" spans="1:35">
      <c r="B415" t="s">
        <v>113</v>
      </c>
      <c r="U415">
        <v>1</v>
      </c>
      <c r="AH415">
        <v>1</v>
      </c>
      <c r="AI415" t="s">
        <v>396</v>
      </c>
    </row>
    <row r="416" spans="1:35">
      <c r="B416" t="s">
        <v>102</v>
      </c>
      <c r="U416">
        <v>1</v>
      </c>
      <c r="AH416">
        <v>1</v>
      </c>
      <c r="AI416" t="s">
        <v>396</v>
      </c>
    </row>
    <row r="417" spans="1:35">
      <c r="B417" t="s">
        <v>354</v>
      </c>
      <c r="U417">
        <v>1</v>
      </c>
      <c r="AH417">
        <v>1</v>
      </c>
      <c r="AI417" t="s">
        <v>396</v>
      </c>
    </row>
    <row r="418" spans="1:35">
      <c r="A418" t="s">
        <v>250</v>
      </c>
      <c r="B418" t="s">
        <v>251</v>
      </c>
      <c r="U418">
        <v>9</v>
      </c>
      <c r="AH418">
        <v>9</v>
      </c>
      <c r="AI418" t="s">
        <v>396</v>
      </c>
    </row>
    <row r="419" spans="1:35">
      <c r="A419" t="s">
        <v>174</v>
      </c>
      <c r="B419" t="s">
        <v>175</v>
      </c>
      <c r="V419">
        <v>3</v>
      </c>
      <c r="AH419">
        <v>3</v>
      </c>
      <c r="AI419" t="s">
        <v>399</v>
      </c>
    </row>
    <row r="420" spans="1:35">
      <c r="B420" t="s">
        <v>178</v>
      </c>
      <c r="V420">
        <v>3</v>
      </c>
      <c r="AH420">
        <v>3</v>
      </c>
      <c r="AI420" t="s">
        <v>399</v>
      </c>
    </row>
    <row r="421" spans="1:35">
      <c r="B421" t="s">
        <v>179</v>
      </c>
      <c r="V421">
        <v>3</v>
      </c>
      <c r="AH421">
        <v>3</v>
      </c>
      <c r="AI421" t="s">
        <v>399</v>
      </c>
    </row>
    <row r="422" spans="1:35">
      <c r="B422" t="s">
        <v>180</v>
      </c>
      <c r="V422">
        <v>4</v>
      </c>
      <c r="AH422">
        <v>4</v>
      </c>
      <c r="AI422" t="s">
        <v>399</v>
      </c>
    </row>
    <row r="423" spans="1:35">
      <c r="B423" t="s">
        <v>181</v>
      </c>
      <c r="V423">
        <v>2</v>
      </c>
      <c r="AH423">
        <v>2</v>
      </c>
      <c r="AI423" t="s">
        <v>399</v>
      </c>
    </row>
    <row r="424" spans="1:35">
      <c r="B424" t="s">
        <v>182</v>
      </c>
      <c r="V424">
        <v>3</v>
      </c>
      <c r="AH424">
        <v>3</v>
      </c>
      <c r="AI424" t="s">
        <v>399</v>
      </c>
    </row>
    <row r="425" spans="1:35">
      <c r="B425" t="s">
        <v>183</v>
      </c>
      <c r="V425">
        <v>3</v>
      </c>
      <c r="AH425">
        <v>3</v>
      </c>
      <c r="AI425" t="s">
        <v>399</v>
      </c>
    </row>
    <row r="426" spans="1:35">
      <c r="A426" t="s">
        <v>188</v>
      </c>
      <c r="B426" t="s">
        <v>342</v>
      </c>
      <c r="V426">
        <v>1</v>
      </c>
      <c r="AH426">
        <v>1</v>
      </c>
      <c r="AI426" t="s">
        <v>399</v>
      </c>
    </row>
    <row r="427" spans="1:35">
      <c r="B427" t="s">
        <v>189</v>
      </c>
      <c r="V427">
        <v>1</v>
      </c>
      <c r="AH427">
        <v>1</v>
      </c>
      <c r="AI427" t="s">
        <v>399</v>
      </c>
    </row>
    <row r="428" spans="1:35">
      <c r="B428" t="s">
        <v>310</v>
      </c>
      <c r="V428">
        <v>1</v>
      </c>
      <c r="AH428">
        <v>1</v>
      </c>
      <c r="AI428" t="s">
        <v>399</v>
      </c>
    </row>
    <row r="429" spans="1:35">
      <c r="B429" t="s">
        <v>263</v>
      </c>
      <c r="V429">
        <v>1</v>
      </c>
      <c r="AH429">
        <v>1</v>
      </c>
      <c r="AI429" t="s">
        <v>399</v>
      </c>
    </row>
    <row r="430" spans="1:35">
      <c r="B430" t="s">
        <v>281</v>
      </c>
      <c r="V430">
        <v>1</v>
      </c>
      <c r="AH430">
        <v>1</v>
      </c>
      <c r="AI430" t="s">
        <v>399</v>
      </c>
    </row>
    <row r="431" spans="1:35">
      <c r="B431" t="s">
        <v>190</v>
      </c>
      <c r="V431">
        <v>1</v>
      </c>
      <c r="AH431">
        <v>1</v>
      </c>
      <c r="AI431" t="s">
        <v>399</v>
      </c>
    </row>
    <row r="432" spans="1:35">
      <c r="B432" t="s">
        <v>265</v>
      </c>
      <c r="V432">
        <v>2</v>
      </c>
      <c r="AH432">
        <v>2</v>
      </c>
      <c r="AI432" t="s">
        <v>399</v>
      </c>
    </row>
    <row r="433" spans="2:35">
      <c r="B433" t="s">
        <v>192</v>
      </c>
      <c r="V433">
        <v>1</v>
      </c>
      <c r="AH433">
        <v>1</v>
      </c>
      <c r="AI433" t="s">
        <v>399</v>
      </c>
    </row>
    <row r="434" spans="2:35">
      <c r="B434" t="s">
        <v>193</v>
      </c>
      <c r="V434">
        <v>3</v>
      </c>
      <c r="AH434">
        <v>3</v>
      </c>
      <c r="AI434" t="s">
        <v>399</v>
      </c>
    </row>
    <row r="435" spans="2:35">
      <c r="B435" t="s">
        <v>121</v>
      </c>
      <c r="V435">
        <v>1</v>
      </c>
      <c r="AH435">
        <v>1</v>
      </c>
      <c r="AI435" t="s">
        <v>399</v>
      </c>
    </row>
    <row r="436" spans="2:35">
      <c r="B436" t="s">
        <v>194</v>
      </c>
      <c r="V436">
        <v>3</v>
      </c>
      <c r="AH436">
        <v>3</v>
      </c>
      <c r="AI436" t="s">
        <v>399</v>
      </c>
    </row>
    <row r="437" spans="2:35">
      <c r="B437" t="s">
        <v>266</v>
      </c>
      <c r="V437">
        <v>1</v>
      </c>
      <c r="AH437">
        <v>1</v>
      </c>
      <c r="AI437" t="s">
        <v>399</v>
      </c>
    </row>
    <row r="438" spans="2:35">
      <c r="B438" t="s">
        <v>344</v>
      </c>
      <c r="V438">
        <v>1</v>
      </c>
      <c r="AH438">
        <v>1</v>
      </c>
      <c r="AI438" t="s">
        <v>399</v>
      </c>
    </row>
    <row r="439" spans="2:35">
      <c r="B439" t="s">
        <v>116</v>
      </c>
      <c r="V439">
        <v>1</v>
      </c>
      <c r="AH439">
        <v>1</v>
      </c>
      <c r="AI439" t="s">
        <v>399</v>
      </c>
    </row>
    <row r="440" spans="2:35">
      <c r="B440" t="s">
        <v>195</v>
      </c>
      <c r="V440">
        <v>2</v>
      </c>
      <c r="AH440">
        <v>2</v>
      </c>
      <c r="AI440" t="s">
        <v>399</v>
      </c>
    </row>
    <row r="441" spans="2:35">
      <c r="B441" t="s">
        <v>289</v>
      </c>
      <c r="V441">
        <v>1</v>
      </c>
      <c r="AH441">
        <v>1</v>
      </c>
      <c r="AI441" t="s">
        <v>399</v>
      </c>
    </row>
    <row r="442" spans="2:35">
      <c r="B442" t="s">
        <v>268</v>
      </c>
      <c r="V442">
        <v>2</v>
      </c>
      <c r="AH442">
        <v>2</v>
      </c>
      <c r="AI442" t="s">
        <v>399</v>
      </c>
    </row>
    <row r="443" spans="2:35">
      <c r="B443" t="s">
        <v>313</v>
      </c>
      <c r="V443">
        <v>1</v>
      </c>
      <c r="AH443">
        <v>1</v>
      </c>
      <c r="AI443" t="s">
        <v>399</v>
      </c>
    </row>
    <row r="444" spans="2:35">
      <c r="B444" t="s">
        <v>291</v>
      </c>
      <c r="V444">
        <v>1</v>
      </c>
      <c r="AH444">
        <v>1</v>
      </c>
      <c r="AI444" t="s">
        <v>399</v>
      </c>
    </row>
    <row r="445" spans="2:35">
      <c r="B445" t="s">
        <v>314</v>
      </c>
      <c r="V445">
        <v>2</v>
      </c>
      <c r="AH445">
        <v>2</v>
      </c>
      <c r="AI445" t="s">
        <v>399</v>
      </c>
    </row>
    <row r="446" spans="2:35">
      <c r="B446" t="s">
        <v>196</v>
      </c>
      <c r="V446">
        <v>2</v>
      </c>
      <c r="AH446">
        <v>2</v>
      </c>
      <c r="AI446" t="s">
        <v>399</v>
      </c>
    </row>
    <row r="447" spans="2:35">
      <c r="B447" t="s">
        <v>328</v>
      </c>
      <c r="V447">
        <v>1</v>
      </c>
      <c r="AH447">
        <v>1</v>
      </c>
      <c r="AI447" t="s">
        <v>399</v>
      </c>
    </row>
    <row r="448" spans="2:35">
      <c r="B448" t="s">
        <v>292</v>
      </c>
      <c r="V448">
        <v>1</v>
      </c>
      <c r="AH448">
        <v>1</v>
      </c>
      <c r="AI448" t="s">
        <v>399</v>
      </c>
    </row>
    <row r="449" spans="1:35">
      <c r="B449" t="s">
        <v>198</v>
      </c>
      <c r="V449">
        <v>6</v>
      </c>
      <c r="AH449">
        <v>6</v>
      </c>
      <c r="AI449" t="s">
        <v>399</v>
      </c>
    </row>
    <row r="450" spans="1:35">
      <c r="B450" t="s">
        <v>199</v>
      </c>
      <c r="V450">
        <v>5</v>
      </c>
      <c r="AH450">
        <v>5</v>
      </c>
      <c r="AI450" t="s">
        <v>399</v>
      </c>
    </row>
    <row r="451" spans="1:35">
      <c r="B451" t="s">
        <v>293</v>
      </c>
      <c r="V451">
        <v>2</v>
      </c>
      <c r="AH451">
        <v>2</v>
      </c>
      <c r="AI451" t="s">
        <v>399</v>
      </c>
    </row>
    <row r="452" spans="1:35">
      <c r="B452" t="s">
        <v>200</v>
      </c>
      <c r="V452">
        <v>1</v>
      </c>
      <c r="AH452">
        <v>1</v>
      </c>
      <c r="AI452" t="s">
        <v>399</v>
      </c>
    </row>
    <row r="453" spans="1:35">
      <c r="A453" t="s">
        <v>202</v>
      </c>
      <c r="B453" t="s">
        <v>205</v>
      </c>
      <c r="V453">
        <v>7</v>
      </c>
      <c r="AH453">
        <v>7</v>
      </c>
      <c r="AI453" t="s">
        <v>399</v>
      </c>
    </row>
    <row r="454" spans="1:35">
      <c r="B454" t="s">
        <v>213</v>
      </c>
      <c r="V454">
        <v>2</v>
      </c>
      <c r="AH454">
        <v>2</v>
      </c>
      <c r="AI454" t="s">
        <v>399</v>
      </c>
    </row>
    <row r="455" spans="1:35">
      <c r="B455" t="s">
        <v>214</v>
      </c>
      <c r="V455">
        <v>6</v>
      </c>
      <c r="AH455">
        <v>6</v>
      </c>
      <c r="AI455" t="s">
        <v>399</v>
      </c>
    </row>
    <row r="456" spans="1:35">
      <c r="B456" t="s">
        <v>215</v>
      </c>
      <c r="V456">
        <v>6</v>
      </c>
      <c r="AH456">
        <v>6</v>
      </c>
      <c r="AI456" t="s">
        <v>399</v>
      </c>
    </row>
    <row r="457" spans="1:35">
      <c r="B457" t="s">
        <v>218</v>
      </c>
      <c r="V457">
        <v>5</v>
      </c>
      <c r="AH457">
        <v>5</v>
      </c>
      <c r="AI457" t="s">
        <v>399</v>
      </c>
    </row>
    <row r="458" spans="1:35">
      <c r="B458" t="s">
        <v>219</v>
      </c>
      <c r="V458">
        <v>1</v>
      </c>
      <c r="AH458">
        <v>1</v>
      </c>
      <c r="AI458" t="s">
        <v>399</v>
      </c>
    </row>
    <row r="459" spans="1:35">
      <c r="B459" t="s">
        <v>220</v>
      </c>
      <c r="V459">
        <v>6</v>
      </c>
      <c r="AH459">
        <v>6</v>
      </c>
      <c r="AI459" t="s">
        <v>399</v>
      </c>
    </row>
    <row r="460" spans="1:35">
      <c r="B460" t="s">
        <v>221</v>
      </c>
      <c r="V460">
        <v>6</v>
      </c>
      <c r="AH460">
        <v>6</v>
      </c>
      <c r="AI460" t="s">
        <v>399</v>
      </c>
    </row>
    <row r="461" spans="1:35">
      <c r="B461" t="s">
        <v>222</v>
      </c>
      <c r="V461">
        <v>6</v>
      </c>
      <c r="AH461">
        <v>6</v>
      </c>
      <c r="AI461" t="s">
        <v>399</v>
      </c>
    </row>
    <row r="462" spans="1:35">
      <c r="B462" t="s">
        <v>223</v>
      </c>
      <c r="V462">
        <v>6</v>
      </c>
      <c r="AH462">
        <v>6</v>
      </c>
      <c r="AI462" t="s">
        <v>399</v>
      </c>
    </row>
    <row r="463" spans="1:35">
      <c r="B463" t="s">
        <v>228</v>
      </c>
      <c r="V463">
        <v>6</v>
      </c>
      <c r="AH463">
        <v>6</v>
      </c>
      <c r="AI463" t="s">
        <v>399</v>
      </c>
    </row>
    <row r="464" spans="1:35">
      <c r="B464" t="s">
        <v>230</v>
      </c>
      <c r="V464">
        <v>6</v>
      </c>
      <c r="AH464">
        <v>6</v>
      </c>
      <c r="AI464" t="s">
        <v>399</v>
      </c>
    </row>
    <row r="465" spans="1:35">
      <c r="B465" t="s">
        <v>231</v>
      </c>
      <c r="V465">
        <v>5</v>
      </c>
      <c r="AH465">
        <v>5</v>
      </c>
      <c r="AI465" t="s">
        <v>399</v>
      </c>
    </row>
    <row r="466" spans="1:35">
      <c r="B466" t="s">
        <v>295</v>
      </c>
      <c r="V466">
        <v>1</v>
      </c>
      <c r="AH466">
        <v>1</v>
      </c>
      <c r="AI466" t="s">
        <v>399</v>
      </c>
    </row>
    <row r="467" spans="1:35">
      <c r="B467" t="s">
        <v>232</v>
      </c>
      <c r="V467">
        <v>1</v>
      </c>
      <c r="AH467">
        <v>1</v>
      </c>
      <c r="AI467" t="s">
        <v>399</v>
      </c>
    </row>
    <row r="468" spans="1:35">
      <c r="B468" t="s">
        <v>296</v>
      </c>
      <c r="V468">
        <v>1</v>
      </c>
      <c r="AH468">
        <v>1</v>
      </c>
      <c r="AI468" t="s">
        <v>399</v>
      </c>
    </row>
    <row r="469" spans="1:35">
      <c r="A469" t="s">
        <v>237</v>
      </c>
      <c r="B469" t="s">
        <v>238</v>
      </c>
      <c r="V469">
        <v>4</v>
      </c>
      <c r="AH469">
        <v>4</v>
      </c>
      <c r="AI469" t="s">
        <v>399</v>
      </c>
    </row>
    <row r="470" spans="1:35">
      <c r="B470" t="s">
        <v>273</v>
      </c>
      <c r="V470">
        <v>1</v>
      </c>
      <c r="AH470">
        <v>1</v>
      </c>
      <c r="AI470" t="s">
        <v>399</v>
      </c>
    </row>
    <row r="471" spans="1:35">
      <c r="B471" t="s">
        <v>240</v>
      </c>
      <c r="V471">
        <v>3</v>
      </c>
      <c r="AH471">
        <v>3</v>
      </c>
      <c r="AI471" t="s">
        <v>399</v>
      </c>
    </row>
    <row r="472" spans="1:35">
      <c r="B472" t="s">
        <v>241</v>
      </c>
      <c r="V472">
        <v>1</v>
      </c>
      <c r="AH472">
        <v>1</v>
      </c>
      <c r="AI472" t="s">
        <v>399</v>
      </c>
    </row>
    <row r="473" spans="1:35">
      <c r="B473" t="s">
        <v>242</v>
      </c>
      <c r="V473">
        <v>4</v>
      </c>
      <c r="AH473">
        <v>4</v>
      </c>
      <c r="AI473" t="s">
        <v>399</v>
      </c>
    </row>
    <row r="474" spans="1:35">
      <c r="B474" t="s">
        <v>243</v>
      </c>
      <c r="V474">
        <v>1</v>
      </c>
      <c r="AH474">
        <v>1</v>
      </c>
      <c r="AI474" t="s">
        <v>399</v>
      </c>
    </row>
    <row r="475" spans="1:35">
      <c r="A475" t="s">
        <v>248</v>
      </c>
      <c r="B475" t="s">
        <v>108</v>
      </c>
      <c r="V475">
        <v>3</v>
      </c>
      <c r="AH475">
        <v>3</v>
      </c>
      <c r="AI475" t="s">
        <v>399</v>
      </c>
    </row>
    <row r="476" spans="1:35">
      <c r="B476" t="s">
        <v>129</v>
      </c>
      <c r="V476">
        <v>4</v>
      </c>
      <c r="AH476">
        <v>4</v>
      </c>
      <c r="AI476" t="s">
        <v>399</v>
      </c>
    </row>
    <row r="477" spans="1:35">
      <c r="B477" t="s">
        <v>130</v>
      </c>
      <c r="V477">
        <v>1</v>
      </c>
      <c r="AH477">
        <v>1</v>
      </c>
      <c r="AI477" t="s">
        <v>399</v>
      </c>
    </row>
    <row r="478" spans="1:35">
      <c r="B478" t="s">
        <v>249</v>
      </c>
      <c r="V478">
        <v>2</v>
      </c>
      <c r="AH478">
        <v>2</v>
      </c>
      <c r="AI478" t="s">
        <v>399</v>
      </c>
    </row>
    <row r="479" spans="1:35">
      <c r="B479" t="s">
        <v>382</v>
      </c>
      <c r="V479">
        <v>1</v>
      </c>
      <c r="AH479">
        <v>1</v>
      </c>
      <c r="AI479" t="s">
        <v>399</v>
      </c>
    </row>
    <row r="480" spans="1:35">
      <c r="B480" t="s">
        <v>400</v>
      </c>
      <c r="V480">
        <v>1</v>
      </c>
      <c r="AH480">
        <v>1</v>
      </c>
      <c r="AI480" t="s">
        <v>399</v>
      </c>
    </row>
    <row r="481" spans="1:35">
      <c r="B481" t="s">
        <v>348</v>
      </c>
      <c r="V481">
        <v>1</v>
      </c>
      <c r="AH481">
        <v>1</v>
      </c>
      <c r="AI481" t="s">
        <v>399</v>
      </c>
    </row>
    <row r="482" spans="1:35">
      <c r="B482" t="s">
        <v>104</v>
      </c>
      <c r="V482">
        <v>2</v>
      </c>
      <c r="AH482">
        <v>2</v>
      </c>
      <c r="AI482" t="s">
        <v>399</v>
      </c>
    </row>
    <row r="483" spans="1:35">
      <c r="B483" t="s">
        <v>103</v>
      </c>
      <c r="V483">
        <v>1</v>
      </c>
      <c r="AH483">
        <v>1</v>
      </c>
      <c r="AI483" t="s">
        <v>399</v>
      </c>
    </row>
    <row r="484" spans="1:35">
      <c r="B484" t="s">
        <v>113</v>
      </c>
      <c r="V484">
        <v>1</v>
      </c>
      <c r="AH484">
        <v>1</v>
      </c>
      <c r="AI484" t="s">
        <v>399</v>
      </c>
    </row>
    <row r="485" spans="1:35">
      <c r="B485" t="s">
        <v>102</v>
      </c>
      <c r="V485">
        <v>2</v>
      </c>
      <c r="AH485">
        <v>2</v>
      </c>
      <c r="AI485" t="s">
        <v>399</v>
      </c>
    </row>
    <row r="486" spans="1:35">
      <c r="B486" t="s">
        <v>105</v>
      </c>
      <c r="V486">
        <v>1</v>
      </c>
      <c r="AH486">
        <v>1</v>
      </c>
      <c r="AI486" t="s">
        <v>399</v>
      </c>
    </row>
    <row r="487" spans="1:35">
      <c r="B487" t="s">
        <v>106</v>
      </c>
      <c r="V487">
        <v>1</v>
      </c>
      <c r="AH487">
        <v>1</v>
      </c>
      <c r="AI487" t="s">
        <v>399</v>
      </c>
    </row>
    <row r="488" spans="1:35">
      <c r="A488" t="s">
        <v>250</v>
      </c>
      <c r="B488" t="s">
        <v>251</v>
      </c>
      <c r="V488">
        <v>2</v>
      </c>
      <c r="AH488">
        <v>2</v>
      </c>
      <c r="AI488" t="s">
        <v>399</v>
      </c>
    </row>
    <row r="489" spans="1:35">
      <c r="A489" t="s">
        <v>253</v>
      </c>
      <c r="B489" t="s">
        <v>74</v>
      </c>
      <c r="V489">
        <v>3</v>
      </c>
      <c r="AH489">
        <v>3</v>
      </c>
      <c r="AI489" t="s">
        <v>399</v>
      </c>
    </row>
    <row r="490" spans="1:35">
      <c r="B490" t="s">
        <v>254</v>
      </c>
      <c r="V490">
        <v>1</v>
      </c>
      <c r="AH490">
        <v>1</v>
      </c>
      <c r="AI490" t="s">
        <v>399</v>
      </c>
    </row>
    <row r="491" spans="1:35">
      <c r="A491" t="s">
        <v>256</v>
      </c>
      <c r="B491" t="s">
        <v>304</v>
      </c>
      <c r="V491">
        <v>1</v>
      </c>
      <c r="AH491">
        <v>1</v>
      </c>
      <c r="AI491" t="s">
        <v>399</v>
      </c>
    </row>
    <row r="492" spans="1:35">
      <c r="A492" t="s">
        <v>174</v>
      </c>
      <c r="B492" t="s">
        <v>175</v>
      </c>
      <c r="X492">
        <v>2</v>
      </c>
      <c r="AH492">
        <v>2</v>
      </c>
      <c r="AI492" t="s">
        <v>401</v>
      </c>
    </row>
    <row r="493" spans="1:35">
      <c r="B493" t="s">
        <v>177</v>
      </c>
      <c r="X493">
        <v>5</v>
      </c>
      <c r="AH493">
        <v>5</v>
      </c>
      <c r="AI493" t="s">
        <v>401</v>
      </c>
    </row>
    <row r="494" spans="1:35">
      <c r="B494" t="s">
        <v>178</v>
      </c>
      <c r="X494">
        <v>5</v>
      </c>
      <c r="AH494">
        <v>5</v>
      </c>
      <c r="AI494" t="s">
        <v>401</v>
      </c>
    </row>
    <row r="495" spans="1:35">
      <c r="B495" t="s">
        <v>179</v>
      </c>
      <c r="X495">
        <v>9</v>
      </c>
      <c r="AH495">
        <v>9</v>
      </c>
      <c r="AI495" t="s">
        <v>401</v>
      </c>
    </row>
    <row r="496" spans="1:35">
      <c r="B496" t="s">
        <v>260</v>
      </c>
      <c r="X496">
        <v>1</v>
      </c>
      <c r="AH496">
        <v>1</v>
      </c>
      <c r="AI496" t="s">
        <v>401</v>
      </c>
    </row>
    <row r="497" spans="1:35">
      <c r="B497" t="s">
        <v>181</v>
      </c>
      <c r="X497">
        <v>6</v>
      </c>
      <c r="AH497">
        <v>6</v>
      </c>
      <c r="AI497" t="s">
        <v>401</v>
      </c>
    </row>
    <row r="498" spans="1:35">
      <c r="B498" t="s">
        <v>111</v>
      </c>
      <c r="X498">
        <v>2</v>
      </c>
      <c r="AH498">
        <v>2</v>
      </c>
      <c r="AI498" t="s">
        <v>401</v>
      </c>
    </row>
    <row r="499" spans="1:35">
      <c r="B499" t="s">
        <v>182</v>
      </c>
      <c r="X499">
        <v>3</v>
      </c>
      <c r="AH499">
        <v>3</v>
      </c>
      <c r="AI499" t="s">
        <v>401</v>
      </c>
    </row>
    <row r="500" spans="1:35">
      <c r="B500" t="s">
        <v>183</v>
      </c>
      <c r="X500">
        <v>2</v>
      </c>
      <c r="AH500">
        <v>2</v>
      </c>
      <c r="AI500" t="s">
        <v>401</v>
      </c>
    </row>
    <row r="501" spans="1:35">
      <c r="A501" t="s">
        <v>185</v>
      </c>
      <c r="B501" t="s">
        <v>186</v>
      </c>
      <c r="X501">
        <v>4</v>
      </c>
      <c r="AH501">
        <v>4</v>
      </c>
      <c r="AI501" t="s">
        <v>401</v>
      </c>
    </row>
    <row r="502" spans="1:35">
      <c r="B502" t="s">
        <v>187</v>
      </c>
      <c r="X502">
        <v>4</v>
      </c>
      <c r="AH502">
        <v>4</v>
      </c>
      <c r="AI502" t="s">
        <v>401</v>
      </c>
    </row>
    <row r="503" spans="1:35">
      <c r="A503" t="s">
        <v>188</v>
      </c>
      <c r="B503" t="s">
        <v>189</v>
      </c>
      <c r="X503">
        <v>7</v>
      </c>
      <c r="AH503">
        <v>7</v>
      </c>
      <c r="AI503" t="s">
        <v>401</v>
      </c>
    </row>
    <row r="504" spans="1:35">
      <c r="B504" t="s">
        <v>325</v>
      </c>
      <c r="X504">
        <v>1</v>
      </c>
      <c r="AH504">
        <v>1</v>
      </c>
      <c r="AI504" t="s">
        <v>401</v>
      </c>
    </row>
    <row r="505" spans="1:35">
      <c r="B505" t="s">
        <v>264</v>
      </c>
      <c r="X505">
        <v>1</v>
      </c>
      <c r="AH505">
        <v>1</v>
      </c>
      <c r="AI505" t="s">
        <v>401</v>
      </c>
    </row>
    <row r="506" spans="1:35">
      <c r="B506" t="s">
        <v>190</v>
      </c>
      <c r="X506">
        <v>1</v>
      </c>
      <c r="AH506">
        <v>1</v>
      </c>
      <c r="AI506" t="s">
        <v>401</v>
      </c>
    </row>
    <row r="507" spans="1:35">
      <c r="B507" t="s">
        <v>287</v>
      </c>
      <c r="X507">
        <v>1</v>
      </c>
      <c r="AH507">
        <v>1</v>
      </c>
      <c r="AI507" t="s">
        <v>401</v>
      </c>
    </row>
    <row r="508" spans="1:35">
      <c r="B508" t="s">
        <v>265</v>
      </c>
      <c r="X508">
        <v>2</v>
      </c>
      <c r="AH508">
        <v>2</v>
      </c>
      <c r="AI508" t="s">
        <v>401</v>
      </c>
    </row>
    <row r="509" spans="1:35">
      <c r="B509" t="s">
        <v>192</v>
      </c>
      <c r="X509">
        <v>2</v>
      </c>
      <c r="AH509">
        <v>2</v>
      </c>
      <c r="AI509" t="s">
        <v>401</v>
      </c>
    </row>
    <row r="510" spans="1:35">
      <c r="B510" t="s">
        <v>193</v>
      </c>
      <c r="X510">
        <v>1</v>
      </c>
      <c r="AH510">
        <v>1</v>
      </c>
      <c r="AI510" t="s">
        <v>401</v>
      </c>
    </row>
    <row r="511" spans="1:35">
      <c r="B511" t="s">
        <v>121</v>
      </c>
      <c r="X511">
        <v>1</v>
      </c>
      <c r="AH511">
        <v>1</v>
      </c>
      <c r="AI511" t="s">
        <v>401</v>
      </c>
    </row>
    <row r="512" spans="1:35">
      <c r="B512" t="s">
        <v>345</v>
      </c>
      <c r="X512">
        <v>1</v>
      </c>
      <c r="AH512">
        <v>1</v>
      </c>
      <c r="AI512" t="s">
        <v>401</v>
      </c>
    </row>
    <row r="513" spans="1:35">
      <c r="B513" t="s">
        <v>195</v>
      </c>
      <c r="X513">
        <v>3</v>
      </c>
      <c r="AH513">
        <v>3</v>
      </c>
      <c r="AI513" t="s">
        <v>401</v>
      </c>
    </row>
    <row r="514" spans="1:35">
      <c r="B514" t="s">
        <v>289</v>
      </c>
      <c r="X514">
        <v>2</v>
      </c>
      <c r="AH514">
        <v>2</v>
      </c>
      <c r="AI514" t="s">
        <v>401</v>
      </c>
    </row>
    <row r="515" spans="1:35">
      <c r="B515" t="s">
        <v>268</v>
      </c>
      <c r="X515">
        <v>3</v>
      </c>
      <c r="AH515">
        <v>3</v>
      </c>
      <c r="AI515" t="s">
        <v>401</v>
      </c>
    </row>
    <row r="516" spans="1:35">
      <c r="B516" t="s">
        <v>290</v>
      </c>
      <c r="X516">
        <v>2</v>
      </c>
      <c r="AH516">
        <v>2</v>
      </c>
      <c r="AI516" t="s">
        <v>401</v>
      </c>
    </row>
    <row r="517" spans="1:35">
      <c r="B517" t="s">
        <v>313</v>
      </c>
      <c r="X517">
        <v>1</v>
      </c>
      <c r="AH517">
        <v>1</v>
      </c>
      <c r="AI517" t="s">
        <v>401</v>
      </c>
    </row>
    <row r="518" spans="1:35">
      <c r="B518" t="s">
        <v>314</v>
      </c>
      <c r="X518">
        <v>1</v>
      </c>
      <c r="AH518">
        <v>1</v>
      </c>
      <c r="AI518" t="s">
        <v>401</v>
      </c>
    </row>
    <row r="519" spans="1:35">
      <c r="B519" t="s">
        <v>196</v>
      </c>
      <c r="X519">
        <v>1</v>
      </c>
      <c r="AH519">
        <v>1</v>
      </c>
      <c r="AI519" t="s">
        <v>401</v>
      </c>
    </row>
    <row r="520" spans="1:35">
      <c r="B520" t="s">
        <v>328</v>
      </c>
      <c r="X520">
        <v>1</v>
      </c>
      <c r="AH520">
        <v>1</v>
      </c>
      <c r="AI520" t="s">
        <v>401</v>
      </c>
    </row>
    <row r="521" spans="1:35">
      <c r="B521" t="s">
        <v>292</v>
      </c>
      <c r="X521">
        <v>1</v>
      </c>
      <c r="AH521">
        <v>1</v>
      </c>
      <c r="AI521" t="s">
        <v>401</v>
      </c>
    </row>
    <row r="522" spans="1:35">
      <c r="B522" t="s">
        <v>112</v>
      </c>
      <c r="X522">
        <v>2</v>
      </c>
      <c r="AH522">
        <v>2</v>
      </c>
      <c r="AI522" t="s">
        <v>401</v>
      </c>
    </row>
    <row r="523" spans="1:35">
      <c r="B523" t="s">
        <v>397</v>
      </c>
      <c r="X523">
        <v>1</v>
      </c>
      <c r="AH523">
        <v>1</v>
      </c>
      <c r="AI523" t="s">
        <v>401</v>
      </c>
    </row>
    <row r="524" spans="1:35">
      <c r="B524" t="s">
        <v>110</v>
      </c>
      <c r="X524">
        <v>2</v>
      </c>
      <c r="AH524">
        <v>2</v>
      </c>
      <c r="AI524" t="s">
        <v>401</v>
      </c>
    </row>
    <row r="525" spans="1:35">
      <c r="B525" t="s">
        <v>81</v>
      </c>
      <c r="X525">
        <v>3</v>
      </c>
      <c r="AH525">
        <v>3</v>
      </c>
      <c r="AI525" t="s">
        <v>401</v>
      </c>
    </row>
    <row r="526" spans="1:35">
      <c r="B526" t="s">
        <v>398</v>
      </c>
      <c r="X526">
        <v>1</v>
      </c>
      <c r="AH526">
        <v>1</v>
      </c>
      <c r="AI526" t="s">
        <v>401</v>
      </c>
    </row>
    <row r="527" spans="1:35">
      <c r="A527" t="s">
        <v>202</v>
      </c>
      <c r="B527" t="s">
        <v>203</v>
      </c>
      <c r="X527">
        <v>4</v>
      </c>
      <c r="AH527">
        <v>4</v>
      </c>
      <c r="AI527" t="s">
        <v>401</v>
      </c>
    </row>
    <row r="528" spans="1:35">
      <c r="B528" t="s">
        <v>204</v>
      </c>
      <c r="X528">
        <v>4</v>
      </c>
      <c r="AH528">
        <v>4</v>
      </c>
      <c r="AI528" t="s">
        <v>401</v>
      </c>
    </row>
    <row r="529" spans="2:35">
      <c r="B529" t="s">
        <v>205</v>
      </c>
      <c r="X529">
        <v>1</v>
      </c>
      <c r="AH529">
        <v>1</v>
      </c>
      <c r="AI529" t="s">
        <v>401</v>
      </c>
    </row>
    <row r="530" spans="2:35">
      <c r="B530" t="s">
        <v>206</v>
      </c>
      <c r="X530">
        <v>2</v>
      </c>
      <c r="AH530">
        <v>2</v>
      </c>
      <c r="AI530" t="s">
        <v>401</v>
      </c>
    </row>
    <row r="531" spans="2:35">
      <c r="B531" t="s">
        <v>207</v>
      </c>
      <c r="X531">
        <v>3</v>
      </c>
      <c r="AH531">
        <v>3</v>
      </c>
      <c r="AI531" t="s">
        <v>401</v>
      </c>
    </row>
    <row r="532" spans="2:35">
      <c r="B532" t="s">
        <v>208</v>
      </c>
      <c r="X532">
        <v>2</v>
      </c>
      <c r="AH532">
        <v>2</v>
      </c>
      <c r="AI532" t="s">
        <v>401</v>
      </c>
    </row>
    <row r="533" spans="2:35">
      <c r="B533" t="s">
        <v>209</v>
      </c>
      <c r="X533">
        <v>4</v>
      </c>
      <c r="AH533">
        <v>4</v>
      </c>
      <c r="AI533" t="s">
        <v>401</v>
      </c>
    </row>
    <row r="534" spans="2:35">
      <c r="B534" t="s">
        <v>210</v>
      </c>
      <c r="X534">
        <v>1</v>
      </c>
      <c r="AH534">
        <v>1</v>
      </c>
      <c r="AI534" t="s">
        <v>401</v>
      </c>
    </row>
    <row r="535" spans="2:35">
      <c r="B535" t="s">
        <v>211</v>
      </c>
      <c r="X535">
        <v>13</v>
      </c>
      <c r="AH535">
        <v>13</v>
      </c>
      <c r="AI535" t="s">
        <v>401</v>
      </c>
    </row>
    <row r="536" spans="2:35">
      <c r="B536" t="s">
        <v>212</v>
      </c>
      <c r="X536">
        <v>13</v>
      </c>
      <c r="AH536">
        <v>13</v>
      </c>
      <c r="AI536" t="s">
        <v>401</v>
      </c>
    </row>
    <row r="537" spans="2:35">
      <c r="B537" t="s">
        <v>213</v>
      </c>
      <c r="X537">
        <v>13</v>
      </c>
      <c r="AH537">
        <v>13</v>
      </c>
      <c r="AI537" t="s">
        <v>401</v>
      </c>
    </row>
    <row r="538" spans="2:35">
      <c r="B538" t="s">
        <v>214</v>
      </c>
      <c r="X538">
        <v>14</v>
      </c>
      <c r="AH538">
        <v>14</v>
      </c>
      <c r="AI538" t="s">
        <v>401</v>
      </c>
    </row>
    <row r="539" spans="2:35">
      <c r="B539" t="s">
        <v>215</v>
      </c>
      <c r="X539">
        <v>14</v>
      </c>
      <c r="AH539">
        <v>14</v>
      </c>
      <c r="AI539" t="s">
        <v>401</v>
      </c>
    </row>
    <row r="540" spans="2:35">
      <c r="B540" t="s">
        <v>316</v>
      </c>
      <c r="X540">
        <v>1</v>
      </c>
      <c r="AH540">
        <v>1</v>
      </c>
      <c r="AI540" t="s">
        <v>401</v>
      </c>
    </row>
    <row r="541" spans="2:35">
      <c r="B541" t="s">
        <v>216</v>
      </c>
      <c r="X541">
        <v>4</v>
      </c>
      <c r="AH541">
        <v>4</v>
      </c>
      <c r="AI541" t="s">
        <v>401</v>
      </c>
    </row>
    <row r="542" spans="2:35">
      <c r="B542" t="s">
        <v>217</v>
      </c>
      <c r="X542">
        <v>4</v>
      </c>
      <c r="AH542">
        <v>4</v>
      </c>
      <c r="AI542" t="s">
        <v>401</v>
      </c>
    </row>
    <row r="543" spans="2:35">
      <c r="B543" t="s">
        <v>219</v>
      </c>
      <c r="X543">
        <v>13</v>
      </c>
      <c r="AH543">
        <v>13</v>
      </c>
      <c r="AI543" t="s">
        <v>401</v>
      </c>
    </row>
    <row r="544" spans="2:35">
      <c r="B544" t="s">
        <v>220</v>
      </c>
      <c r="X544">
        <v>4</v>
      </c>
      <c r="AH544">
        <v>4</v>
      </c>
      <c r="AI544" t="s">
        <v>401</v>
      </c>
    </row>
    <row r="545" spans="1:35">
      <c r="B545" t="s">
        <v>221</v>
      </c>
      <c r="X545">
        <v>1</v>
      </c>
      <c r="AH545">
        <v>1</v>
      </c>
      <c r="AI545" t="s">
        <v>401</v>
      </c>
    </row>
    <row r="546" spans="1:35">
      <c r="B546" t="s">
        <v>223</v>
      </c>
      <c r="X546">
        <v>1</v>
      </c>
      <c r="AH546">
        <v>1</v>
      </c>
      <c r="AI546" t="s">
        <v>401</v>
      </c>
    </row>
    <row r="547" spans="1:35">
      <c r="B547" t="s">
        <v>224</v>
      </c>
      <c r="X547">
        <v>1</v>
      </c>
      <c r="AH547">
        <v>1</v>
      </c>
      <c r="AI547" t="s">
        <v>401</v>
      </c>
    </row>
    <row r="548" spans="1:35">
      <c r="B548" t="s">
        <v>225</v>
      </c>
      <c r="X548">
        <v>4</v>
      </c>
      <c r="AH548">
        <v>4</v>
      </c>
      <c r="AI548" t="s">
        <v>401</v>
      </c>
    </row>
    <row r="549" spans="1:35">
      <c r="B549" t="s">
        <v>226</v>
      </c>
      <c r="X549">
        <v>4</v>
      </c>
      <c r="AH549">
        <v>4</v>
      </c>
      <c r="AI549" t="s">
        <v>401</v>
      </c>
    </row>
    <row r="550" spans="1:35">
      <c r="B550" t="s">
        <v>227</v>
      </c>
      <c r="X550">
        <v>4</v>
      </c>
      <c r="AH550">
        <v>4</v>
      </c>
      <c r="AI550" t="s">
        <v>401</v>
      </c>
    </row>
    <row r="551" spans="1:35">
      <c r="B551" t="s">
        <v>228</v>
      </c>
      <c r="X551">
        <v>14</v>
      </c>
      <c r="AH551">
        <v>14</v>
      </c>
      <c r="AI551" t="s">
        <v>401</v>
      </c>
    </row>
    <row r="552" spans="1:35">
      <c r="B552" t="s">
        <v>229</v>
      </c>
      <c r="X552">
        <v>4</v>
      </c>
      <c r="AH552">
        <v>4</v>
      </c>
      <c r="AI552" t="s">
        <v>401</v>
      </c>
    </row>
    <row r="553" spans="1:35">
      <c r="B553" t="s">
        <v>230</v>
      </c>
      <c r="X553">
        <v>14</v>
      </c>
      <c r="AH553">
        <v>14</v>
      </c>
      <c r="AI553" t="s">
        <v>401</v>
      </c>
    </row>
    <row r="554" spans="1:35">
      <c r="B554" t="s">
        <v>231</v>
      </c>
      <c r="X554">
        <v>1</v>
      </c>
      <c r="AH554">
        <v>1</v>
      </c>
      <c r="AI554" t="s">
        <v>401</v>
      </c>
    </row>
    <row r="555" spans="1:35">
      <c r="B555" t="s">
        <v>233</v>
      </c>
      <c r="X555">
        <v>5</v>
      </c>
      <c r="AH555">
        <v>5</v>
      </c>
      <c r="AI555" t="s">
        <v>401</v>
      </c>
    </row>
    <row r="556" spans="1:35">
      <c r="B556" t="s">
        <v>234</v>
      </c>
      <c r="X556">
        <v>4</v>
      </c>
      <c r="AH556">
        <v>4</v>
      </c>
      <c r="AI556" t="s">
        <v>401</v>
      </c>
    </row>
    <row r="557" spans="1:35">
      <c r="B557" t="s">
        <v>235</v>
      </c>
      <c r="X557">
        <v>4</v>
      </c>
      <c r="AH557">
        <v>4</v>
      </c>
      <c r="AI557" t="s">
        <v>401</v>
      </c>
    </row>
    <row r="558" spans="1:35">
      <c r="B558" t="s">
        <v>296</v>
      </c>
      <c r="X558">
        <v>1</v>
      </c>
      <c r="AH558">
        <v>1</v>
      </c>
      <c r="AI558" t="s">
        <v>401</v>
      </c>
    </row>
    <row r="559" spans="1:35">
      <c r="A559" t="s">
        <v>237</v>
      </c>
      <c r="B559" t="s">
        <v>238</v>
      </c>
      <c r="X559">
        <v>5</v>
      </c>
      <c r="AH559">
        <v>5</v>
      </c>
      <c r="AI559" t="s">
        <v>401</v>
      </c>
    </row>
    <row r="560" spans="1:35">
      <c r="B560" t="s">
        <v>239</v>
      </c>
      <c r="X560">
        <v>2</v>
      </c>
      <c r="AH560">
        <v>2</v>
      </c>
      <c r="AI560" t="s">
        <v>401</v>
      </c>
    </row>
    <row r="561" spans="1:35">
      <c r="B561" t="s">
        <v>272</v>
      </c>
      <c r="X561">
        <v>4</v>
      </c>
      <c r="AH561">
        <v>4</v>
      </c>
      <c r="AI561" t="s">
        <v>401</v>
      </c>
    </row>
    <row r="562" spans="1:35">
      <c r="B562" t="s">
        <v>273</v>
      </c>
      <c r="X562">
        <v>2</v>
      </c>
      <c r="AH562">
        <v>2</v>
      </c>
      <c r="AI562" t="s">
        <v>401</v>
      </c>
    </row>
    <row r="563" spans="1:35">
      <c r="B563" t="s">
        <v>240</v>
      </c>
      <c r="X563">
        <v>9</v>
      </c>
      <c r="AH563">
        <v>9</v>
      </c>
      <c r="AI563" t="s">
        <v>401</v>
      </c>
    </row>
    <row r="564" spans="1:35">
      <c r="B564" t="s">
        <v>241</v>
      </c>
      <c r="X564">
        <v>2</v>
      </c>
      <c r="AH564">
        <v>2</v>
      </c>
      <c r="AI564" t="s">
        <v>401</v>
      </c>
    </row>
    <row r="565" spans="1:35">
      <c r="B565" t="s">
        <v>242</v>
      </c>
      <c r="X565">
        <v>7</v>
      </c>
      <c r="AH565">
        <v>7</v>
      </c>
      <c r="AI565" t="s">
        <v>401</v>
      </c>
    </row>
    <row r="566" spans="1:35">
      <c r="B566" t="s">
        <v>245</v>
      </c>
      <c r="X566">
        <v>2</v>
      </c>
      <c r="AH566">
        <v>2</v>
      </c>
      <c r="AI566" t="s">
        <v>401</v>
      </c>
    </row>
    <row r="567" spans="1:35">
      <c r="A567" t="s">
        <v>248</v>
      </c>
      <c r="B567" t="s">
        <v>118</v>
      </c>
      <c r="X567">
        <v>1</v>
      </c>
      <c r="AH567">
        <v>1</v>
      </c>
      <c r="AI567" t="s">
        <v>401</v>
      </c>
    </row>
    <row r="568" spans="1:35">
      <c r="B568" t="s">
        <v>108</v>
      </c>
      <c r="X568">
        <v>5</v>
      </c>
      <c r="AH568">
        <v>5</v>
      </c>
      <c r="AI568" t="s">
        <v>401</v>
      </c>
    </row>
    <row r="569" spans="1:35">
      <c r="B569" t="s">
        <v>129</v>
      </c>
      <c r="X569">
        <v>1</v>
      </c>
      <c r="AH569">
        <v>1</v>
      </c>
      <c r="AI569" t="s">
        <v>401</v>
      </c>
    </row>
    <row r="570" spans="1:35">
      <c r="B570" t="s">
        <v>130</v>
      </c>
      <c r="X570">
        <v>1</v>
      </c>
      <c r="AH570">
        <v>1</v>
      </c>
      <c r="AI570" t="s">
        <v>401</v>
      </c>
    </row>
    <row r="571" spans="1:35">
      <c r="B571" t="s">
        <v>249</v>
      </c>
      <c r="X571">
        <v>8</v>
      </c>
      <c r="AH571">
        <v>8</v>
      </c>
      <c r="AI571" t="s">
        <v>401</v>
      </c>
    </row>
    <row r="572" spans="1:35">
      <c r="B572" t="s">
        <v>400</v>
      </c>
      <c r="X572">
        <v>1</v>
      </c>
      <c r="AH572">
        <v>1</v>
      </c>
      <c r="AI572" t="s">
        <v>401</v>
      </c>
    </row>
    <row r="573" spans="1:35">
      <c r="B573" t="s">
        <v>383</v>
      </c>
      <c r="X573">
        <v>1</v>
      </c>
      <c r="AH573">
        <v>1</v>
      </c>
      <c r="AI573" t="s">
        <v>401</v>
      </c>
    </row>
    <row r="574" spans="1:35">
      <c r="B574" t="s">
        <v>104</v>
      </c>
      <c r="X574">
        <v>2</v>
      </c>
      <c r="AH574">
        <v>2</v>
      </c>
      <c r="AI574" t="s">
        <v>401</v>
      </c>
    </row>
    <row r="575" spans="1:35">
      <c r="B575" t="s">
        <v>103</v>
      </c>
      <c r="X575">
        <v>1</v>
      </c>
      <c r="AH575">
        <v>1</v>
      </c>
      <c r="AI575" t="s">
        <v>401</v>
      </c>
    </row>
    <row r="576" spans="1:35">
      <c r="B576" t="s">
        <v>113</v>
      </c>
      <c r="X576">
        <v>5</v>
      </c>
      <c r="AH576">
        <v>5</v>
      </c>
      <c r="AI576" t="s">
        <v>401</v>
      </c>
    </row>
    <row r="577" spans="1:35">
      <c r="B577" t="s">
        <v>114</v>
      </c>
      <c r="X577">
        <v>1</v>
      </c>
      <c r="AH577">
        <v>1</v>
      </c>
      <c r="AI577" t="s">
        <v>401</v>
      </c>
    </row>
    <row r="578" spans="1:35">
      <c r="B578" t="s">
        <v>102</v>
      </c>
      <c r="X578">
        <v>2</v>
      </c>
      <c r="AH578">
        <v>2</v>
      </c>
      <c r="AI578" t="s">
        <v>401</v>
      </c>
    </row>
    <row r="579" spans="1:35">
      <c r="B579" t="s">
        <v>354</v>
      </c>
      <c r="X579">
        <v>1</v>
      </c>
      <c r="AH579">
        <v>1</v>
      </c>
      <c r="AI579" t="s">
        <v>401</v>
      </c>
    </row>
    <row r="580" spans="1:35">
      <c r="B580" t="s">
        <v>107</v>
      </c>
      <c r="X580">
        <v>2</v>
      </c>
      <c r="AH580">
        <v>2</v>
      </c>
      <c r="AI580" t="s">
        <v>401</v>
      </c>
    </row>
    <row r="581" spans="1:35">
      <c r="B581" t="s">
        <v>105</v>
      </c>
      <c r="X581">
        <v>2</v>
      </c>
      <c r="AH581">
        <v>2</v>
      </c>
      <c r="AI581" t="s">
        <v>401</v>
      </c>
    </row>
    <row r="582" spans="1:35">
      <c r="B582" t="s">
        <v>106</v>
      </c>
      <c r="X582">
        <v>2</v>
      </c>
      <c r="AH582">
        <v>2</v>
      </c>
      <c r="AI582" t="s">
        <v>401</v>
      </c>
    </row>
    <row r="583" spans="1:35">
      <c r="A583" t="s">
        <v>250</v>
      </c>
      <c r="B583" t="s">
        <v>251</v>
      </c>
      <c r="X583">
        <v>13</v>
      </c>
      <c r="AH583">
        <v>13</v>
      </c>
      <c r="AI583" t="s">
        <v>401</v>
      </c>
    </row>
    <row r="584" spans="1:35">
      <c r="B584" t="s">
        <v>252</v>
      </c>
      <c r="X584">
        <v>4</v>
      </c>
      <c r="AH584">
        <v>4</v>
      </c>
      <c r="AI584" t="s">
        <v>401</v>
      </c>
    </row>
    <row r="585" spans="1:35">
      <c r="A585" t="s">
        <v>253</v>
      </c>
      <c r="B585" t="s">
        <v>74</v>
      </c>
      <c r="X585">
        <v>1</v>
      </c>
      <c r="AH585">
        <v>1</v>
      </c>
      <c r="AI585" t="s">
        <v>401</v>
      </c>
    </row>
    <row r="586" spans="1:35">
      <c r="A586" t="s">
        <v>256</v>
      </c>
      <c r="B586" t="s">
        <v>304</v>
      </c>
      <c r="X586">
        <v>1</v>
      </c>
      <c r="AH586">
        <v>1</v>
      </c>
      <c r="AI586" t="s">
        <v>401</v>
      </c>
    </row>
    <row r="587" spans="1:35">
      <c r="A587" t="s">
        <v>174</v>
      </c>
      <c r="B587" t="s">
        <v>175</v>
      </c>
      <c r="Y587">
        <v>1</v>
      </c>
      <c r="AH587">
        <v>1</v>
      </c>
      <c r="AI587" t="s">
        <v>402</v>
      </c>
    </row>
    <row r="588" spans="1:35">
      <c r="B588" t="s">
        <v>259</v>
      </c>
      <c r="Y588">
        <v>1</v>
      </c>
      <c r="AH588">
        <v>1</v>
      </c>
      <c r="AI588" t="s">
        <v>402</v>
      </c>
    </row>
    <row r="589" spans="1:35">
      <c r="B589" t="s">
        <v>178</v>
      </c>
      <c r="Y589">
        <v>6</v>
      </c>
      <c r="AH589">
        <v>6</v>
      </c>
      <c r="AI589" t="s">
        <v>402</v>
      </c>
    </row>
    <row r="590" spans="1:35">
      <c r="B590" t="s">
        <v>179</v>
      </c>
      <c r="Y590">
        <v>9</v>
      </c>
      <c r="AH590">
        <v>9</v>
      </c>
      <c r="AI590" t="s">
        <v>402</v>
      </c>
    </row>
    <row r="591" spans="1:35">
      <c r="B591" t="s">
        <v>180</v>
      </c>
      <c r="Y591">
        <v>2</v>
      </c>
      <c r="AH591">
        <v>2</v>
      </c>
      <c r="AI591" t="s">
        <v>402</v>
      </c>
    </row>
    <row r="592" spans="1:35">
      <c r="B592" t="s">
        <v>261</v>
      </c>
      <c r="Y592">
        <v>1</v>
      </c>
      <c r="AH592">
        <v>1</v>
      </c>
      <c r="AI592" t="s">
        <v>402</v>
      </c>
    </row>
    <row r="593" spans="1:35">
      <c r="B593" t="s">
        <v>262</v>
      </c>
      <c r="Y593">
        <v>1</v>
      </c>
      <c r="AH593">
        <v>1</v>
      </c>
      <c r="AI593" t="s">
        <v>402</v>
      </c>
    </row>
    <row r="594" spans="1:35">
      <c r="B594" t="s">
        <v>181</v>
      </c>
      <c r="Y594">
        <v>2</v>
      </c>
      <c r="AH594">
        <v>2</v>
      </c>
      <c r="AI594" t="s">
        <v>402</v>
      </c>
    </row>
    <row r="595" spans="1:35">
      <c r="B595" t="s">
        <v>111</v>
      </c>
      <c r="Y595">
        <v>1</v>
      </c>
      <c r="AH595">
        <v>1</v>
      </c>
      <c r="AI595" t="s">
        <v>402</v>
      </c>
    </row>
    <row r="596" spans="1:35">
      <c r="B596" t="s">
        <v>182</v>
      </c>
      <c r="Y596">
        <v>1</v>
      </c>
      <c r="AH596">
        <v>1</v>
      </c>
      <c r="AI596" t="s">
        <v>402</v>
      </c>
    </row>
    <row r="597" spans="1:35">
      <c r="B597" t="s">
        <v>183</v>
      </c>
      <c r="Y597">
        <v>1</v>
      </c>
      <c r="AH597">
        <v>1</v>
      </c>
      <c r="AI597" t="s">
        <v>402</v>
      </c>
    </row>
    <row r="598" spans="1:35">
      <c r="A598" t="s">
        <v>185</v>
      </c>
      <c r="B598" t="s">
        <v>186</v>
      </c>
      <c r="Y598">
        <v>1</v>
      </c>
      <c r="AH598">
        <v>1</v>
      </c>
      <c r="AI598" t="s">
        <v>402</v>
      </c>
    </row>
    <row r="599" spans="1:35">
      <c r="B599" t="s">
        <v>187</v>
      </c>
      <c r="Y599">
        <v>1</v>
      </c>
      <c r="AH599">
        <v>1</v>
      </c>
      <c r="AI599" t="s">
        <v>402</v>
      </c>
    </row>
    <row r="600" spans="1:35">
      <c r="A600" t="s">
        <v>188</v>
      </c>
      <c r="B600" t="s">
        <v>189</v>
      </c>
      <c r="Y600">
        <v>1</v>
      </c>
      <c r="AH600">
        <v>1</v>
      </c>
      <c r="AI600" t="s">
        <v>402</v>
      </c>
    </row>
    <row r="601" spans="1:35">
      <c r="B601" t="s">
        <v>287</v>
      </c>
      <c r="Y601">
        <v>1</v>
      </c>
      <c r="AH601">
        <v>1</v>
      </c>
      <c r="AI601" t="s">
        <v>402</v>
      </c>
    </row>
    <row r="602" spans="1:35">
      <c r="B602" t="s">
        <v>265</v>
      </c>
      <c r="Y602">
        <v>1</v>
      </c>
      <c r="AH602">
        <v>1</v>
      </c>
      <c r="AI602" t="s">
        <v>402</v>
      </c>
    </row>
    <row r="603" spans="1:35">
      <c r="B603" t="s">
        <v>193</v>
      </c>
      <c r="Y603">
        <v>2</v>
      </c>
      <c r="AH603">
        <v>2</v>
      </c>
      <c r="AI603" t="s">
        <v>402</v>
      </c>
    </row>
    <row r="604" spans="1:35">
      <c r="B604" t="s">
        <v>121</v>
      </c>
      <c r="Y604">
        <v>2</v>
      </c>
      <c r="AH604">
        <v>2</v>
      </c>
      <c r="AI604" t="s">
        <v>402</v>
      </c>
    </row>
    <row r="605" spans="1:35">
      <c r="B605" t="s">
        <v>194</v>
      </c>
      <c r="Y605">
        <v>2</v>
      </c>
      <c r="AH605">
        <v>2</v>
      </c>
      <c r="AI605" t="s">
        <v>402</v>
      </c>
    </row>
    <row r="606" spans="1:35">
      <c r="B606" t="s">
        <v>266</v>
      </c>
      <c r="Y606">
        <v>2</v>
      </c>
      <c r="AH606">
        <v>2</v>
      </c>
      <c r="AI606" t="s">
        <v>402</v>
      </c>
    </row>
    <row r="607" spans="1:35">
      <c r="B607" t="s">
        <v>344</v>
      </c>
      <c r="Y607">
        <v>1</v>
      </c>
      <c r="AH607">
        <v>1</v>
      </c>
      <c r="AI607" t="s">
        <v>402</v>
      </c>
    </row>
    <row r="608" spans="1:35">
      <c r="B608" t="s">
        <v>268</v>
      </c>
      <c r="Y608">
        <v>3</v>
      </c>
      <c r="AH608">
        <v>3</v>
      </c>
      <c r="AI608" t="s">
        <v>402</v>
      </c>
    </row>
    <row r="609" spans="1:35">
      <c r="B609" t="s">
        <v>292</v>
      </c>
      <c r="Y609">
        <v>2</v>
      </c>
      <c r="AH609">
        <v>2</v>
      </c>
      <c r="AI609" t="s">
        <v>402</v>
      </c>
    </row>
    <row r="610" spans="1:35">
      <c r="B610" t="s">
        <v>198</v>
      </c>
      <c r="Y610">
        <v>2</v>
      </c>
      <c r="AH610">
        <v>2</v>
      </c>
      <c r="AI610" t="s">
        <v>402</v>
      </c>
    </row>
    <row r="611" spans="1:35">
      <c r="B611" t="s">
        <v>199</v>
      </c>
      <c r="Y611">
        <v>2</v>
      </c>
      <c r="AH611">
        <v>2</v>
      </c>
      <c r="AI611" t="s">
        <v>402</v>
      </c>
    </row>
    <row r="612" spans="1:35">
      <c r="B612" t="s">
        <v>293</v>
      </c>
      <c r="Y612">
        <v>2</v>
      </c>
      <c r="AH612">
        <v>2</v>
      </c>
      <c r="AI612" t="s">
        <v>402</v>
      </c>
    </row>
    <row r="613" spans="1:35">
      <c r="B613" t="s">
        <v>315</v>
      </c>
      <c r="Y613">
        <v>1</v>
      </c>
      <c r="AH613">
        <v>1</v>
      </c>
      <c r="AI613" t="s">
        <v>402</v>
      </c>
    </row>
    <row r="614" spans="1:35">
      <c r="B614" t="s">
        <v>110</v>
      </c>
      <c r="Y614">
        <v>1</v>
      </c>
      <c r="AH614">
        <v>1</v>
      </c>
      <c r="AI614" t="s">
        <v>402</v>
      </c>
    </row>
    <row r="615" spans="1:35">
      <c r="B615" t="s">
        <v>81</v>
      </c>
      <c r="Y615">
        <v>1</v>
      </c>
      <c r="AH615">
        <v>1</v>
      </c>
      <c r="AI615" t="s">
        <v>402</v>
      </c>
    </row>
    <row r="616" spans="1:35">
      <c r="B616" t="s">
        <v>101</v>
      </c>
      <c r="Y616">
        <v>2</v>
      </c>
      <c r="AH616">
        <v>2</v>
      </c>
      <c r="AI616" t="s">
        <v>402</v>
      </c>
    </row>
    <row r="617" spans="1:35">
      <c r="B617" t="s">
        <v>398</v>
      </c>
      <c r="Y617">
        <v>1</v>
      </c>
      <c r="AH617">
        <v>1</v>
      </c>
      <c r="AI617" t="s">
        <v>402</v>
      </c>
    </row>
    <row r="618" spans="1:35">
      <c r="A618" t="s">
        <v>202</v>
      </c>
      <c r="B618" t="s">
        <v>203</v>
      </c>
      <c r="Y618">
        <v>1</v>
      </c>
      <c r="AH618">
        <v>1</v>
      </c>
      <c r="AI618" t="s">
        <v>402</v>
      </c>
    </row>
    <row r="619" spans="1:35">
      <c r="B619" t="s">
        <v>204</v>
      </c>
      <c r="Y619">
        <v>1</v>
      </c>
      <c r="AH619">
        <v>1</v>
      </c>
      <c r="AI619" t="s">
        <v>402</v>
      </c>
    </row>
    <row r="620" spans="1:35">
      <c r="B620" t="s">
        <v>205</v>
      </c>
      <c r="Y620">
        <v>6</v>
      </c>
      <c r="AH620">
        <v>6</v>
      </c>
      <c r="AI620" t="s">
        <v>402</v>
      </c>
    </row>
    <row r="621" spans="1:35">
      <c r="B621" t="s">
        <v>206</v>
      </c>
      <c r="Y621">
        <v>1</v>
      </c>
      <c r="AH621">
        <v>1</v>
      </c>
      <c r="AI621" t="s">
        <v>402</v>
      </c>
    </row>
    <row r="622" spans="1:35">
      <c r="B622" t="s">
        <v>207</v>
      </c>
      <c r="Y622">
        <v>4</v>
      </c>
      <c r="AH622">
        <v>4</v>
      </c>
      <c r="AI622" t="s">
        <v>402</v>
      </c>
    </row>
    <row r="623" spans="1:35">
      <c r="B623" t="s">
        <v>208</v>
      </c>
      <c r="Y623">
        <v>1</v>
      </c>
      <c r="AH623">
        <v>1</v>
      </c>
      <c r="AI623" t="s">
        <v>402</v>
      </c>
    </row>
    <row r="624" spans="1:35">
      <c r="B624" t="s">
        <v>209</v>
      </c>
      <c r="Y624">
        <v>2</v>
      </c>
      <c r="AH624">
        <v>2</v>
      </c>
      <c r="AI624" t="s">
        <v>402</v>
      </c>
    </row>
    <row r="625" spans="2:35">
      <c r="B625" t="s">
        <v>211</v>
      </c>
      <c r="Y625">
        <v>10</v>
      </c>
      <c r="AH625">
        <v>10</v>
      </c>
      <c r="AI625" t="s">
        <v>402</v>
      </c>
    </row>
    <row r="626" spans="2:35">
      <c r="B626" t="s">
        <v>212</v>
      </c>
      <c r="Y626">
        <v>10</v>
      </c>
      <c r="AH626">
        <v>10</v>
      </c>
      <c r="AI626" t="s">
        <v>402</v>
      </c>
    </row>
    <row r="627" spans="2:35">
      <c r="B627" t="s">
        <v>213</v>
      </c>
      <c r="Y627">
        <v>10</v>
      </c>
      <c r="AH627">
        <v>10</v>
      </c>
      <c r="AI627" t="s">
        <v>402</v>
      </c>
    </row>
    <row r="628" spans="2:35">
      <c r="B628" t="s">
        <v>214</v>
      </c>
      <c r="Y628">
        <v>14</v>
      </c>
      <c r="AH628">
        <v>14</v>
      </c>
      <c r="AI628" t="s">
        <v>402</v>
      </c>
    </row>
    <row r="629" spans="2:35">
      <c r="B629" t="s">
        <v>215</v>
      </c>
      <c r="Y629">
        <v>13</v>
      </c>
      <c r="AH629">
        <v>13</v>
      </c>
      <c r="AI629" t="s">
        <v>402</v>
      </c>
    </row>
    <row r="630" spans="2:35">
      <c r="B630" t="s">
        <v>316</v>
      </c>
      <c r="Y630">
        <v>1</v>
      </c>
      <c r="AH630">
        <v>1</v>
      </c>
      <c r="AI630" t="s">
        <v>402</v>
      </c>
    </row>
    <row r="631" spans="2:35">
      <c r="B631" t="s">
        <v>216</v>
      </c>
      <c r="Y631">
        <v>1</v>
      </c>
      <c r="AH631">
        <v>1</v>
      </c>
      <c r="AI631" t="s">
        <v>402</v>
      </c>
    </row>
    <row r="632" spans="2:35">
      <c r="B632" t="s">
        <v>217</v>
      </c>
      <c r="Y632">
        <v>2</v>
      </c>
      <c r="AH632">
        <v>2</v>
      </c>
      <c r="AI632" t="s">
        <v>402</v>
      </c>
    </row>
    <row r="633" spans="2:35">
      <c r="B633" t="s">
        <v>218</v>
      </c>
      <c r="Y633">
        <v>3</v>
      </c>
      <c r="AH633">
        <v>3</v>
      </c>
      <c r="AI633" t="s">
        <v>402</v>
      </c>
    </row>
    <row r="634" spans="2:35">
      <c r="B634" t="s">
        <v>219</v>
      </c>
      <c r="Y634">
        <v>10</v>
      </c>
      <c r="AH634">
        <v>10</v>
      </c>
      <c r="AI634" t="s">
        <v>402</v>
      </c>
    </row>
    <row r="635" spans="2:35">
      <c r="B635" t="s">
        <v>220</v>
      </c>
      <c r="Y635">
        <v>5</v>
      </c>
      <c r="AH635">
        <v>5</v>
      </c>
      <c r="AI635" t="s">
        <v>402</v>
      </c>
    </row>
    <row r="636" spans="2:35">
      <c r="B636" t="s">
        <v>221</v>
      </c>
      <c r="Y636">
        <v>4</v>
      </c>
      <c r="AH636">
        <v>4</v>
      </c>
      <c r="AI636" t="s">
        <v>402</v>
      </c>
    </row>
    <row r="637" spans="2:35">
      <c r="B637" t="s">
        <v>222</v>
      </c>
      <c r="Y637">
        <v>4</v>
      </c>
      <c r="AH637">
        <v>4</v>
      </c>
      <c r="AI637" t="s">
        <v>402</v>
      </c>
    </row>
    <row r="638" spans="2:35">
      <c r="B638" t="s">
        <v>223</v>
      </c>
      <c r="Y638">
        <v>4</v>
      </c>
      <c r="AH638">
        <v>4</v>
      </c>
      <c r="AI638" t="s">
        <v>402</v>
      </c>
    </row>
    <row r="639" spans="2:35">
      <c r="B639" t="s">
        <v>224</v>
      </c>
      <c r="Y639">
        <v>2</v>
      </c>
      <c r="AH639">
        <v>2</v>
      </c>
      <c r="AI639" t="s">
        <v>402</v>
      </c>
    </row>
    <row r="640" spans="2:35">
      <c r="B640" t="s">
        <v>225</v>
      </c>
      <c r="Y640">
        <v>1</v>
      </c>
      <c r="AH640">
        <v>1</v>
      </c>
      <c r="AI640" t="s">
        <v>402</v>
      </c>
    </row>
    <row r="641" spans="1:35">
      <c r="B641" t="s">
        <v>226</v>
      </c>
      <c r="Y641">
        <v>1</v>
      </c>
      <c r="AH641">
        <v>1</v>
      </c>
      <c r="AI641" t="s">
        <v>402</v>
      </c>
    </row>
    <row r="642" spans="1:35">
      <c r="B642" t="s">
        <v>227</v>
      </c>
      <c r="Y642">
        <v>1</v>
      </c>
      <c r="AH642">
        <v>1</v>
      </c>
      <c r="AI642" t="s">
        <v>402</v>
      </c>
    </row>
    <row r="643" spans="1:35">
      <c r="B643" t="s">
        <v>228</v>
      </c>
      <c r="Y643">
        <v>13</v>
      </c>
      <c r="AH643">
        <v>13</v>
      </c>
      <c r="AI643" t="s">
        <v>402</v>
      </c>
    </row>
    <row r="644" spans="1:35">
      <c r="B644" t="s">
        <v>229</v>
      </c>
      <c r="Y644">
        <v>1</v>
      </c>
      <c r="AH644">
        <v>1</v>
      </c>
      <c r="AI644" t="s">
        <v>402</v>
      </c>
    </row>
    <row r="645" spans="1:35">
      <c r="B645" t="s">
        <v>230</v>
      </c>
      <c r="Y645">
        <v>14</v>
      </c>
      <c r="AH645">
        <v>14</v>
      </c>
      <c r="AI645" t="s">
        <v>402</v>
      </c>
    </row>
    <row r="646" spans="1:35">
      <c r="B646" t="s">
        <v>231</v>
      </c>
      <c r="Y646">
        <v>4</v>
      </c>
      <c r="AH646">
        <v>4</v>
      </c>
      <c r="AI646" t="s">
        <v>402</v>
      </c>
    </row>
    <row r="647" spans="1:35">
      <c r="B647" t="s">
        <v>352</v>
      </c>
      <c r="Y647">
        <v>1</v>
      </c>
      <c r="AH647">
        <v>1</v>
      </c>
      <c r="AI647" t="s">
        <v>402</v>
      </c>
    </row>
    <row r="648" spans="1:35">
      <c r="B648" t="s">
        <v>295</v>
      </c>
      <c r="Y648">
        <v>2</v>
      </c>
      <c r="AH648">
        <v>2</v>
      </c>
      <c r="AI648" t="s">
        <v>402</v>
      </c>
    </row>
    <row r="649" spans="1:35">
      <c r="B649" t="s">
        <v>233</v>
      </c>
      <c r="Y649">
        <v>1</v>
      </c>
      <c r="AH649">
        <v>1</v>
      </c>
      <c r="AI649" t="s">
        <v>402</v>
      </c>
    </row>
    <row r="650" spans="1:35">
      <c r="B650" t="s">
        <v>234</v>
      </c>
      <c r="Y650">
        <v>1</v>
      </c>
      <c r="AH650">
        <v>1</v>
      </c>
      <c r="AI650" t="s">
        <v>402</v>
      </c>
    </row>
    <row r="651" spans="1:35">
      <c r="B651" t="s">
        <v>235</v>
      </c>
      <c r="Y651">
        <v>1</v>
      </c>
      <c r="AH651">
        <v>1</v>
      </c>
      <c r="AI651" t="s">
        <v>402</v>
      </c>
    </row>
    <row r="652" spans="1:35">
      <c r="B652" t="s">
        <v>236</v>
      </c>
      <c r="Y652">
        <v>1</v>
      </c>
      <c r="AH652">
        <v>1</v>
      </c>
      <c r="AI652" t="s">
        <v>402</v>
      </c>
    </row>
    <row r="653" spans="1:35">
      <c r="A653" t="s">
        <v>237</v>
      </c>
      <c r="B653" t="s">
        <v>271</v>
      </c>
      <c r="Y653">
        <v>19</v>
      </c>
      <c r="AH653">
        <v>19</v>
      </c>
      <c r="AI653" t="s">
        <v>402</v>
      </c>
    </row>
    <row r="654" spans="1:35">
      <c r="B654" t="s">
        <v>238</v>
      </c>
      <c r="Y654">
        <v>2</v>
      </c>
      <c r="AH654">
        <v>2</v>
      </c>
      <c r="AI654" t="s">
        <v>402</v>
      </c>
    </row>
    <row r="655" spans="1:35">
      <c r="B655" t="s">
        <v>239</v>
      </c>
      <c r="Y655">
        <v>1</v>
      </c>
      <c r="AH655">
        <v>1</v>
      </c>
      <c r="AI655" t="s">
        <v>402</v>
      </c>
    </row>
    <row r="656" spans="1:35">
      <c r="B656" t="s">
        <v>272</v>
      </c>
      <c r="Y656">
        <v>6</v>
      </c>
      <c r="AH656">
        <v>6</v>
      </c>
      <c r="AI656" t="s">
        <v>402</v>
      </c>
    </row>
    <row r="657" spans="1:35">
      <c r="B657" t="s">
        <v>240</v>
      </c>
      <c r="Y657">
        <v>1</v>
      </c>
      <c r="AH657">
        <v>1</v>
      </c>
      <c r="AI657" t="s">
        <v>402</v>
      </c>
    </row>
    <row r="658" spans="1:35">
      <c r="B658" t="s">
        <v>241</v>
      </c>
      <c r="Y658">
        <v>1</v>
      </c>
      <c r="AH658">
        <v>1</v>
      </c>
      <c r="AI658" t="s">
        <v>402</v>
      </c>
    </row>
    <row r="659" spans="1:35">
      <c r="B659" t="s">
        <v>242</v>
      </c>
      <c r="Y659">
        <v>6</v>
      </c>
      <c r="AH659">
        <v>6</v>
      </c>
      <c r="AI659" t="s">
        <v>402</v>
      </c>
    </row>
    <row r="660" spans="1:35">
      <c r="B660" t="s">
        <v>245</v>
      </c>
      <c r="Y660">
        <v>2</v>
      </c>
      <c r="AH660">
        <v>2</v>
      </c>
      <c r="AI660" t="s">
        <v>402</v>
      </c>
    </row>
    <row r="661" spans="1:35">
      <c r="A661" t="s">
        <v>246</v>
      </c>
      <c r="B661" t="s">
        <v>247</v>
      </c>
      <c r="Y661">
        <v>6</v>
      </c>
      <c r="AH661">
        <v>6</v>
      </c>
      <c r="AI661" t="s">
        <v>402</v>
      </c>
    </row>
    <row r="662" spans="1:35">
      <c r="A662" t="s">
        <v>248</v>
      </c>
      <c r="B662" t="s">
        <v>108</v>
      </c>
      <c r="Y662">
        <v>6</v>
      </c>
      <c r="AH662">
        <v>6</v>
      </c>
      <c r="AI662" t="s">
        <v>402</v>
      </c>
    </row>
    <row r="663" spans="1:35">
      <c r="B663" t="s">
        <v>129</v>
      </c>
      <c r="Y663">
        <v>1</v>
      </c>
      <c r="AH663">
        <v>1</v>
      </c>
      <c r="AI663" t="s">
        <v>402</v>
      </c>
    </row>
    <row r="664" spans="1:35">
      <c r="B664" t="s">
        <v>130</v>
      </c>
      <c r="Y664">
        <v>1</v>
      </c>
      <c r="AH664">
        <v>1</v>
      </c>
      <c r="AI664" t="s">
        <v>402</v>
      </c>
    </row>
    <row r="665" spans="1:35">
      <c r="B665" t="s">
        <v>249</v>
      </c>
      <c r="Y665">
        <v>2</v>
      </c>
      <c r="AH665">
        <v>2</v>
      </c>
      <c r="AI665" t="s">
        <v>402</v>
      </c>
    </row>
    <row r="666" spans="1:35">
      <c r="B666" t="s">
        <v>275</v>
      </c>
      <c r="Y666">
        <v>1</v>
      </c>
      <c r="AH666">
        <v>1</v>
      </c>
      <c r="AI666" t="s">
        <v>402</v>
      </c>
    </row>
    <row r="667" spans="1:35">
      <c r="B667" t="s">
        <v>383</v>
      </c>
      <c r="Y667">
        <v>1</v>
      </c>
      <c r="AH667">
        <v>1</v>
      </c>
      <c r="AI667" t="s">
        <v>402</v>
      </c>
    </row>
    <row r="668" spans="1:35">
      <c r="B668" t="s">
        <v>104</v>
      </c>
      <c r="Y668">
        <v>3</v>
      </c>
      <c r="AH668">
        <v>3</v>
      </c>
      <c r="AI668" t="s">
        <v>402</v>
      </c>
    </row>
    <row r="669" spans="1:35">
      <c r="B669" t="s">
        <v>103</v>
      </c>
      <c r="Y669">
        <v>1</v>
      </c>
      <c r="AH669">
        <v>1</v>
      </c>
      <c r="AI669" t="s">
        <v>402</v>
      </c>
    </row>
    <row r="670" spans="1:35">
      <c r="B670" t="s">
        <v>113</v>
      </c>
      <c r="Y670">
        <v>1</v>
      </c>
      <c r="AH670">
        <v>1</v>
      </c>
      <c r="AI670" t="s">
        <v>402</v>
      </c>
    </row>
    <row r="671" spans="1:35">
      <c r="B671" t="s">
        <v>102</v>
      </c>
      <c r="Y671">
        <v>1</v>
      </c>
      <c r="AH671">
        <v>1</v>
      </c>
      <c r="AI671" t="s">
        <v>402</v>
      </c>
    </row>
    <row r="672" spans="1:35">
      <c r="B672" t="s">
        <v>107</v>
      </c>
      <c r="Y672">
        <v>2</v>
      </c>
      <c r="AH672">
        <v>2</v>
      </c>
      <c r="AI672" t="s">
        <v>402</v>
      </c>
    </row>
    <row r="673" spans="1:35">
      <c r="A673" t="s">
        <v>250</v>
      </c>
      <c r="B673" t="s">
        <v>251</v>
      </c>
      <c r="Y673">
        <v>12</v>
      </c>
      <c r="AH673">
        <v>12</v>
      </c>
      <c r="AI673" t="s">
        <v>402</v>
      </c>
    </row>
    <row r="674" spans="1:35">
      <c r="A674" t="s">
        <v>253</v>
      </c>
      <c r="B674" t="s">
        <v>74</v>
      </c>
      <c r="Y674">
        <v>1</v>
      </c>
      <c r="AH674">
        <v>1</v>
      </c>
      <c r="AI674" t="s">
        <v>402</v>
      </c>
    </row>
    <row r="675" spans="1:35">
      <c r="A675" t="s">
        <v>256</v>
      </c>
      <c r="B675" t="s">
        <v>304</v>
      </c>
      <c r="Y675">
        <v>1</v>
      </c>
      <c r="AH675">
        <v>1</v>
      </c>
      <c r="AI675" t="s">
        <v>402</v>
      </c>
    </row>
    <row r="676" spans="1:35">
      <c r="A676" t="s">
        <v>174</v>
      </c>
      <c r="B676" t="s">
        <v>177</v>
      </c>
      <c r="Z676">
        <v>1</v>
      </c>
      <c r="AH676">
        <v>1</v>
      </c>
      <c r="AI676" t="s">
        <v>403</v>
      </c>
    </row>
    <row r="677" spans="1:35">
      <c r="B677" t="s">
        <v>259</v>
      </c>
      <c r="Z677">
        <v>1</v>
      </c>
      <c r="AH677">
        <v>1</v>
      </c>
      <c r="AI677" t="s">
        <v>403</v>
      </c>
    </row>
    <row r="678" spans="1:35">
      <c r="B678" t="s">
        <v>178</v>
      </c>
      <c r="Z678">
        <v>2</v>
      </c>
      <c r="AH678">
        <v>2</v>
      </c>
      <c r="AI678" t="s">
        <v>403</v>
      </c>
    </row>
    <row r="679" spans="1:35">
      <c r="B679" t="s">
        <v>179</v>
      </c>
      <c r="Z679">
        <v>10</v>
      </c>
      <c r="AH679">
        <v>10</v>
      </c>
      <c r="AI679" t="s">
        <v>403</v>
      </c>
    </row>
    <row r="680" spans="1:35">
      <c r="B680" t="s">
        <v>180</v>
      </c>
      <c r="Z680">
        <v>1</v>
      </c>
      <c r="AH680">
        <v>1</v>
      </c>
      <c r="AI680" t="s">
        <v>403</v>
      </c>
    </row>
    <row r="681" spans="1:35">
      <c r="B681" t="s">
        <v>261</v>
      </c>
      <c r="Z681">
        <v>1</v>
      </c>
      <c r="AH681">
        <v>1</v>
      </c>
      <c r="AI681" t="s">
        <v>403</v>
      </c>
    </row>
    <row r="682" spans="1:35">
      <c r="B682" t="s">
        <v>262</v>
      </c>
      <c r="Z682">
        <v>1</v>
      </c>
      <c r="AH682">
        <v>1</v>
      </c>
      <c r="AI682" t="s">
        <v>403</v>
      </c>
    </row>
    <row r="683" spans="1:35">
      <c r="B683" t="s">
        <v>181</v>
      </c>
      <c r="Z683">
        <v>3</v>
      </c>
      <c r="AH683">
        <v>3</v>
      </c>
      <c r="AI683" t="s">
        <v>403</v>
      </c>
    </row>
    <row r="684" spans="1:35">
      <c r="B684" t="s">
        <v>182</v>
      </c>
      <c r="Z684">
        <v>1</v>
      </c>
      <c r="AH684">
        <v>1</v>
      </c>
      <c r="AI684" t="s">
        <v>403</v>
      </c>
    </row>
    <row r="685" spans="1:35">
      <c r="A685" t="s">
        <v>185</v>
      </c>
      <c r="B685" t="s">
        <v>186</v>
      </c>
      <c r="Z685">
        <v>1</v>
      </c>
      <c r="AH685">
        <v>1</v>
      </c>
      <c r="AI685" t="s">
        <v>403</v>
      </c>
    </row>
    <row r="686" spans="1:35">
      <c r="B686" t="s">
        <v>187</v>
      </c>
      <c r="Z686">
        <v>1</v>
      </c>
      <c r="AH686">
        <v>1</v>
      </c>
      <c r="AI686" t="s">
        <v>403</v>
      </c>
    </row>
    <row r="687" spans="1:35">
      <c r="A687" t="s">
        <v>188</v>
      </c>
      <c r="B687" t="s">
        <v>189</v>
      </c>
      <c r="Z687">
        <v>3</v>
      </c>
      <c r="AH687">
        <v>3</v>
      </c>
      <c r="AI687" t="s">
        <v>403</v>
      </c>
    </row>
    <row r="688" spans="1:35">
      <c r="B688" t="s">
        <v>190</v>
      </c>
      <c r="Z688">
        <v>1</v>
      </c>
      <c r="AH688">
        <v>1</v>
      </c>
      <c r="AI688" t="s">
        <v>403</v>
      </c>
    </row>
    <row r="689" spans="1:35">
      <c r="B689" t="s">
        <v>193</v>
      </c>
      <c r="Z689">
        <v>1</v>
      </c>
      <c r="AH689">
        <v>1</v>
      </c>
      <c r="AI689" t="s">
        <v>403</v>
      </c>
    </row>
    <row r="690" spans="1:35">
      <c r="B690" t="s">
        <v>370</v>
      </c>
      <c r="Z690">
        <v>1</v>
      </c>
      <c r="AH690">
        <v>1</v>
      </c>
      <c r="AI690" t="s">
        <v>403</v>
      </c>
    </row>
    <row r="691" spans="1:35">
      <c r="B691" t="s">
        <v>194</v>
      </c>
      <c r="Z691">
        <v>1</v>
      </c>
      <c r="AH691">
        <v>1</v>
      </c>
      <c r="AI691" t="s">
        <v>403</v>
      </c>
    </row>
    <row r="692" spans="1:35">
      <c r="B692" t="s">
        <v>116</v>
      </c>
      <c r="Z692">
        <v>2</v>
      </c>
      <c r="AH692">
        <v>2</v>
      </c>
      <c r="AI692" t="s">
        <v>403</v>
      </c>
    </row>
    <row r="693" spans="1:35">
      <c r="B693" t="s">
        <v>128</v>
      </c>
      <c r="Z693">
        <v>2</v>
      </c>
      <c r="AH693">
        <v>2</v>
      </c>
      <c r="AI693" t="s">
        <v>403</v>
      </c>
    </row>
    <row r="694" spans="1:35">
      <c r="B694" t="s">
        <v>195</v>
      </c>
      <c r="Z694">
        <v>1</v>
      </c>
      <c r="AH694">
        <v>1</v>
      </c>
      <c r="AI694" t="s">
        <v>403</v>
      </c>
    </row>
    <row r="695" spans="1:35">
      <c r="B695" t="s">
        <v>289</v>
      </c>
      <c r="Z695">
        <v>2</v>
      </c>
      <c r="AH695">
        <v>2</v>
      </c>
      <c r="AI695" t="s">
        <v>403</v>
      </c>
    </row>
    <row r="696" spans="1:35">
      <c r="B696" t="s">
        <v>268</v>
      </c>
      <c r="Z696">
        <v>1</v>
      </c>
      <c r="AH696">
        <v>1</v>
      </c>
      <c r="AI696" t="s">
        <v>403</v>
      </c>
    </row>
    <row r="697" spans="1:35">
      <c r="B697" t="s">
        <v>198</v>
      </c>
      <c r="Z697">
        <v>1</v>
      </c>
      <c r="AH697">
        <v>1</v>
      </c>
      <c r="AI697" t="s">
        <v>403</v>
      </c>
    </row>
    <row r="698" spans="1:35">
      <c r="B698" t="s">
        <v>199</v>
      </c>
      <c r="Z698">
        <v>1</v>
      </c>
      <c r="AH698">
        <v>1</v>
      </c>
      <c r="AI698" t="s">
        <v>403</v>
      </c>
    </row>
    <row r="699" spans="1:35">
      <c r="B699" t="s">
        <v>81</v>
      </c>
      <c r="Z699">
        <v>1</v>
      </c>
      <c r="AH699">
        <v>1</v>
      </c>
      <c r="AI699" t="s">
        <v>403</v>
      </c>
    </row>
    <row r="700" spans="1:35">
      <c r="A700" t="s">
        <v>202</v>
      </c>
      <c r="B700" t="s">
        <v>203</v>
      </c>
      <c r="Z700">
        <v>2</v>
      </c>
      <c r="AH700">
        <v>2</v>
      </c>
      <c r="AI700" t="s">
        <v>403</v>
      </c>
    </row>
    <row r="701" spans="1:35">
      <c r="B701" t="s">
        <v>204</v>
      </c>
      <c r="Z701">
        <v>2</v>
      </c>
      <c r="AH701">
        <v>2</v>
      </c>
      <c r="AI701" t="s">
        <v>403</v>
      </c>
    </row>
    <row r="702" spans="1:35">
      <c r="B702" t="s">
        <v>205</v>
      </c>
      <c r="Z702">
        <v>1</v>
      </c>
      <c r="AH702">
        <v>1</v>
      </c>
      <c r="AI702" t="s">
        <v>403</v>
      </c>
    </row>
    <row r="703" spans="1:35">
      <c r="B703" t="s">
        <v>206</v>
      </c>
      <c r="Z703">
        <v>2</v>
      </c>
      <c r="AH703">
        <v>2</v>
      </c>
      <c r="AI703" t="s">
        <v>403</v>
      </c>
    </row>
    <row r="704" spans="1:35">
      <c r="B704" t="s">
        <v>207</v>
      </c>
      <c r="Z704">
        <v>1</v>
      </c>
      <c r="AH704">
        <v>1</v>
      </c>
      <c r="AI704" t="s">
        <v>403</v>
      </c>
    </row>
    <row r="705" spans="2:35">
      <c r="B705" t="s">
        <v>208</v>
      </c>
      <c r="Z705">
        <v>2</v>
      </c>
      <c r="AH705">
        <v>2</v>
      </c>
      <c r="AI705" t="s">
        <v>403</v>
      </c>
    </row>
    <row r="706" spans="2:35">
      <c r="B706" t="s">
        <v>209</v>
      </c>
      <c r="Z706">
        <v>2</v>
      </c>
      <c r="AH706">
        <v>2</v>
      </c>
      <c r="AI706" t="s">
        <v>403</v>
      </c>
    </row>
    <row r="707" spans="2:35">
      <c r="B707" t="s">
        <v>211</v>
      </c>
      <c r="Z707">
        <v>12</v>
      </c>
      <c r="AH707">
        <v>12</v>
      </c>
      <c r="AI707" t="s">
        <v>403</v>
      </c>
    </row>
    <row r="708" spans="2:35">
      <c r="B708" t="s">
        <v>212</v>
      </c>
      <c r="Z708">
        <v>12</v>
      </c>
      <c r="AH708">
        <v>12</v>
      </c>
      <c r="AI708" t="s">
        <v>403</v>
      </c>
    </row>
    <row r="709" spans="2:35">
      <c r="B709" t="s">
        <v>213</v>
      </c>
      <c r="Z709">
        <v>13</v>
      </c>
      <c r="AH709">
        <v>13</v>
      </c>
      <c r="AI709" t="s">
        <v>403</v>
      </c>
    </row>
    <row r="710" spans="2:35">
      <c r="B710" t="s">
        <v>214</v>
      </c>
      <c r="Z710">
        <v>13</v>
      </c>
      <c r="AH710">
        <v>13</v>
      </c>
      <c r="AI710" t="s">
        <v>403</v>
      </c>
    </row>
    <row r="711" spans="2:35">
      <c r="B711" t="s">
        <v>215</v>
      </c>
      <c r="Z711">
        <v>13</v>
      </c>
      <c r="AH711">
        <v>13</v>
      </c>
      <c r="AI711" t="s">
        <v>403</v>
      </c>
    </row>
    <row r="712" spans="2:35">
      <c r="B712" t="s">
        <v>316</v>
      </c>
      <c r="Z712">
        <v>1</v>
      </c>
      <c r="AH712">
        <v>1</v>
      </c>
      <c r="AI712" t="s">
        <v>403</v>
      </c>
    </row>
    <row r="713" spans="2:35">
      <c r="B713" t="s">
        <v>216</v>
      </c>
      <c r="Z713">
        <v>2</v>
      </c>
      <c r="AH713">
        <v>2</v>
      </c>
      <c r="AI713" t="s">
        <v>403</v>
      </c>
    </row>
    <row r="714" spans="2:35">
      <c r="B714" t="s">
        <v>217</v>
      </c>
      <c r="Z714">
        <v>2</v>
      </c>
      <c r="AH714">
        <v>2</v>
      </c>
      <c r="AI714" t="s">
        <v>403</v>
      </c>
    </row>
    <row r="715" spans="2:35">
      <c r="B715" t="s">
        <v>219</v>
      </c>
      <c r="Z715">
        <v>10</v>
      </c>
      <c r="AH715">
        <v>10</v>
      </c>
      <c r="AI715" t="s">
        <v>403</v>
      </c>
    </row>
    <row r="716" spans="2:35">
      <c r="B716" t="s">
        <v>220</v>
      </c>
      <c r="Z716">
        <v>3</v>
      </c>
      <c r="AH716">
        <v>3</v>
      </c>
      <c r="AI716" t="s">
        <v>403</v>
      </c>
    </row>
    <row r="717" spans="2:35">
      <c r="B717" t="s">
        <v>223</v>
      </c>
      <c r="Z717">
        <v>1</v>
      </c>
      <c r="AH717">
        <v>1</v>
      </c>
      <c r="AI717" t="s">
        <v>403</v>
      </c>
    </row>
    <row r="718" spans="2:35">
      <c r="B718" t="s">
        <v>224</v>
      </c>
      <c r="Z718">
        <v>1</v>
      </c>
      <c r="AH718">
        <v>1</v>
      </c>
      <c r="AI718" t="s">
        <v>403</v>
      </c>
    </row>
    <row r="719" spans="2:35">
      <c r="B719" t="s">
        <v>225</v>
      </c>
      <c r="Z719">
        <v>2</v>
      </c>
      <c r="AH719">
        <v>2</v>
      </c>
      <c r="AI719" t="s">
        <v>403</v>
      </c>
    </row>
    <row r="720" spans="2:35">
      <c r="B720" t="s">
        <v>226</v>
      </c>
      <c r="Z720">
        <v>1</v>
      </c>
      <c r="AH720">
        <v>1</v>
      </c>
      <c r="AI720" t="s">
        <v>403</v>
      </c>
    </row>
    <row r="721" spans="1:35">
      <c r="B721" t="s">
        <v>227</v>
      </c>
      <c r="Z721">
        <v>2</v>
      </c>
      <c r="AH721">
        <v>2</v>
      </c>
      <c r="AI721" t="s">
        <v>403</v>
      </c>
    </row>
    <row r="722" spans="1:35">
      <c r="B722" t="s">
        <v>228</v>
      </c>
      <c r="Z722">
        <v>12</v>
      </c>
      <c r="AH722">
        <v>12</v>
      </c>
      <c r="AI722" t="s">
        <v>403</v>
      </c>
    </row>
    <row r="723" spans="1:35">
      <c r="B723" t="s">
        <v>229</v>
      </c>
      <c r="Z723">
        <v>2</v>
      </c>
      <c r="AH723">
        <v>2</v>
      </c>
      <c r="AI723" t="s">
        <v>403</v>
      </c>
    </row>
    <row r="724" spans="1:35">
      <c r="B724" t="s">
        <v>230</v>
      </c>
      <c r="Z724">
        <v>12</v>
      </c>
      <c r="AH724">
        <v>12</v>
      </c>
      <c r="AI724" t="s">
        <v>403</v>
      </c>
    </row>
    <row r="725" spans="1:35">
      <c r="B725" t="s">
        <v>233</v>
      </c>
      <c r="Z725">
        <v>3</v>
      </c>
      <c r="AH725">
        <v>3</v>
      </c>
      <c r="AI725" t="s">
        <v>403</v>
      </c>
    </row>
    <row r="726" spans="1:35">
      <c r="B726" t="s">
        <v>234</v>
      </c>
      <c r="Z726">
        <v>3</v>
      </c>
      <c r="AH726">
        <v>3</v>
      </c>
      <c r="AI726" t="s">
        <v>403</v>
      </c>
    </row>
    <row r="727" spans="1:35">
      <c r="B727" t="s">
        <v>235</v>
      </c>
      <c r="Z727">
        <v>3</v>
      </c>
      <c r="AH727">
        <v>3</v>
      </c>
      <c r="AI727" t="s">
        <v>403</v>
      </c>
    </row>
    <row r="728" spans="1:35">
      <c r="B728" t="s">
        <v>296</v>
      </c>
      <c r="Z728">
        <v>1</v>
      </c>
      <c r="AH728">
        <v>1</v>
      </c>
      <c r="AI728" t="s">
        <v>403</v>
      </c>
    </row>
    <row r="729" spans="1:35">
      <c r="A729" t="s">
        <v>237</v>
      </c>
      <c r="B729" t="s">
        <v>270</v>
      </c>
      <c r="Z729">
        <v>2</v>
      </c>
      <c r="AH729">
        <v>2</v>
      </c>
      <c r="AI729" t="s">
        <v>403</v>
      </c>
    </row>
    <row r="730" spans="1:35">
      <c r="B730" t="s">
        <v>238</v>
      </c>
      <c r="Z730">
        <v>7</v>
      </c>
      <c r="AH730">
        <v>7</v>
      </c>
      <c r="AI730" t="s">
        <v>403</v>
      </c>
    </row>
    <row r="731" spans="1:35">
      <c r="B731" t="s">
        <v>239</v>
      </c>
      <c r="Z731">
        <v>3</v>
      </c>
      <c r="AH731">
        <v>3</v>
      </c>
      <c r="AI731" t="s">
        <v>403</v>
      </c>
    </row>
    <row r="732" spans="1:35">
      <c r="B732" t="s">
        <v>272</v>
      </c>
      <c r="Z732">
        <v>2</v>
      </c>
      <c r="AH732">
        <v>2</v>
      </c>
      <c r="AI732" t="s">
        <v>403</v>
      </c>
    </row>
    <row r="733" spans="1:35">
      <c r="B733" t="s">
        <v>273</v>
      </c>
      <c r="Z733">
        <v>4</v>
      </c>
      <c r="AH733">
        <v>4</v>
      </c>
      <c r="AI733" t="s">
        <v>403</v>
      </c>
    </row>
    <row r="734" spans="1:35">
      <c r="B734" t="s">
        <v>240</v>
      </c>
      <c r="Z734">
        <v>3</v>
      </c>
      <c r="AH734">
        <v>3</v>
      </c>
      <c r="AI734" t="s">
        <v>403</v>
      </c>
    </row>
    <row r="735" spans="1:35">
      <c r="B735" t="s">
        <v>241</v>
      </c>
      <c r="Z735">
        <v>2</v>
      </c>
      <c r="AH735">
        <v>2</v>
      </c>
      <c r="AI735" t="s">
        <v>403</v>
      </c>
    </row>
    <row r="736" spans="1:35">
      <c r="B736" t="s">
        <v>242</v>
      </c>
      <c r="Z736">
        <v>3</v>
      </c>
      <c r="AH736">
        <v>3</v>
      </c>
      <c r="AI736" t="s">
        <v>403</v>
      </c>
    </row>
    <row r="737" spans="1:35">
      <c r="B737" t="s">
        <v>243</v>
      </c>
      <c r="Z737">
        <v>2</v>
      </c>
      <c r="AH737">
        <v>2</v>
      </c>
      <c r="AI737" t="s">
        <v>403</v>
      </c>
    </row>
    <row r="738" spans="1:35">
      <c r="B738" t="s">
        <v>244</v>
      </c>
      <c r="Z738">
        <v>1</v>
      </c>
      <c r="AH738">
        <v>1</v>
      </c>
      <c r="AI738" t="s">
        <v>403</v>
      </c>
    </row>
    <row r="739" spans="1:35">
      <c r="B739" t="s">
        <v>245</v>
      </c>
      <c r="Z739">
        <v>1</v>
      </c>
      <c r="AH739">
        <v>1</v>
      </c>
      <c r="AI739" t="s">
        <v>403</v>
      </c>
    </row>
    <row r="740" spans="1:35">
      <c r="A740" t="s">
        <v>246</v>
      </c>
      <c r="B740" t="s">
        <v>247</v>
      </c>
      <c r="Z740">
        <v>1</v>
      </c>
      <c r="AH740">
        <v>1</v>
      </c>
      <c r="AI740" t="s">
        <v>403</v>
      </c>
    </row>
    <row r="741" spans="1:35">
      <c r="A741" t="s">
        <v>248</v>
      </c>
      <c r="B741" t="s">
        <v>108</v>
      </c>
      <c r="Z741">
        <v>4</v>
      </c>
      <c r="AH741">
        <v>4</v>
      </c>
      <c r="AI741" t="s">
        <v>403</v>
      </c>
    </row>
    <row r="742" spans="1:35">
      <c r="B742" t="s">
        <v>129</v>
      </c>
      <c r="Z742">
        <v>3</v>
      </c>
      <c r="AH742">
        <v>3</v>
      </c>
      <c r="AI742" t="s">
        <v>403</v>
      </c>
    </row>
    <row r="743" spans="1:35">
      <c r="B743" t="s">
        <v>333</v>
      </c>
      <c r="Z743">
        <v>1</v>
      </c>
      <c r="AH743">
        <v>1</v>
      </c>
      <c r="AI743" t="s">
        <v>403</v>
      </c>
    </row>
    <row r="744" spans="1:35">
      <c r="B744" t="s">
        <v>130</v>
      </c>
      <c r="Z744">
        <v>1</v>
      </c>
      <c r="AH744">
        <v>1</v>
      </c>
      <c r="AI744" t="s">
        <v>403</v>
      </c>
    </row>
    <row r="745" spans="1:35">
      <c r="B745" t="s">
        <v>249</v>
      </c>
      <c r="Z745">
        <v>4</v>
      </c>
      <c r="AH745">
        <v>4</v>
      </c>
      <c r="AI745" t="s">
        <v>403</v>
      </c>
    </row>
    <row r="746" spans="1:35">
      <c r="B746" t="s">
        <v>348</v>
      </c>
      <c r="Z746">
        <v>2</v>
      </c>
      <c r="AH746">
        <v>2</v>
      </c>
      <c r="AI746" t="s">
        <v>403</v>
      </c>
    </row>
    <row r="747" spans="1:35">
      <c r="B747" t="s">
        <v>104</v>
      </c>
      <c r="Z747">
        <v>2</v>
      </c>
      <c r="AH747">
        <v>2</v>
      </c>
      <c r="AI747" t="s">
        <v>403</v>
      </c>
    </row>
    <row r="748" spans="1:35">
      <c r="B748" t="s">
        <v>103</v>
      </c>
      <c r="Z748">
        <v>2</v>
      </c>
      <c r="AH748">
        <v>2</v>
      </c>
      <c r="AI748" t="s">
        <v>403</v>
      </c>
    </row>
    <row r="749" spans="1:35">
      <c r="B749" t="s">
        <v>113</v>
      </c>
      <c r="Z749">
        <v>3</v>
      </c>
      <c r="AH749">
        <v>3</v>
      </c>
      <c r="AI749" t="s">
        <v>403</v>
      </c>
    </row>
    <row r="750" spans="1:35">
      <c r="B750" t="s">
        <v>102</v>
      </c>
      <c r="Z750">
        <v>3</v>
      </c>
      <c r="AH750">
        <v>3</v>
      </c>
      <c r="AI750" t="s">
        <v>403</v>
      </c>
    </row>
    <row r="751" spans="1:35">
      <c r="B751" t="s">
        <v>354</v>
      </c>
      <c r="Z751">
        <v>1</v>
      </c>
      <c r="AH751">
        <v>1</v>
      </c>
      <c r="AI751" t="s">
        <v>403</v>
      </c>
    </row>
    <row r="752" spans="1:35">
      <c r="B752" t="s">
        <v>355</v>
      </c>
      <c r="Z752">
        <v>1</v>
      </c>
      <c r="AH752">
        <v>1</v>
      </c>
      <c r="AI752" t="s">
        <v>403</v>
      </c>
    </row>
    <row r="753" spans="1:35">
      <c r="A753" t="s">
        <v>250</v>
      </c>
      <c r="B753" t="s">
        <v>251</v>
      </c>
      <c r="Z753">
        <v>10</v>
      </c>
      <c r="AH753">
        <v>10</v>
      </c>
      <c r="AI753" t="s">
        <v>403</v>
      </c>
    </row>
    <row r="754" spans="1:35">
      <c r="A754" t="s">
        <v>174</v>
      </c>
      <c r="B754" t="s">
        <v>175</v>
      </c>
      <c r="AA754">
        <v>2</v>
      </c>
      <c r="AH754">
        <v>2</v>
      </c>
      <c r="AI754" t="s">
        <v>404</v>
      </c>
    </row>
    <row r="755" spans="1:35">
      <c r="B755" t="s">
        <v>178</v>
      </c>
      <c r="AA755">
        <v>3</v>
      </c>
      <c r="AH755">
        <v>3</v>
      </c>
      <c r="AI755" t="s">
        <v>404</v>
      </c>
    </row>
    <row r="756" spans="1:35">
      <c r="B756" t="s">
        <v>180</v>
      </c>
      <c r="AA756">
        <v>1</v>
      </c>
      <c r="AH756">
        <v>1</v>
      </c>
      <c r="AI756" t="s">
        <v>404</v>
      </c>
    </row>
    <row r="757" spans="1:35">
      <c r="B757" t="s">
        <v>181</v>
      </c>
      <c r="AA757">
        <v>1</v>
      </c>
      <c r="AH757">
        <v>1</v>
      </c>
      <c r="AI757" t="s">
        <v>404</v>
      </c>
    </row>
    <row r="758" spans="1:35">
      <c r="B758" t="s">
        <v>111</v>
      </c>
      <c r="AA758">
        <v>2</v>
      </c>
      <c r="AH758">
        <v>2</v>
      </c>
      <c r="AI758" t="s">
        <v>404</v>
      </c>
    </row>
    <row r="759" spans="1:35">
      <c r="B759" t="s">
        <v>182</v>
      </c>
      <c r="AA759">
        <v>3</v>
      </c>
      <c r="AH759">
        <v>3</v>
      </c>
      <c r="AI759" t="s">
        <v>404</v>
      </c>
    </row>
    <row r="760" spans="1:35">
      <c r="B760" t="s">
        <v>183</v>
      </c>
      <c r="AA760">
        <v>2</v>
      </c>
      <c r="AH760">
        <v>2</v>
      </c>
      <c r="AI760" t="s">
        <v>404</v>
      </c>
    </row>
    <row r="761" spans="1:35">
      <c r="B761" t="s">
        <v>184</v>
      </c>
      <c r="AA761">
        <v>1</v>
      </c>
      <c r="AH761">
        <v>1</v>
      </c>
      <c r="AI761" t="s">
        <v>404</v>
      </c>
    </row>
    <row r="762" spans="1:35">
      <c r="A762" t="s">
        <v>188</v>
      </c>
      <c r="B762" t="s">
        <v>325</v>
      </c>
      <c r="AA762">
        <v>2</v>
      </c>
      <c r="AH762">
        <v>2</v>
      </c>
      <c r="AI762" t="s">
        <v>404</v>
      </c>
    </row>
    <row r="763" spans="1:35">
      <c r="B763" t="s">
        <v>190</v>
      </c>
      <c r="AA763">
        <v>3</v>
      </c>
      <c r="AH763">
        <v>3</v>
      </c>
      <c r="AI763" t="s">
        <v>404</v>
      </c>
    </row>
    <row r="764" spans="1:35">
      <c r="B764" t="s">
        <v>265</v>
      </c>
      <c r="AA764">
        <v>1</v>
      </c>
      <c r="AH764">
        <v>1</v>
      </c>
      <c r="AI764" t="s">
        <v>404</v>
      </c>
    </row>
    <row r="765" spans="1:35">
      <c r="B765" t="s">
        <v>192</v>
      </c>
      <c r="AA765">
        <v>1</v>
      </c>
      <c r="AH765">
        <v>1</v>
      </c>
      <c r="AI765" t="s">
        <v>404</v>
      </c>
    </row>
    <row r="766" spans="1:35">
      <c r="B766" t="s">
        <v>193</v>
      </c>
      <c r="AA766">
        <v>1</v>
      </c>
      <c r="AH766">
        <v>1</v>
      </c>
      <c r="AI766" t="s">
        <v>404</v>
      </c>
    </row>
    <row r="767" spans="1:35">
      <c r="B767" t="s">
        <v>194</v>
      </c>
      <c r="AA767">
        <v>1</v>
      </c>
      <c r="AH767">
        <v>1</v>
      </c>
      <c r="AI767" t="s">
        <v>404</v>
      </c>
    </row>
    <row r="768" spans="1:35">
      <c r="B768" t="s">
        <v>266</v>
      </c>
      <c r="AA768">
        <v>1</v>
      </c>
      <c r="AH768">
        <v>1</v>
      </c>
      <c r="AI768" t="s">
        <v>404</v>
      </c>
    </row>
    <row r="769" spans="1:35">
      <c r="B769" t="s">
        <v>112</v>
      </c>
      <c r="AA769">
        <v>2</v>
      </c>
      <c r="AH769">
        <v>2</v>
      </c>
      <c r="AI769" t="s">
        <v>404</v>
      </c>
    </row>
    <row r="770" spans="1:35">
      <c r="B770" t="s">
        <v>198</v>
      </c>
      <c r="AA770">
        <v>1</v>
      </c>
      <c r="AH770">
        <v>1</v>
      </c>
      <c r="AI770" t="s">
        <v>404</v>
      </c>
    </row>
    <row r="771" spans="1:35">
      <c r="B771" t="s">
        <v>199</v>
      </c>
      <c r="AA771">
        <v>1</v>
      </c>
      <c r="AH771">
        <v>1</v>
      </c>
      <c r="AI771" t="s">
        <v>404</v>
      </c>
    </row>
    <row r="772" spans="1:35">
      <c r="B772" t="s">
        <v>397</v>
      </c>
      <c r="AA772">
        <v>1</v>
      </c>
      <c r="AH772">
        <v>1</v>
      </c>
      <c r="AI772" t="s">
        <v>404</v>
      </c>
    </row>
    <row r="773" spans="1:35">
      <c r="B773" t="s">
        <v>200</v>
      </c>
      <c r="AA773">
        <v>1</v>
      </c>
      <c r="AH773">
        <v>1</v>
      </c>
      <c r="AI773" t="s">
        <v>404</v>
      </c>
    </row>
    <row r="774" spans="1:35">
      <c r="B774" t="s">
        <v>110</v>
      </c>
      <c r="AA774">
        <v>1</v>
      </c>
      <c r="AH774">
        <v>1</v>
      </c>
      <c r="AI774" t="s">
        <v>404</v>
      </c>
    </row>
    <row r="775" spans="1:35">
      <c r="B775" t="s">
        <v>81</v>
      </c>
      <c r="AA775">
        <v>2</v>
      </c>
      <c r="AH775">
        <v>2</v>
      </c>
      <c r="AI775" t="s">
        <v>404</v>
      </c>
    </row>
    <row r="776" spans="1:35">
      <c r="A776" t="s">
        <v>202</v>
      </c>
      <c r="B776" t="s">
        <v>205</v>
      </c>
      <c r="AA776">
        <v>5</v>
      </c>
      <c r="AH776">
        <v>5</v>
      </c>
      <c r="AI776" t="s">
        <v>404</v>
      </c>
    </row>
    <row r="777" spans="1:35">
      <c r="B777" t="s">
        <v>207</v>
      </c>
      <c r="AA777">
        <v>1</v>
      </c>
      <c r="AH777">
        <v>1</v>
      </c>
      <c r="AI777" t="s">
        <v>404</v>
      </c>
    </row>
    <row r="778" spans="1:35">
      <c r="B778" t="s">
        <v>405</v>
      </c>
      <c r="AA778">
        <v>1</v>
      </c>
      <c r="AH778">
        <v>1</v>
      </c>
      <c r="AI778" t="s">
        <v>404</v>
      </c>
    </row>
    <row r="779" spans="1:35">
      <c r="B779" t="s">
        <v>406</v>
      </c>
      <c r="AA779">
        <v>1</v>
      </c>
      <c r="AH779">
        <v>1</v>
      </c>
      <c r="AI779" t="s">
        <v>404</v>
      </c>
    </row>
    <row r="780" spans="1:35">
      <c r="B780" t="s">
        <v>211</v>
      </c>
      <c r="AA780">
        <v>1</v>
      </c>
      <c r="AH780">
        <v>1</v>
      </c>
      <c r="AI780" t="s">
        <v>404</v>
      </c>
    </row>
    <row r="781" spans="1:35">
      <c r="B781" t="s">
        <v>214</v>
      </c>
      <c r="AA781">
        <v>4</v>
      </c>
      <c r="AH781">
        <v>4</v>
      </c>
      <c r="AI781" t="s">
        <v>404</v>
      </c>
    </row>
    <row r="782" spans="1:35">
      <c r="B782" t="s">
        <v>215</v>
      </c>
      <c r="AA782">
        <v>4</v>
      </c>
      <c r="AH782">
        <v>4</v>
      </c>
      <c r="AI782" t="s">
        <v>404</v>
      </c>
    </row>
    <row r="783" spans="1:35">
      <c r="B783" t="s">
        <v>316</v>
      </c>
      <c r="AA783">
        <v>2</v>
      </c>
      <c r="AH783">
        <v>2</v>
      </c>
      <c r="AI783" t="s">
        <v>404</v>
      </c>
    </row>
    <row r="784" spans="1:35">
      <c r="B784" t="s">
        <v>218</v>
      </c>
      <c r="AA784">
        <v>4</v>
      </c>
      <c r="AH784">
        <v>4</v>
      </c>
      <c r="AI784" t="s">
        <v>404</v>
      </c>
    </row>
    <row r="785" spans="2:35">
      <c r="B785" t="s">
        <v>329</v>
      </c>
      <c r="AA785">
        <v>1</v>
      </c>
      <c r="AH785">
        <v>1</v>
      </c>
      <c r="AI785" t="s">
        <v>404</v>
      </c>
    </row>
    <row r="786" spans="2:35">
      <c r="B786" t="s">
        <v>269</v>
      </c>
      <c r="AA786">
        <v>1</v>
      </c>
      <c r="AH786">
        <v>1</v>
      </c>
      <c r="AI786" t="s">
        <v>404</v>
      </c>
    </row>
    <row r="787" spans="2:35">
      <c r="B787" t="s">
        <v>220</v>
      </c>
      <c r="AA787">
        <v>4</v>
      </c>
      <c r="AH787">
        <v>4</v>
      </c>
      <c r="AI787" t="s">
        <v>404</v>
      </c>
    </row>
    <row r="788" spans="2:35">
      <c r="B788" t="s">
        <v>221</v>
      </c>
      <c r="AA788">
        <v>4</v>
      </c>
      <c r="AH788">
        <v>4</v>
      </c>
      <c r="AI788" t="s">
        <v>404</v>
      </c>
    </row>
    <row r="789" spans="2:35">
      <c r="B789" t="s">
        <v>222</v>
      </c>
      <c r="AA789">
        <v>4</v>
      </c>
      <c r="AH789">
        <v>4</v>
      </c>
      <c r="AI789" t="s">
        <v>404</v>
      </c>
    </row>
    <row r="790" spans="2:35">
      <c r="B790" t="s">
        <v>223</v>
      </c>
      <c r="AA790">
        <v>4</v>
      </c>
      <c r="AH790">
        <v>4</v>
      </c>
      <c r="AI790" t="s">
        <v>404</v>
      </c>
    </row>
    <row r="791" spans="2:35">
      <c r="B791" t="s">
        <v>224</v>
      </c>
      <c r="AA791">
        <v>1</v>
      </c>
      <c r="AH791">
        <v>1</v>
      </c>
      <c r="AI791" t="s">
        <v>404</v>
      </c>
    </row>
    <row r="792" spans="2:35">
      <c r="B792" t="s">
        <v>228</v>
      </c>
      <c r="AA792">
        <v>4</v>
      </c>
      <c r="AH792">
        <v>4</v>
      </c>
      <c r="AI792" t="s">
        <v>404</v>
      </c>
    </row>
    <row r="793" spans="2:35">
      <c r="B793" t="s">
        <v>230</v>
      </c>
      <c r="AA793">
        <v>4</v>
      </c>
      <c r="AH793">
        <v>4</v>
      </c>
      <c r="AI793" t="s">
        <v>404</v>
      </c>
    </row>
    <row r="794" spans="2:35">
      <c r="B794" t="s">
        <v>231</v>
      </c>
      <c r="AA794">
        <v>4</v>
      </c>
      <c r="AH794">
        <v>4</v>
      </c>
      <c r="AI794" t="s">
        <v>404</v>
      </c>
    </row>
    <row r="795" spans="2:35">
      <c r="B795" t="s">
        <v>352</v>
      </c>
      <c r="AA795">
        <v>1</v>
      </c>
      <c r="AH795">
        <v>1</v>
      </c>
      <c r="AI795" t="s">
        <v>404</v>
      </c>
    </row>
    <row r="796" spans="2:35">
      <c r="B796" t="s">
        <v>295</v>
      </c>
      <c r="AA796">
        <v>2</v>
      </c>
      <c r="AH796">
        <v>2</v>
      </c>
      <c r="AI796" t="s">
        <v>404</v>
      </c>
    </row>
    <row r="797" spans="2:35">
      <c r="B797" t="s">
        <v>234</v>
      </c>
      <c r="AA797">
        <v>1</v>
      </c>
      <c r="AH797">
        <v>1</v>
      </c>
      <c r="AI797" t="s">
        <v>404</v>
      </c>
    </row>
    <row r="798" spans="2:35">
      <c r="B798" t="s">
        <v>235</v>
      </c>
      <c r="AA798">
        <v>1</v>
      </c>
      <c r="AH798">
        <v>1</v>
      </c>
      <c r="AI798" t="s">
        <v>404</v>
      </c>
    </row>
    <row r="799" spans="2:35">
      <c r="B799" t="s">
        <v>296</v>
      </c>
      <c r="AA799">
        <v>3</v>
      </c>
      <c r="AH799">
        <v>3</v>
      </c>
      <c r="AI799" t="s">
        <v>404</v>
      </c>
    </row>
    <row r="800" spans="2:35">
      <c r="B800" t="s">
        <v>236</v>
      </c>
      <c r="AA800">
        <v>1</v>
      </c>
      <c r="AH800">
        <v>1</v>
      </c>
      <c r="AI800" t="s">
        <v>404</v>
      </c>
    </row>
    <row r="801" spans="1:35">
      <c r="A801" t="s">
        <v>237</v>
      </c>
      <c r="B801" t="s">
        <v>330</v>
      </c>
      <c r="AA801">
        <v>1</v>
      </c>
      <c r="AH801">
        <v>1</v>
      </c>
      <c r="AI801" t="s">
        <v>404</v>
      </c>
    </row>
    <row r="802" spans="1:35">
      <c r="B802" t="s">
        <v>271</v>
      </c>
      <c r="AA802">
        <v>7</v>
      </c>
      <c r="AH802">
        <v>7</v>
      </c>
      <c r="AI802" t="s">
        <v>404</v>
      </c>
    </row>
    <row r="803" spans="1:35">
      <c r="B803" t="s">
        <v>238</v>
      </c>
      <c r="AA803">
        <v>5</v>
      </c>
      <c r="AH803">
        <v>5</v>
      </c>
      <c r="AI803" t="s">
        <v>404</v>
      </c>
    </row>
    <row r="804" spans="1:35">
      <c r="B804" t="s">
        <v>272</v>
      </c>
      <c r="AA804">
        <v>2</v>
      </c>
      <c r="AH804">
        <v>2</v>
      </c>
      <c r="AI804" t="s">
        <v>404</v>
      </c>
    </row>
    <row r="805" spans="1:35">
      <c r="B805" t="s">
        <v>273</v>
      </c>
      <c r="AA805">
        <v>1</v>
      </c>
      <c r="AH805">
        <v>1</v>
      </c>
      <c r="AI805" t="s">
        <v>404</v>
      </c>
    </row>
    <row r="806" spans="1:35">
      <c r="B806" t="s">
        <v>240</v>
      </c>
      <c r="AA806">
        <v>3</v>
      </c>
      <c r="AH806">
        <v>3</v>
      </c>
      <c r="AI806" t="s">
        <v>404</v>
      </c>
    </row>
    <row r="807" spans="1:35">
      <c r="B807" t="s">
        <v>298</v>
      </c>
      <c r="AA807">
        <v>1</v>
      </c>
      <c r="AH807">
        <v>1</v>
      </c>
      <c r="AI807" t="s">
        <v>404</v>
      </c>
    </row>
    <row r="808" spans="1:35">
      <c r="B808" t="s">
        <v>242</v>
      </c>
      <c r="AA808">
        <v>5</v>
      </c>
      <c r="AH808">
        <v>5</v>
      </c>
      <c r="AI808" t="s">
        <v>404</v>
      </c>
    </row>
    <row r="809" spans="1:35">
      <c r="B809" t="s">
        <v>337</v>
      </c>
      <c r="AA809">
        <v>1</v>
      </c>
      <c r="AH809">
        <v>1</v>
      </c>
      <c r="AI809" t="s">
        <v>404</v>
      </c>
    </row>
    <row r="810" spans="1:35">
      <c r="A810" t="s">
        <v>248</v>
      </c>
      <c r="B810" t="s">
        <v>108</v>
      </c>
      <c r="AA810">
        <v>3</v>
      </c>
      <c r="AH810">
        <v>3</v>
      </c>
      <c r="AI810" t="s">
        <v>404</v>
      </c>
    </row>
    <row r="811" spans="1:35">
      <c r="B811" t="s">
        <v>129</v>
      </c>
      <c r="AA811">
        <v>1</v>
      </c>
      <c r="AH811">
        <v>1</v>
      </c>
      <c r="AI811" t="s">
        <v>404</v>
      </c>
    </row>
    <row r="812" spans="1:35">
      <c r="B812" t="s">
        <v>249</v>
      </c>
      <c r="AA812">
        <v>1</v>
      </c>
      <c r="AH812">
        <v>1</v>
      </c>
      <c r="AI812" t="s">
        <v>404</v>
      </c>
    </row>
    <row r="813" spans="1:35">
      <c r="B813" t="s">
        <v>382</v>
      </c>
      <c r="AA813">
        <v>1</v>
      </c>
      <c r="AH813">
        <v>1</v>
      </c>
      <c r="AI813" t="s">
        <v>404</v>
      </c>
    </row>
    <row r="814" spans="1:35">
      <c r="B814" t="s">
        <v>102</v>
      </c>
      <c r="AA814">
        <v>1</v>
      </c>
      <c r="AH814">
        <v>1</v>
      </c>
      <c r="AI814" t="s">
        <v>404</v>
      </c>
    </row>
    <row r="815" spans="1:35">
      <c r="B815" t="s">
        <v>355</v>
      </c>
      <c r="AA815">
        <v>1</v>
      </c>
      <c r="AH815">
        <v>1</v>
      </c>
      <c r="AI815" t="s">
        <v>404</v>
      </c>
    </row>
    <row r="816" spans="1:35">
      <c r="B816" t="s">
        <v>105</v>
      </c>
      <c r="AA816">
        <v>1</v>
      </c>
      <c r="AH816">
        <v>1</v>
      </c>
      <c r="AI816" t="s">
        <v>404</v>
      </c>
    </row>
    <row r="817" spans="1:35">
      <c r="A817" t="s">
        <v>250</v>
      </c>
      <c r="B817" t="s">
        <v>251</v>
      </c>
      <c r="AA817">
        <v>1</v>
      </c>
      <c r="AH817">
        <v>1</v>
      </c>
      <c r="AI817" t="s">
        <v>404</v>
      </c>
    </row>
    <row r="818" spans="1:35">
      <c r="B818" t="s">
        <v>384</v>
      </c>
      <c r="AA818">
        <v>1</v>
      </c>
      <c r="AH818">
        <v>1</v>
      </c>
      <c r="AI818" t="s">
        <v>404</v>
      </c>
    </row>
    <row r="819" spans="1:35">
      <c r="A819" t="s">
        <v>174</v>
      </c>
      <c r="B819" t="s">
        <v>175</v>
      </c>
      <c r="AB819">
        <v>1</v>
      </c>
      <c r="AH819">
        <v>1</v>
      </c>
      <c r="AI819" t="s">
        <v>407</v>
      </c>
    </row>
    <row r="820" spans="1:35">
      <c r="B820" t="s">
        <v>259</v>
      </c>
      <c r="AB820">
        <v>1</v>
      </c>
      <c r="AH820">
        <v>1</v>
      </c>
      <c r="AI820" t="s">
        <v>407</v>
      </c>
    </row>
    <row r="821" spans="1:35">
      <c r="B821" t="s">
        <v>178</v>
      </c>
      <c r="AB821">
        <v>2</v>
      </c>
      <c r="AH821">
        <v>2</v>
      </c>
      <c r="AI821" t="s">
        <v>407</v>
      </c>
    </row>
    <row r="822" spans="1:35">
      <c r="B822" t="s">
        <v>179</v>
      </c>
      <c r="AB822">
        <v>1</v>
      </c>
      <c r="AH822">
        <v>1</v>
      </c>
      <c r="AI822" t="s">
        <v>407</v>
      </c>
    </row>
    <row r="823" spans="1:35">
      <c r="B823" t="s">
        <v>180</v>
      </c>
      <c r="AB823">
        <v>1</v>
      </c>
      <c r="AH823">
        <v>1</v>
      </c>
      <c r="AI823" t="s">
        <v>407</v>
      </c>
    </row>
    <row r="824" spans="1:35">
      <c r="B824" t="s">
        <v>362</v>
      </c>
      <c r="AB824">
        <v>1</v>
      </c>
      <c r="AH824">
        <v>1</v>
      </c>
      <c r="AI824" t="s">
        <v>407</v>
      </c>
    </row>
    <row r="825" spans="1:35">
      <c r="B825" t="s">
        <v>181</v>
      </c>
      <c r="AB825">
        <v>10</v>
      </c>
      <c r="AH825">
        <v>10</v>
      </c>
      <c r="AI825" t="s">
        <v>407</v>
      </c>
    </row>
    <row r="826" spans="1:35">
      <c r="B826" t="s">
        <v>182</v>
      </c>
      <c r="AB826">
        <v>1</v>
      </c>
      <c r="AH826">
        <v>1</v>
      </c>
      <c r="AI826" t="s">
        <v>407</v>
      </c>
    </row>
    <row r="827" spans="1:35">
      <c r="B827" t="s">
        <v>183</v>
      </c>
      <c r="AB827">
        <v>1</v>
      </c>
      <c r="AH827">
        <v>1</v>
      </c>
      <c r="AI827" t="s">
        <v>407</v>
      </c>
    </row>
    <row r="828" spans="1:35">
      <c r="A828" t="s">
        <v>188</v>
      </c>
      <c r="B828" t="s">
        <v>264</v>
      </c>
      <c r="AB828">
        <v>1</v>
      </c>
      <c r="AH828">
        <v>1</v>
      </c>
      <c r="AI828" t="s">
        <v>407</v>
      </c>
    </row>
    <row r="829" spans="1:35">
      <c r="B829" t="s">
        <v>308</v>
      </c>
      <c r="AB829">
        <v>2</v>
      </c>
      <c r="AH829">
        <v>2</v>
      </c>
      <c r="AI829" t="s">
        <v>407</v>
      </c>
    </row>
    <row r="830" spans="1:35">
      <c r="B830" t="s">
        <v>190</v>
      </c>
      <c r="AB830">
        <v>2</v>
      </c>
      <c r="AH830">
        <v>2</v>
      </c>
      <c r="AI830" t="s">
        <v>407</v>
      </c>
    </row>
    <row r="831" spans="1:35">
      <c r="B831" t="s">
        <v>265</v>
      </c>
      <c r="AB831">
        <v>1</v>
      </c>
      <c r="AH831">
        <v>1</v>
      </c>
      <c r="AI831" t="s">
        <v>407</v>
      </c>
    </row>
    <row r="832" spans="1:35">
      <c r="B832" t="s">
        <v>192</v>
      </c>
      <c r="AB832">
        <v>1</v>
      </c>
      <c r="AH832">
        <v>1</v>
      </c>
      <c r="AI832" t="s">
        <v>407</v>
      </c>
    </row>
    <row r="833" spans="1:35">
      <c r="B833" t="s">
        <v>193</v>
      </c>
      <c r="AB833">
        <v>3</v>
      </c>
      <c r="AH833">
        <v>3</v>
      </c>
      <c r="AI833" t="s">
        <v>407</v>
      </c>
    </row>
    <row r="834" spans="1:35">
      <c r="B834" t="s">
        <v>194</v>
      </c>
      <c r="AB834">
        <v>1</v>
      </c>
      <c r="AH834">
        <v>1</v>
      </c>
      <c r="AI834" t="s">
        <v>407</v>
      </c>
    </row>
    <row r="835" spans="1:35">
      <c r="B835" t="s">
        <v>128</v>
      </c>
      <c r="AB835">
        <v>1</v>
      </c>
      <c r="AH835">
        <v>1</v>
      </c>
      <c r="AI835" t="s">
        <v>407</v>
      </c>
    </row>
    <row r="836" spans="1:35">
      <c r="B836" t="s">
        <v>268</v>
      </c>
      <c r="AB836">
        <v>1</v>
      </c>
      <c r="AH836">
        <v>1</v>
      </c>
      <c r="AI836" t="s">
        <v>407</v>
      </c>
    </row>
    <row r="837" spans="1:35">
      <c r="B837" t="s">
        <v>292</v>
      </c>
      <c r="AB837">
        <v>1</v>
      </c>
      <c r="AH837">
        <v>1</v>
      </c>
      <c r="AI837" t="s">
        <v>407</v>
      </c>
    </row>
    <row r="838" spans="1:35">
      <c r="B838" t="s">
        <v>112</v>
      </c>
      <c r="AB838">
        <v>3</v>
      </c>
      <c r="AH838">
        <v>3</v>
      </c>
      <c r="AI838" t="s">
        <v>407</v>
      </c>
    </row>
    <row r="839" spans="1:35">
      <c r="B839" t="s">
        <v>198</v>
      </c>
      <c r="AB839">
        <v>6</v>
      </c>
      <c r="AH839">
        <v>6</v>
      </c>
      <c r="AI839" t="s">
        <v>407</v>
      </c>
    </row>
    <row r="840" spans="1:35">
      <c r="B840" t="s">
        <v>199</v>
      </c>
      <c r="AB840">
        <v>3</v>
      </c>
      <c r="AH840">
        <v>3</v>
      </c>
      <c r="AI840" t="s">
        <v>407</v>
      </c>
    </row>
    <row r="841" spans="1:35">
      <c r="B841" t="s">
        <v>315</v>
      </c>
      <c r="AB841">
        <v>1</v>
      </c>
      <c r="AH841">
        <v>1</v>
      </c>
      <c r="AI841" t="s">
        <v>407</v>
      </c>
    </row>
    <row r="842" spans="1:35">
      <c r="B842" t="s">
        <v>101</v>
      </c>
      <c r="AB842">
        <v>1</v>
      </c>
      <c r="AH842">
        <v>1</v>
      </c>
      <c r="AI842" t="s">
        <v>407</v>
      </c>
    </row>
    <row r="843" spans="1:35">
      <c r="B843" t="s">
        <v>99</v>
      </c>
      <c r="AB843">
        <v>1</v>
      </c>
      <c r="AH843">
        <v>1</v>
      </c>
      <c r="AI843" t="s">
        <v>407</v>
      </c>
    </row>
    <row r="844" spans="1:35">
      <c r="A844" t="s">
        <v>202</v>
      </c>
      <c r="B844" t="s">
        <v>204</v>
      </c>
      <c r="AB844">
        <v>1</v>
      </c>
      <c r="AH844">
        <v>1</v>
      </c>
      <c r="AI844" t="s">
        <v>407</v>
      </c>
    </row>
    <row r="845" spans="1:35">
      <c r="B845" t="s">
        <v>205</v>
      </c>
      <c r="AB845">
        <v>7</v>
      </c>
      <c r="AH845">
        <v>7</v>
      </c>
      <c r="AI845" t="s">
        <v>407</v>
      </c>
    </row>
    <row r="846" spans="1:35">
      <c r="B846" t="s">
        <v>207</v>
      </c>
      <c r="AB846">
        <v>2</v>
      </c>
      <c r="AH846">
        <v>2</v>
      </c>
      <c r="AI846" t="s">
        <v>407</v>
      </c>
    </row>
    <row r="847" spans="1:35">
      <c r="B847" t="s">
        <v>210</v>
      </c>
      <c r="AB847">
        <v>1</v>
      </c>
      <c r="AH847">
        <v>1</v>
      </c>
      <c r="AI847" t="s">
        <v>407</v>
      </c>
    </row>
    <row r="848" spans="1:35">
      <c r="B848" t="s">
        <v>211</v>
      </c>
      <c r="AB848">
        <v>1</v>
      </c>
      <c r="AH848">
        <v>1</v>
      </c>
      <c r="AI848" t="s">
        <v>407</v>
      </c>
    </row>
    <row r="849" spans="2:35">
      <c r="B849" t="s">
        <v>212</v>
      </c>
      <c r="AB849">
        <v>1</v>
      </c>
      <c r="AH849">
        <v>1</v>
      </c>
      <c r="AI849" t="s">
        <v>407</v>
      </c>
    </row>
    <row r="850" spans="2:35">
      <c r="B850" t="s">
        <v>213</v>
      </c>
      <c r="AB850">
        <v>1</v>
      </c>
      <c r="AH850">
        <v>1</v>
      </c>
      <c r="AI850" t="s">
        <v>407</v>
      </c>
    </row>
    <row r="851" spans="2:35">
      <c r="B851" t="s">
        <v>214</v>
      </c>
      <c r="AB851">
        <v>7</v>
      </c>
      <c r="AH851">
        <v>7</v>
      </c>
      <c r="AI851" t="s">
        <v>407</v>
      </c>
    </row>
    <row r="852" spans="2:35">
      <c r="B852" t="s">
        <v>215</v>
      </c>
      <c r="AB852">
        <v>7</v>
      </c>
      <c r="AH852">
        <v>7</v>
      </c>
      <c r="AI852" t="s">
        <v>407</v>
      </c>
    </row>
    <row r="853" spans="2:35">
      <c r="B853" t="s">
        <v>218</v>
      </c>
      <c r="AB853">
        <v>6</v>
      </c>
      <c r="AH853">
        <v>6</v>
      </c>
      <c r="AI853" t="s">
        <v>407</v>
      </c>
    </row>
    <row r="854" spans="2:35">
      <c r="B854" t="s">
        <v>219</v>
      </c>
      <c r="AB854">
        <v>1</v>
      </c>
      <c r="AH854">
        <v>1</v>
      </c>
      <c r="AI854" t="s">
        <v>407</v>
      </c>
    </row>
    <row r="855" spans="2:35">
      <c r="B855" t="s">
        <v>220</v>
      </c>
      <c r="AB855">
        <v>6</v>
      </c>
      <c r="AH855">
        <v>6</v>
      </c>
      <c r="AI855" t="s">
        <v>407</v>
      </c>
    </row>
    <row r="856" spans="2:35">
      <c r="B856" t="s">
        <v>221</v>
      </c>
      <c r="AB856">
        <v>6</v>
      </c>
      <c r="AH856">
        <v>6</v>
      </c>
      <c r="AI856" t="s">
        <v>407</v>
      </c>
    </row>
    <row r="857" spans="2:35">
      <c r="B857" t="s">
        <v>222</v>
      </c>
      <c r="AB857">
        <v>6</v>
      </c>
      <c r="AH857">
        <v>6</v>
      </c>
      <c r="AI857" t="s">
        <v>407</v>
      </c>
    </row>
    <row r="858" spans="2:35">
      <c r="B858" t="s">
        <v>223</v>
      </c>
      <c r="AB858">
        <v>6</v>
      </c>
      <c r="AH858">
        <v>6</v>
      </c>
      <c r="AI858" t="s">
        <v>407</v>
      </c>
    </row>
    <row r="859" spans="2:35">
      <c r="B859" t="s">
        <v>228</v>
      </c>
      <c r="AB859">
        <v>7</v>
      </c>
      <c r="AH859">
        <v>7</v>
      </c>
      <c r="AI859" t="s">
        <v>407</v>
      </c>
    </row>
    <row r="860" spans="2:35">
      <c r="B860" t="s">
        <v>230</v>
      </c>
      <c r="AB860">
        <v>7</v>
      </c>
      <c r="AH860">
        <v>7</v>
      </c>
      <c r="AI860" t="s">
        <v>407</v>
      </c>
    </row>
    <row r="861" spans="2:35">
      <c r="B861" t="s">
        <v>231</v>
      </c>
      <c r="AB861">
        <v>6</v>
      </c>
      <c r="AH861">
        <v>6</v>
      </c>
      <c r="AI861" t="s">
        <v>407</v>
      </c>
    </row>
    <row r="862" spans="2:35">
      <c r="B862" t="s">
        <v>295</v>
      </c>
      <c r="AB862">
        <v>4</v>
      </c>
      <c r="AH862">
        <v>4</v>
      </c>
      <c r="AI862" t="s">
        <v>407</v>
      </c>
    </row>
    <row r="863" spans="2:35">
      <c r="B863" t="s">
        <v>233</v>
      </c>
      <c r="AB863">
        <v>1</v>
      </c>
      <c r="AH863">
        <v>1</v>
      </c>
      <c r="AI863" t="s">
        <v>407</v>
      </c>
    </row>
    <row r="864" spans="2:35">
      <c r="B864" t="s">
        <v>234</v>
      </c>
      <c r="AB864">
        <v>1</v>
      </c>
      <c r="AH864">
        <v>1</v>
      </c>
      <c r="AI864" t="s">
        <v>407</v>
      </c>
    </row>
    <row r="865" spans="1:35">
      <c r="B865" t="s">
        <v>235</v>
      </c>
      <c r="AB865">
        <v>1</v>
      </c>
      <c r="AH865">
        <v>1</v>
      </c>
      <c r="AI865" t="s">
        <v>407</v>
      </c>
    </row>
    <row r="866" spans="1:35">
      <c r="B866" t="s">
        <v>236</v>
      </c>
      <c r="AB866">
        <v>1</v>
      </c>
      <c r="AH866">
        <v>1</v>
      </c>
      <c r="AI866" t="s">
        <v>407</v>
      </c>
    </row>
    <row r="867" spans="1:35">
      <c r="A867" t="s">
        <v>237</v>
      </c>
      <c r="B867" t="s">
        <v>271</v>
      </c>
      <c r="AB867">
        <v>12</v>
      </c>
      <c r="AH867">
        <v>12</v>
      </c>
      <c r="AI867" t="s">
        <v>407</v>
      </c>
    </row>
    <row r="868" spans="1:35">
      <c r="B868" t="s">
        <v>238</v>
      </c>
      <c r="AB868">
        <v>5</v>
      </c>
      <c r="AH868">
        <v>5</v>
      </c>
      <c r="AI868" t="s">
        <v>407</v>
      </c>
    </row>
    <row r="869" spans="1:35">
      <c r="B869" t="s">
        <v>239</v>
      </c>
      <c r="AB869">
        <v>1</v>
      </c>
      <c r="AH869">
        <v>1</v>
      </c>
      <c r="AI869" t="s">
        <v>407</v>
      </c>
    </row>
    <row r="870" spans="1:35">
      <c r="B870" t="s">
        <v>272</v>
      </c>
      <c r="AB870">
        <v>4</v>
      </c>
      <c r="AH870">
        <v>4</v>
      </c>
      <c r="AI870" t="s">
        <v>407</v>
      </c>
    </row>
    <row r="871" spans="1:35">
      <c r="B871" t="s">
        <v>240</v>
      </c>
      <c r="AB871">
        <v>5</v>
      </c>
      <c r="AH871">
        <v>5</v>
      </c>
      <c r="AI871" t="s">
        <v>407</v>
      </c>
    </row>
    <row r="872" spans="1:35">
      <c r="B872" t="s">
        <v>298</v>
      </c>
      <c r="AB872">
        <v>2</v>
      </c>
      <c r="AH872">
        <v>2</v>
      </c>
      <c r="AI872" t="s">
        <v>407</v>
      </c>
    </row>
    <row r="873" spans="1:35">
      <c r="B873" t="s">
        <v>241</v>
      </c>
      <c r="AB873">
        <v>1</v>
      </c>
      <c r="AH873">
        <v>1</v>
      </c>
      <c r="AI873" t="s">
        <v>407</v>
      </c>
    </row>
    <row r="874" spans="1:35">
      <c r="B874" t="s">
        <v>242</v>
      </c>
      <c r="AB874">
        <v>2</v>
      </c>
      <c r="AH874">
        <v>2</v>
      </c>
      <c r="AI874" t="s">
        <v>407</v>
      </c>
    </row>
    <row r="875" spans="1:35">
      <c r="B875" t="s">
        <v>274</v>
      </c>
      <c r="AB875">
        <v>2</v>
      </c>
      <c r="AH875">
        <v>2</v>
      </c>
      <c r="AI875" t="s">
        <v>407</v>
      </c>
    </row>
    <row r="876" spans="1:35">
      <c r="B876" t="s">
        <v>244</v>
      </c>
      <c r="AB876">
        <v>3</v>
      </c>
      <c r="AH876">
        <v>3</v>
      </c>
      <c r="AI876" t="s">
        <v>407</v>
      </c>
    </row>
    <row r="877" spans="1:35">
      <c r="B877" t="s">
        <v>245</v>
      </c>
      <c r="AB877">
        <v>1</v>
      </c>
      <c r="AH877">
        <v>1</v>
      </c>
      <c r="AI877" t="s">
        <v>407</v>
      </c>
    </row>
    <row r="878" spans="1:35">
      <c r="A878" t="s">
        <v>246</v>
      </c>
      <c r="B878" t="s">
        <v>247</v>
      </c>
      <c r="AB878">
        <v>3</v>
      </c>
      <c r="AH878">
        <v>3</v>
      </c>
      <c r="AI878" t="s">
        <v>407</v>
      </c>
    </row>
    <row r="879" spans="1:35">
      <c r="A879" t="s">
        <v>299</v>
      </c>
      <c r="B879" t="s">
        <v>300</v>
      </c>
      <c r="AB879">
        <v>1</v>
      </c>
      <c r="AH879">
        <v>1</v>
      </c>
      <c r="AI879" t="s">
        <v>407</v>
      </c>
    </row>
    <row r="880" spans="1:35">
      <c r="A880" t="s">
        <v>248</v>
      </c>
      <c r="B880" t="s">
        <v>108</v>
      </c>
      <c r="AB880">
        <v>4</v>
      </c>
      <c r="AH880">
        <v>4</v>
      </c>
      <c r="AI880" t="s">
        <v>407</v>
      </c>
    </row>
    <row r="881" spans="1:35">
      <c r="B881" t="s">
        <v>129</v>
      </c>
      <c r="AB881">
        <v>4</v>
      </c>
      <c r="AH881">
        <v>4</v>
      </c>
      <c r="AI881" t="s">
        <v>407</v>
      </c>
    </row>
    <row r="882" spans="1:35">
      <c r="B882" t="s">
        <v>130</v>
      </c>
      <c r="AB882">
        <v>1</v>
      </c>
      <c r="AH882">
        <v>1</v>
      </c>
      <c r="AI882" t="s">
        <v>407</v>
      </c>
    </row>
    <row r="883" spans="1:35">
      <c r="B883" t="s">
        <v>249</v>
      </c>
      <c r="AB883">
        <v>12</v>
      </c>
      <c r="AH883">
        <v>12</v>
      </c>
      <c r="AI883" t="s">
        <v>407</v>
      </c>
    </row>
    <row r="884" spans="1:35">
      <c r="B884" t="s">
        <v>104</v>
      </c>
      <c r="AB884">
        <v>1</v>
      </c>
      <c r="AH884">
        <v>1</v>
      </c>
      <c r="AI884" t="s">
        <v>407</v>
      </c>
    </row>
    <row r="885" spans="1:35">
      <c r="B885" t="s">
        <v>103</v>
      </c>
      <c r="AB885">
        <v>1</v>
      </c>
      <c r="AH885">
        <v>1</v>
      </c>
      <c r="AI885" t="s">
        <v>407</v>
      </c>
    </row>
    <row r="886" spans="1:35">
      <c r="B886" t="s">
        <v>113</v>
      </c>
      <c r="AB886">
        <v>1</v>
      </c>
      <c r="AH886">
        <v>1</v>
      </c>
      <c r="AI886" t="s">
        <v>407</v>
      </c>
    </row>
    <row r="887" spans="1:35">
      <c r="B887" t="s">
        <v>114</v>
      </c>
      <c r="AB887">
        <v>2</v>
      </c>
      <c r="AH887">
        <v>2</v>
      </c>
      <c r="AI887" t="s">
        <v>407</v>
      </c>
    </row>
    <row r="888" spans="1:35">
      <c r="B888" t="s">
        <v>102</v>
      </c>
      <c r="AB888">
        <v>1</v>
      </c>
      <c r="AH888">
        <v>1</v>
      </c>
      <c r="AI888" t="s">
        <v>407</v>
      </c>
    </row>
    <row r="889" spans="1:35">
      <c r="A889" t="s">
        <v>250</v>
      </c>
      <c r="B889" t="s">
        <v>251</v>
      </c>
      <c r="AB889">
        <v>1</v>
      </c>
      <c r="AH889">
        <v>1</v>
      </c>
      <c r="AI889" t="s">
        <v>407</v>
      </c>
    </row>
    <row r="890" spans="1:35">
      <c r="A890" t="s">
        <v>256</v>
      </c>
      <c r="B890" t="s">
        <v>349</v>
      </c>
      <c r="AB890">
        <v>2</v>
      </c>
      <c r="AH890">
        <v>2</v>
      </c>
      <c r="AI890" t="s">
        <v>407</v>
      </c>
    </row>
    <row r="891" spans="1:35">
      <c r="B891" t="s">
        <v>385</v>
      </c>
      <c r="AB891">
        <v>1</v>
      </c>
      <c r="AH891">
        <v>1</v>
      </c>
      <c r="AI891" t="s">
        <v>407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48"/>
  <sheetViews>
    <sheetView topLeftCell="A105" workbookViewId="0">
      <selection activeCell="O147" sqref="O147:S150"/>
    </sheetView>
  </sheetViews>
  <sheetFormatPr defaultColWidth="9.140625" defaultRowHeight="14.25"/>
  <cols>
    <col min="1" max="1" width="32.7109375" style="1" customWidth="1"/>
    <col min="2" max="2" width="28.7109375" style="1" customWidth="1"/>
    <col min="3" max="3" width="18.85546875" style="1" customWidth="1"/>
    <col min="4" max="16384" width="9.140625" style="1"/>
  </cols>
  <sheetData>
    <row r="1" spans="1:3" ht="15">
      <c r="A1" s="2" t="s">
        <v>408</v>
      </c>
      <c r="B1" s="2" t="s">
        <v>409</v>
      </c>
      <c r="C1" s="2" t="s">
        <v>410</v>
      </c>
    </row>
    <row r="2" spans="1:3">
      <c r="A2" s="3" t="s">
        <v>175</v>
      </c>
      <c r="B2" s="3" t="s">
        <v>175</v>
      </c>
      <c r="C2" s="3" t="s">
        <v>414</v>
      </c>
    </row>
    <row r="3" spans="1:3">
      <c r="A3" s="3" t="s">
        <v>177</v>
      </c>
      <c r="B3" s="3"/>
      <c r="C3" s="3" t="s">
        <v>411</v>
      </c>
    </row>
    <row r="4" spans="1:3">
      <c r="A4" s="3" t="s">
        <v>259</v>
      </c>
      <c r="B4" s="3"/>
      <c r="C4" s="3" t="s">
        <v>411</v>
      </c>
    </row>
    <row r="5" spans="1:3">
      <c r="A5" s="3" t="s">
        <v>324</v>
      </c>
      <c r="B5" s="3"/>
      <c r="C5" s="3" t="s">
        <v>411</v>
      </c>
    </row>
    <row r="6" spans="1:3">
      <c r="A6" s="3" t="s">
        <v>412</v>
      </c>
      <c r="B6" s="3" t="s">
        <v>463</v>
      </c>
      <c r="C6" s="3" t="s">
        <v>414</v>
      </c>
    </row>
    <row r="7" spans="1:3">
      <c r="A7" s="3" t="s">
        <v>413</v>
      </c>
      <c r="B7" s="3"/>
      <c r="C7" s="3" t="s">
        <v>411</v>
      </c>
    </row>
    <row r="8" spans="1:3">
      <c r="A8" s="3" t="s">
        <v>178</v>
      </c>
      <c r="B8" s="3" t="s">
        <v>463</v>
      </c>
      <c r="C8" s="3" t="s">
        <v>414</v>
      </c>
    </row>
    <row r="9" spans="1:3">
      <c r="A9" s="3" t="s">
        <v>179</v>
      </c>
      <c r="B9" s="3" t="s">
        <v>463</v>
      </c>
      <c r="C9" s="3" t="s">
        <v>414</v>
      </c>
    </row>
    <row r="10" spans="1:3">
      <c r="A10" s="3" t="s">
        <v>260</v>
      </c>
      <c r="B10" s="3"/>
      <c r="C10" s="3" t="s">
        <v>411</v>
      </c>
    </row>
    <row r="11" spans="1:3">
      <c r="A11" s="3" t="s">
        <v>277</v>
      </c>
      <c r="B11" s="3" t="s">
        <v>463</v>
      </c>
      <c r="C11" s="3" t="s">
        <v>414</v>
      </c>
    </row>
    <row r="12" spans="1:3">
      <c r="A12" s="3" t="s">
        <v>180</v>
      </c>
      <c r="B12" s="3"/>
      <c r="C12" s="3" t="s">
        <v>411</v>
      </c>
    </row>
    <row r="13" spans="1:3">
      <c r="A13" s="3" t="s">
        <v>361</v>
      </c>
      <c r="B13" s="3"/>
      <c r="C13" s="3" t="s">
        <v>411</v>
      </c>
    </row>
    <row r="14" spans="1:3">
      <c r="A14" s="3" t="s">
        <v>261</v>
      </c>
      <c r="B14" s="3" t="s">
        <v>92</v>
      </c>
      <c r="C14" s="3" t="s">
        <v>414</v>
      </c>
    </row>
    <row r="15" spans="1:3">
      <c r="A15" s="3" t="s">
        <v>262</v>
      </c>
      <c r="B15" s="3" t="s">
        <v>94</v>
      </c>
      <c r="C15" s="3" t="s">
        <v>414</v>
      </c>
    </row>
    <row r="16" spans="1:3">
      <c r="A16" s="3" t="s">
        <v>362</v>
      </c>
      <c r="B16" s="3"/>
      <c r="C16" s="3" t="s">
        <v>411</v>
      </c>
    </row>
    <row r="17" spans="1:3">
      <c r="A17" s="3" t="s">
        <v>181</v>
      </c>
      <c r="B17" s="3" t="s">
        <v>181</v>
      </c>
      <c r="C17" s="3" t="s">
        <v>414</v>
      </c>
    </row>
    <row r="18" spans="1:3">
      <c r="A18" s="3" t="s">
        <v>111</v>
      </c>
      <c r="B18" s="3" t="s">
        <v>111</v>
      </c>
      <c r="C18" s="3" t="s">
        <v>414</v>
      </c>
    </row>
    <row r="19" spans="1:3">
      <c r="A19" s="3" t="s">
        <v>182</v>
      </c>
      <c r="B19" s="3" t="s">
        <v>44</v>
      </c>
      <c r="C19" s="3" t="s">
        <v>414</v>
      </c>
    </row>
    <row r="20" spans="1:3">
      <c r="A20" s="3" t="s">
        <v>183</v>
      </c>
      <c r="B20" s="3"/>
      <c r="C20" s="3" t="s">
        <v>411</v>
      </c>
    </row>
    <row r="21" spans="1:3">
      <c r="A21" s="3" t="s">
        <v>415</v>
      </c>
      <c r="B21" s="3"/>
      <c r="C21" s="3" t="s">
        <v>411</v>
      </c>
    </row>
    <row r="22" spans="1:3">
      <c r="A22" s="3" t="s">
        <v>184</v>
      </c>
      <c r="B22" s="3"/>
      <c r="C22" s="3" t="s">
        <v>411</v>
      </c>
    </row>
    <row r="23" spans="1:3">
      <c r="A23" s="3" t="s">
        <v>186</v>
      </c>
      <c r="B23" s="3" t="s">
        <v>461</v>
      </c>
      <c r="C23" s="3" t="s">
        <v>414</v>
      </c>
    </row>
    <row r="24" spans="1:3">
      <c r="A24" s="3" t="s">
        <v>187</v>
      </c>
      <c r="B24" s="3" t="s">
        <v>459</v>
      </c>
      <c r="C24" s="3" t="s">
        <v>414</v>
      </c>
    </row>
    <row r="25" spans="1:3">
      <c r="A25" s="3" t="s">
        <v>307</v>
      </c>
      <c r="B25" s="3" t="s">
        <v>460</v>
      </c>
      <c r="C25" s="3" t="s">
        <v>414</v>
      </c>
    </row>
    <row r="26" spans="1:3">
      <c r="A26" s="3" t="s">
        <v>364</v>
      </c>
      <c r="B26" s="3"/>
      <c r="C26" s="3" t="s">
        <v>411</v>
      </c>
    </row>
    <row r="27" spans="1:3">
      <c r="A27" s="3" t="s">
        <v>278</v>
      </c>
      <c r="B27" s="3" t="s">
        <v>60</v>
      </c>
      <c r="C27" s="3" t="s">
        <v>414</v>
      </c>
    </row>
    <row r="28" spans="1:3">
      <c r="A28" s="3" t="s">
        <v>279</v>
      </c>
      <c r="B28" s="3"/>
      <c r="C28" s="3" t="s">
        <v>411</v>
      </c>
    </row>
    <row r="29" spans="1:3">
      <c r="A29" s="3" t="s">
        <v>265</v>
      </c>
      <c r="B29" s="3" t="s">
        <v>58</v>
      </c>
      <c r="C29" s="3" t="s">
        <v>414</v>
      </c>
    </row>
    <row r="30" spans="1:3">
      <c r="A30" s="3" t="s">
        <v>189</v>
      </c>
      <c r="B30" s="3" t="s">
        <v>61</v>
      </c>
      <c r="C30" s="3" t="s">
        <v>414</v>
      </c>
    </row>
    <row r="31" spans="1:3">
      <c r="A31" s="3" t="s">
        <v>264</v>
      </c>
      <c r="B31" s="3"/>
      <c r="C31" s="3" t="s">
        <v>411</v>
      </c>
    </row>
    <row r="32" spans="1:3">
      <c r="A32" s="3" t="s">
        <v>263</v>
      </c>
      <c r="B32" s="138" t="s">
        <v>468</v>
      </c>
      <c r="C32" s="3" t="s">
        <v>414</v>
      </c>
    </row>
    <row r="33" spans="1:3">
      <c r="A33" s="3" t="s">
        <v>340</v>
      </c>
      <c r="B33" s="3" t="s">
        <v>83</v>
      </c>
      <c r="C33" s="3" t="s">
        <v>414</v>
      </c>
    </row>
    <row r="34" spans="1:3">
      <c r="A34" s="3" t="s">
        <v>365</v>
      </c>
      <c r="B34" s="3"/>
      <c r="C34" s="3" t="s">
        <v>411</v>
      </c>
    </row>
    <row r="35" spans="1:3">
      <c r="A35" s="3" t="s">
        <v>368</v>
      </c>
      <c r="B35" s="138" t="s">
        <v>469</v>
      </c>
      <c r="C35" s="138" t="s">
        <v>414</v>
      </c>
    </row>
    <row r="36" spans="1:3">
      <c r="A36" s="3" t="s">
        <v>190</v>
      </c>
      <c r="B36" s="3" t="s">
        <v>86</v>
      </c>
      <c r="C36" s="3" t="s">
        <v>414</v>
      </c>
    </row>
    <row r="37" spans="1:3">
      <c r="A37" s="3" t="s">
        <v>325</v>
      </c>
      <c r="B37" s="3"/>
      <c r="C37" s="3" t="s">
        <v>411</v>
      </c>
    </row>
    <row r="38" spans="1:3">
      <c r="A38" s="3" t="s">
        <v>310</v>
      </c>
      <c r="B38" s="3" t="s">
        <v>87</v>
      </c>
      <c r="C38" s="3" t="s">
        <v>414</v>
      </c>
    </row>
    <row r="39" spans="1:3">
      <c r="A39" s="3" t="s">
        <v>287</v>
      </c>
      <c r="B39" s="3" t="s">
        <v>82</v>
      </c>
      <c r="C39" s="3" t="s">
        <v>414</v>
      </c>
    </row>
    <row r="40" spans="1:3">
      <c r="A40" s="3" t="s">
        <v>339</v>
      </c>
      <c r="B40" s="3" t="s">
        <v>88</v>
      </c>
      <c r="C40" s="3" t="s">
        <v>414</v>
      </c>
    </row>
    <row r="41" spans="1:3">
      <c r="A41" s="3" t="s">
        <v>366</v>
      </c>
      <c r="B41" s="3"/>
      <c r="C41" s="3" t="s">
        <v>411</v>
      </c>
    </row>
    <row r="42" spans="1:3">
      <c r="A42" s="3" t="s">
        <v>191</v>
      </c>
      <c r="B42" s="3" t="s">
        <v>119</v>
      </c>
      <c r="C42" s="3" t="s">
        <v>414</v>
      </c>
    </row>
    <row r="43" spans="1:3">
      <c r="A43" s="3" t="s">
        <v>416</v>
      </c>
      <c r="B43" s="3"/>
      <c r="C43" s="3" t="s">
        <v>411</v>
      </c>
    </row>
    <row r="44" spans="1:3">
      <c r="A44" s="3" t="s">
        <v>367</v>
      </c>
      <c r="B44" s="3"/>
      <c r="C44" s="3" t="s">
        <v>411</v>
      </c>
    </row>
    <row r="45" spans="1:3">
      <c r="A45" s="3" t="s">
        <v>308</v>
      </c>
      <c r="B45" s="3" t="s">
        <v>84</v>
      </c>
      <c r="C45" s="3" t="s">
        <v>414</v>
      </c>
    </row>
    <row r="46" spans="1:3">
      <c r="A46" s="3" t="s">
        <v>341</v>
      </c>
      <c r="B46" s="3"/>
      <c r="C46" s="3" t="s">
        <v>411</v>
      </c>
    </row>
    <row r="47" spans="1:3">
      <c r="A47" s="3" t="s">
        <v>131</v>
      </c>
      <c r="B47" s="3" t="s">
        <v>131</v>
      </c>
      <c r="C47" s="3" t="s">
        <v>414</v>
      </c>
    </row>
    <row r="48" spans="1:3">
      <c r="A48" s="3" t="s">
        <v>369</v>
      </c>
      <c r="B48" s="3"/>
      <c r="C48" s="3" t="s">
        <v>411</v>
      </c>
    </row>
    <row r="49" spans="1:3">
      <c r="A49" s="3" t="s">
        <v>417</v>
      </c>
      <c r="B49" s="3"/>
      <c r="C49" s="3" t="s">
        <v>411</v>
      </c>
    </row>
    <row r="50" spans="1:3">
      <c r="A50" s="3" t="s">
        <v>281</v>
      </c>
      <c r="B50" s="3"/>
      <c r="C50" s="3" t="s">
        <v>411</v>
      </c>
    </row>
    <row r="51" spans="1:3">
      <c r="A51" s="3" t="s">
        <v>280</v>
      </c>
      <c r="B51" s="3"/>
      <c r="C51" s="3" t="s">
        <v>411</v>
      </c>
    </row>
    <row r="52" spans="1:3">
      <c r="A52" s="3" t="s">
        <v>418</v>
      </c>
      <c r="B52" s="3"/>
      <c r="C52" s="3" t="s">
        <v>411</v>
      </c>
    </row>
    <row r="53" spans="1:3">
      <c r="A53" s="3" t="s">
        <v>282</v>
      </c>
      <c r="B53" s="3"/>
      <c r="C53" s="3" t="s">
        <v>411</v>
      </c>
    </row>
    <row r="54" spans="1:3">
      <c r="A54" s="3" t="s">
        <v>283</v>
      </c>
      <c r="B54" s="3"/>
      <c r="C54" s="3" t="s">
        <v>411</v>
      </c>
    </row>
    <row r="55" spans="1:3">
      <c r="A55" s="3" t="s">
        <v>309</v>
      </c>
      <c r="B55" s="3"/>
      <c r="C55" s="3" t="s">
        <v>411</v>
      </c>
    </row>
    <row r="56" spans="1:3">
      <c r="A56" s="3" t="s">
        <v>326</v>
      </c>
      <c r="B56" s="3"/>
      <c r="C56" s="3" t="s">
        <v>411</v>
      </c>
    </row>
    <row r="57" spans="1:3">
      <c r="A57" s="3" t="s">
        <v>284</v>
      </c>
      <c r="B57" s="3"/>
      <c r="C57" s="3" t="s">
        <v>411</v>
      </c>
    </row>
    <row r="58" spans="1:3">
      <c r="A58" s="3" t="s">
        <v>285</v>
      </c>
      <c r="B58" s="3"/>
      <c r="C58" s="3" t="s">
        <v>411</v>
      </c>
    </row>
    <row r="59" spans="1:3">
      <c r="A59" s="3" t="s">
        <v>286</v>
      </c>
      <c r="B59" s="3"/>
      <c r="C59" s="3" t="s">
        <v>411</v>
      </c>
    </row>
    <row r="60" spans="1:3">
      <c r="A60" s="3" t="s">
        <v>343</v>
      </c>
      <c r="B60" s="3"/>
      <c r="C60" s="3" t="s">
        <v>411</v>
      </c>
    </row>
    <row r="61" spans="1:3">
      <c r="A61" s="3" t="s">
        <v>419</v>
      </c>
      <c r="B61" s="3"/>
      <c r="C61" s="3" t="s">
        <v>411</v>
      </c>
    </row>
    <row r="62" spans="1:3">
      <c r="A62" s="3" t="s">
        <v>420</v>
      </c>
      <c r="B62" s="3" t="s">
        <v>63</v>
      </c>
      <c r="C62" s="3" t="s">
        <v>414</v>
      </c>
    </row>
    <row r="63" spans="1:3">
      <c r="A63" s="3" t="s">
        <v>192</v>
      </c>
      <c r="B63" s="3" t="s">
        <v>89</v>
      </c>
      <c r="C63" s="3" t="s">
        <v>414</v>
      </c>
    </row>
    <row r="64" spans="1:3">
      <c r="A64" s="3" t="s">
        <v>193</v>
      </c>
      <c r="B64" s="3" t="s">
        <v>193</v>
      </c>
      <c r="C64" s="3" t="s">
        <v>414</v>
      </c>
    </row>
    <row r="65" spans="1:3">
      <c r="A65" s="3" t="s">
        <v>370</v>
      </c>
      <c r="B65" s="3"/>
      <c r="C65" s="3" t="s">
        <v>411</v>
      </c>
    </row>
    <row r="66" spans="1:3">
      <c r="A66" s="3" t="s">
        <v>288</v>
      </c>
      <c r="B66" s="3"/>
      <c r="C66" s="3" t="s">
        <v>411</v>
      </c>
    </row>
    <row r="67" spans="1:3">
      <c r="A67" s="3" t="s">
        <v>121</v>
      </c>
      <c r="B67" s="3" t="s">
        <v>121</v>
      </c>
      <c r="C67" s="3" t="s">
        <v>414</v>
      </c>
    </row>
    <row r="68" spans="1:3">
      <c r="A68" s="3" t="s">
        <v>194</v>
      </c>
      <c r="B68" s="3" t="s">
        <v>80</v>
      </c>
      <c r="C68" s="3" t="s">
        <v>414</v>
      </c>
    </row>
    <row r="69" spans="1:3">
      <c r="A69" s="3" t="s">
        <v>266</v>
      </c>
      <c r="B69" s="3" t="s">
        <v>120</v>
      </c>
      <c r="C69" s="3" t="s">
        <v>414</v>
      </c>
    </row>
    <row r="70" spans="1:3">
      <c r="A70" s="3" t="s">
        <v>132</v>
      </c>
      <c r="B70" s="138" t="s">
        <v>475</v>
      </c>
      <c r="C70" s="3" t="s">
        <v>414</v>
      </c>
    </row>
    <row r="71" spans="1:3">
      <c r="A71" s="3" t="s">
        <v>344</v>
      </c>
      <c r="B71" s="3" t="s">
        <v>62</v>
      </c>
      <c r="C71" s="3" t="s">
        <v>411</v>
      </c>
    </row>
    <row r="72" spans="1:3">
      <c r="A72" s="3" t="s">
        <v>267</v>
      </c>
      <c r="B72" s="3" t="s">
        <v>71</v>
      </c>
      <c r="C72" s="3" t="s">
        <v>414</v>
      </c>
    </row>
    <row r="73" spans="1:3">
      <c r="A73" s="3" t="s">
        <v>345</v>
      </c>
      <c r="B73" s="3" t="s">
        <v>117</v>
      </c>
      <c r="C73" s="3" t="s">
        <v>414</v>
      </c>
    </row>
    <row r="74" spans="1:3">
      <c r="A74" s="3" t="s">
        <v>311</v>
      </c>
      <c r="B74" s="3"/>
      <c r="C74" s="3" t="s">
        <v>411</v>
      </c>
    </row>
    <row r="75" spans="1:3">
      <c r="A75" s="3" t="s">
        <v>421</v>
      </c>
      <c r="B75" s="3"/>
      <c r="C75" s="3" t="s">
        <v>411</v>
      </c>
    </row>
    <row r="76" spans="1:3">
      <c r="A76" s="3" t="s">
        <v>116</v>
      </c>
      <c r="B76" s="3" t="s">
        <v>116</v>
      </c>
      <c r="C76" s="3" t="s">
        <v>414</v>
      </c>
    </row>
    <row r="77" spans="1:3">
      <c r="A77" s="3" t="s">
        <v>422</v>
      </c>
      <c r="B77" s="3"/>
      <c r="C77" s="3" t="s">
        <v>411</v>
      </c>
    </row>
    <row r="78" spans="1:3">
      <c r="A78" s="3" t="s">
        <v>128</v>
      </c>
      <c r="B78" s="3" t="s">
        <v>128</v>
      </c>
      <c r="C78" s="3" t="s">
        <v>414</v>
      </c>
    </row>
    <row r="79" spans="1:3">
      <c r="A79" s="3" t="s">
        <v>346</v>
      </c>
      <c r="B79" s="3"/>
      <c r="C79" s="3" t="s">
        <v>411</v>
      </c>
    </row>
    <row r="80" spans="1:3">
      <c r="A80" s="3" t="s">
        <v>195</v>
      </c>
      <c r="B80" s="3" t="s">
        <v>122</v>
      </c>
      <c r="C80" s="3" t="s">
        <v>414</v>
      </c>
    </row>
    <row r="81" spans="1:3">
      <c r="A81" s="3" t="s">
        <v>289</v>
      </c>
      <c r="B81" s="3" t="s">
        <v>123</v>
      </c>
      <c r="C81" s="3" t="s">
        <v>414</v>
      </c>
    </row>
    <row r="82" spans="1:3">
      <c r="A82" s="3" t="s">
        <v>268</v>
      </c>
      <c r="B82" s="3" t="s">
        <v>124</v>
      </c>
      <c r="C82" s="3" t="s">
        <v>414</v>
      </c>
    </row>
    <row r="83" spans="1:3">
      <c r="A83" s="3" t="s">
        <v>290</v>
      </c>
      <c r="B83" s="3" t="s">
        <v>125</v>
      </c>
      <c r="C83" s="3" t="s">
        <v>414</v>
      </c>
    </row>
    <row r="84" spans="1:3">
      <c r="A84" s="3" t="s">
        <v>312</v>
      </c>
      <c r="B84" s="3"/>
      <c r="C84" s="3" t="s">
        <v>411</v>
      </c>
    </row>
    <row r="85" spans="1:3">
      <c r="A85" s="3" t="s">
        <v>313</v>
      </c>
      <c r="B85" s="3" t="s">
        <v>126</v>
      </c>
      <c r="C85" s="3" t="s">
        <v>414</v>
      </c>
    </row>
    <row r="86" spans="1:3">
      <c r="A86" s="3" t="s">
        <v>291</v>
      </c>
      <c r="B86" s="3" t="s">
        <v>127</v>
      </c>
      <c r="C86" s="3" t="s">
        <v>414</v>
      </c>
    </row>
    <row r="87" spans="1:3">
      <c r="A87" s="3" t="s">
        <v>314</v>
      </c>
      <c r="B87" s="3"/>
      <c r="C87" s="3" t="s">
        <v>411</v>
      </c>
    </row>
    <row r="88" spans="1:3">
      <c r="A88" s="3" t="s">
        <v>196</v>
      </c>
      <c r="B88" s="3"/>
      <c r="C88" s="3" t="s">
        <v>411</v>
      </c>
    </row>
    <row r="89" spans="1:3">
      <c r="A89" s="3" t="s">
        <v>328</v>
      </c>
      <c r="B89" s="3"/>
      <c r="C89" s="3" t="s">
        <v>411</v>
      </c>
    </row>
    <row r="90" spans="1:3">
      <c r="A90" s="3" t="s">
        <v>292</v>
      </c>
      <c r="B90" s="3"/>
      <c r="C90" s="3" t="s">
        <v>411</v>
      </c>
    </row>
    <row r="91" spans="1:3">
      <c r="A91" s="3" t="s">
        <v>197</v>
      </c>
      <c r="B91" s="3" t="s">
        <v>133</v>
      </c>
      <c r="C91" s="3" t="s">
        <v>414</v>
      </c>
    </row>
    <row r="92" spans="1:3">
      <c r="A92" s="3" t="s">
        <v>351</v>
      </c>
      <c r="B92" s="3"/>
      <c r="C92" s="3" t="s">
        <v>411</v>
      </c>
    </row>
    <row r="93" spans="1:3">
      <c r="A93" s="3" t="s">
        <v>112</v>
      </c>
      <c r="B93" s="3" t="s">
        <v>112</v>
      </c>
      <c r="C93" s="3" t="s">
        <v>414</v>
      </c>
    </row>
    <row r="94" spans="1:3">
      <c r="A94" s="3" t="s">
        <v>423</v>
      </c>
      <c r="B94" s="3"/>
      <c r="C94" s="3" t="s">
        <v>411</v>
      </c>
    </row>
    <row r="95" spans="1:3">
      <c r="A95" s="3" t="s">
        <v>198</v>
      </c>
      <c r="B95" s="3" t="s">
        <v>458</v>
      </c>
      <c r="C95" s="3" t="s">
        <v>411</v>
      </c>
    </row>
    <row r="96" spans="1:3">
      <c r="A96" s="3" t="s">
        <v>199</v>
      </c>
      <c r="B96" s="3" t="s">
        <v>199</v>
      </c>
      <c r="C96" s="3" t="s">
        <v>411</v>
      </c>
    </row>
    <row r="97" spans="1:3">
      <c r="A97" s="3" t="s">
        <v>293</v>
      </c>
      <c r="B97" s="3" t="s">
        <v>66</v>
      </c>
      <c r="C97" s="3" t="s">
        <v>414</v>
      </c>
    </row>
    <row r="98" spans="1:3">
      <c r="A98" s="3" t="s">
        <v>389</v>
      </c>
      <c r="B98" s="3"/>
      <c r="C98" s="3" t="s">
        <v>411</v>
      </c>
    </row>
    <row r="99" spans="1:3">
      <c r="A99" s="3" t="s">
        <v>315</v>
      </c>
      <c r="B99" s="3" t="s">
        <v>133</v>
      </c>
      <c r="C99" s="3" t="s">
        <v>414</v>
      </c>
    </row>
    <row r="100" spans="1:3">
      <c r="A100" s="3" t="s">
        <v>371</v>
      </c>
      <c r="B100" s="3"/>
      <c r="C100" s="3" t="s">
        <v>411</v>
      </c>
    </row>
    <row r="101" spans="1:3">
      <c r="A101" s="3" t="s">
        <v>200</v>
      </c>
      <c r="B101" s="3" t="s">
        <v>115</v>
      </c>
      <c r="C101" s="3" t="s">
        <v>414</v>
      </c>
    </row>
    <row r="102" spans="1:3">
      <c r="A102" s="3" t="s">
        <v>110</v>
      </c>
      <c r="B102" s="3" t="s">
        <v>110</v>
      </c>
      <c r="C102" s="3" t="s">
        <v>414</v>
      </c>
    </row>
    <row r="103" spans="1:3">
      <c r="A103" s="3" t="s">
        <v>81</v>
      </c>
      <c r="B103" s="138" t="s">
        <v>28</v>
      </c>
      <c r="C103" s="3" t="s">
        <v>414</v>
      </c>
    </row>
    <row r="104" spans="1:3">
      <c r="A104" s="3" t="s">
        <v>101</v>
      </c>
      <c r="B104" s="3" t="s">
        <v>101</v>
      </c>
      <c r="C104" s="3" t="s">
        <v>414</v>
      </c>
    </row>
    <row r="105" spans="1:3">
      <c r="A105" s="3" t="s">
        <v>100</v>
      </c>
      <c r="B105" s="3" t="s">
        <v>100</v>
      </c>
      <c r="C105" s="3" t="s">
        <v>414</v>
      </c>
    </row>
    <row r="106" spans="1:3">
      <c r="A106" s="3" t="s">
        <v>99</v>
      </c>
      <c r="B106" s="3" t="s">
        <v>99</v>
      </c>
      <c r="C106" s="3" t="s">
        <v>414</v>
      </c>
    </row>
    <row r="107" spans="1:3">
      <c r="A107" s="3" t="s">
        <v>201</v>
      </c>
      <c r="B107" s="3"/>
      <c r="C107" s="3" t="s">
        <v>411</v>
      </c>
    </row>
    <row r="108" spans="1:3">
      <c r="A108" s="3" t="s">
        <v>398</v>
      </c>
      <c r="B108" s="3"/>
      <c r="C108" s="3" t="s">
        <v>411</v>
      </c>
    </row>
    <row r="109" spans="1:3">
      <c r="A109" s="3" t="s">
        <v>204</v>
      </c>
      <c r="B109" s="138" t="s">
        <v>473</v>
      </c>
      <c r="C109" s="3" t="s">
        <v>414</v>
      </c>
    </row>
    <row r="110" spans="1:3">
      <c r="A110" s="3" t="s">
        <v>209</v>
      </c>
      <c r="B110" s="3" t="s">
        <v>78</v>
      </c>
      <c r="C110" s="3" t="s">
        <v>414</v>
      </c>
    </row>
    <row r="111" spans="1:3">
      <c r="A111" s="3" t="s">
        <v>205</v>
      </c>
      <c r="B111" s="3"/>
      <c r="C111" s="3" t="s">
        <v>411</v>
      </c>
    </row>
    <row r="112" spans="1:3">
      <c r="A112" s="3" t="s">
        <v>203</v>
      </c>
      <c r="B112" s="3"/>
      <c r="C112" s="3" t="s">
        <v>411</v>
      </c>
    </row>
    <row r="113" spans="1:3">
      <c r="A113" s="3" t="s">
        <v>206</v>
      </c>
      <c r="B113" s="3" t="s">
        <v>78</v>
      </c>
      <c r="C113" s="3" t="s">
        <v>414</v>
      </c>
    </row>
    <row r="114" spans="1:3">
      <c r="A114" s="3" t="s">
        <v>208</v>
      </c>
      <c r="B114" s="3"/>
      <c r="C114" s="3" t="s">
        <v>411</v>
      </c>
    </row>
    <row r="115" spans="1:3">
      <c r="A115" s="3" t="s">
        <v>424</v>
      </c>
      <c r="B115" s="3" t="s">
        <v>78</v>
      </c>
      <c r="C115" s="3" t="s">
        <v>414</v>
      </c>
    </row>
    <row r="116" spans="1:3">
      <c r="A116" s="3" t="s">
        <v>425</v>
      </c>
      <c r="B116" s="3" t="s">
        <v>78</v>
      </c>
      <c r="C116" s="3" t="s">
        <v>414</v>
      </c>
    </row>
    <row r="117" spans="1:3">
      <c r="A117" s="3" t="s">
        <v>426</v>
      </c>
      <c r="B117" s="3" t="s">
        <v>78</v>
      </c>
      <c r="C117" s="3" t="s">
        <v>414</v>
      </c>
    </row>
    <row r="118" spans="1:3">
      <c r="A118" s="3" t="s">
        <v>210</v>
      </c>
      <c r="B118" s="3"/>
      <c r="C118" s="3" t="s">
        <v>411</v>
      </c>
    </row>
    <row r="119" spans="1:3">
      <c r="A119" s="3" t="s">
        <v>427</v>
      </c>
      <c r="B119" s="3"/>
      <c r="C119" s="3" t="s">
        <v>411</v>
      </c>
    </row>
    <row r="120" spans="1:3">
      <c r="A120" s="3" t="s">
        <v>335</v>
      </c>
      <c r="B120" s="3"/>
      <c r="C120" s="3" t="s">
        <v>411</v>
      </c>
    </row>
    <row r="121" spans="1:3">
      <c r="A121" s="3" t="s">
        <v>428</v>
      </c>
      <c r="B121" s="3" t="s">
        <v>78</v>
      </c>
      <c r="C121" s="3" t="s">
        <v>414</v>
      </c>
    </row>
    <row r="122" spans="1:3">
      <c r="A122" s="3" t="s">
        <v>429</v>
      </c>
      <c r="B122" s="3" t="s">
        <v>78</v>
      </c>
      <c r="C122" s="3" t="s">
        <v>414</v>
      </c>
    </row>
    <row r="123" spans="1:3">
      <c r="A123" s="3" t="s">
        <v>430</v>
      </c>
      <c r="B123" s="3" t="s">
        <v>78</v>
      </c>
      <c r="C123" s="3" t="s">
        <v>414</v>
      </c>
    </row>
    <row r="124" spans="1:3">
      <c r="A124" s="3" t="s">
        <v>211</v>
      </c>
      <c r="B124" s="3" t="s">
        <v>167</v>
      </c>
      <c r="C124" s="3" t="s">
        <v>414</v>
      </c>
    </row>
    <row r="125" spans="1:3">
      <c r="A125" s="3" t="s">
        <v>212</v>
      </c>
      <c r="B125" s="3" t="s">
        <v>39</v>
      </c>
      <c r="C125" s="3" t="s">
        <v>414</v>
      </c>
    </row>
    <row r="126" spans="1:3">
      <c r="A126" s="3" t="s">
        <v>213</v>
      </c>
      <c r="B126" s="3" t="s">
        <v>32</v>
      </c>
      <c r="C126" s="3" t="s">
        <v>414</v>
      </c>
    </row>
    <row r="127" spans="1:3">
      <c r="A127" s="3" t="s">
        <v>214</v>
      </c>
      <c r="B127" s="3" t="s">
        <v>34</v>
      </c>
      <c r="C127" s="3" t="s">
        <v>414</v>
      </c>
    </row>
    <row r="128" spans="1:3">
      <c r="A128" s="3" t="s">
        <v>215</v>
      </c>
      <c r="B128" s="3" t="s">
        <v>33</v>
      </c>
      <c r="C128" s="3" t="s">
        <v>414</v>
      </c>
    </row>
    <row r="129" spans="1:3">
      <c r="A129" s="3" t="s">
        <v>316</v>
      </c>
      <c r="B129" s="3" t="s">
        <v>40</v>
      </c>
      <c r="C129" s="3" t="s">
        <v>414</v>
      </c>
    </row>
    <row r="130" spans="1:3">
      <c r="A130" s="3" t="s">
        <v>216</v>
      </c>
      <c r="B130" s="3" t="s">
        <v>50</v>
      </c>
      <c r="C130" s="3" t="s">
        <v>414</v>
      </c>
    </row>
    <row r="131" spans="1:3">
      <c r="A131" s="3" t="s">
        <v>217</v>
      </c>
      <c r="B131" s="3" t="s">
        <v>30</v>
      </c>
      <c r="C131" s="3" t="s">
        <v>414</v>
      </c>
    </row>
    <row r="132" spans="1:3">
      <c r="A132" s="3" t="s">
        <v>218</v>
      </c>
      <c r="B132" s="3" t="s">
        <v>41</v>
      </c>
      <c r="C132" s="3" t="s">
        <v>414</v>
      </c>
    </row>
    <row r="133" spans="1:3">
      <c r="A133" s="3" t="s">
        <v>329</v>
      </c>
      <c r="B133" s="3" t="s">
        <v>41</v>
      </c>
      <c r="C133" s="3" t="s">
        <v>414</v>
      </c>
    </row>
    <row r="134" spans="1:3">
      <c r="A134" s="3" t="s">
        <v>219</v>
      </c>
      <c r="B134" s="3" t="s">
        <v>41</v>
      </c>
      <c r="C134" s="3" t="s">
        <v>414</v>
      </c>
    </row>
    <row r="135" spans="1:3">
      <c r="A135" s="3" t="s">
        <v>269</v>
      </c>
      <c r="B135" s="3"/>
      <c r="C135" s="3" t="s">
        <v>411</v>
      </c>
    </row>
    <row r="136" spans="1:3">
      <c r="A136" s="3" t="s">
        <v>220</v>
      </c>
      <c r="B136" s="3" t="s">
        <v>37</v>
      </c>
      <c r="C136" s="3" t="s">
        <v>414</v>
      </c>
    </row>
    <row r="137" spans="1:3">
      <c r="A137" s="3" t="s">
        <v>221</v>
      </c>
      <c r="B137" s="3" t="s">
        <v>42</v>
      </c>
      <c r="C137" s="3" t="s">
        <v>414</v>
      </c>
    </row>
    <row r="138" spans="1:3">
      <c r="A138" s="3" t="s">
        <v>222</v>
      </c>
      <c r="B138" s="3" t="s">
        <v>43</v>
      </c>
      <c r="C138" s="3" t="s">
        <v>414</v>
      </c>
    </row>
    <row r="139" spans="1:3">
      <c r="A139" s="3" t="s">
        <v>223</v>
      </c>
      <c r="B139" s="3" t="s">
        <v>51</v>
      </c>
      <c r="C139" s="3" t="s">
        <v>414</v>
      </c>
    </row>
    <row r="140" spans="1:3">
      <c r="A140" s="3" t="s">
        <v>372</v>
      </c>
      <c r="B140" s="138" t="s">
        <v>471</v>
      </c>
      <c r="C140" s="138" t="s">
        <v>414</v>
      </c>
    </row>
    <row r="141" spans="1:3">
      <c r="A141" s="3" t="s">
        <v>224</v>
      </c>
      <c r="B141" s="138" t="s">
        <v>470</v>
      </c>
      <c r="C141" s="138" t="s">
        <v>414</v>
      </c>
    </row>
    <row r="142" spans="1:3">
      <c r="A142" s="3" t="s">
        <v>225</v>
      </c>
      <c r="B142" s="3" t="s">
        <v>77</v>
      </c>
      <c r="C142" s="3" t="s">
        <v>414</v>
      </c>
    </row>
    <row r="143" spans="1:3">
      <c r="A143" s="3" t="s">
        <v>226</v>
      </c>
      <c r="B143" s="3" t="s">
        <v>170</v>
      </c>
      <c r="C143" s="3" t="s">
        <v>414</v>
      </c>
    </row>
    <row r="144" spans="1:3">
      <c r="A144" s="3" t="s">
        <v>317</v>
      </c>
      <c r="B144" s="3" t="s">
        <v>97</v>
      </c>
      <c r="C144" s="3" t="s">
        <v>414</v>
      </c>
    </row>
    <row r="145" spans="1:3">
      <c r="A145" s="3" t="s">
        <v>227</v>
      </c>
      <c r="B145" s="3" t="s">
        <v>45</v>
      </c>
      <c r="C145" s="3" t="s">
        <v>414</v>
      </c>
    </row>
    <row r="146" spans="1:3">
      <c r="A146" s="3" t="s">
        <v>228</v>
      </c>
      <c r="B146" s="3" t="s">
        <v>52</v>
      </c>
      <c r="C146" s="3" t="s">
        <v>414</v>
      </c>
    </row>
    <row r="147" spans="1:3">
      <c r="A147" s="3" t="s">
        <v>229</v>
      </c>
      <c r="B147" s="3" t="s">
        <v>52</v>
      </c>
      <c r="C147" s="3" t="s">
        <v>414</v>
      </c>
    </row>
    <row r="148" spans="1:3">
      <c r="A148" s="3" t="s">
        <v>230</v>
      </c>
      <c r="B148" s="3" t="s">
        <v>38</v>
      </c>
      <c r="C148" s="3" t="s">
        <v>414</v>
      </c>
    </row>
    <row r="149" spans="1:3">
      <c r="A149" s="3" t="s">
        <v>231</v>
      </c>
      <c r="B149" s="3" t="s">
        <v>53</v>
      </c>
      <c r="C149" s="3" t="s">
        <v>414</v>
      </c>
    </row>
    <row r="150" spans="1:3">
      <c r="A150" s="3" t="s">
        <v>352</v>
      </c>
      <c r="B150" s="3"/>
      <c r="C150" s="3" t="s">
        <v>411</v>
      </c>
    </row>
    <row r="151" spans="1:3">
      <c r="A151" s="3" t="s">
        <v>431</v>
      </c>
      <c r="B151" s="3"/>
      <c r="C151" s="3" t="s">
        <v>411</v>
      </c>
    </row>
    <row r="152" spans="1:3">
      <c r="A152" s="3" t="s">
        <v>294</v>
      </c>
      <c r="B152" s="3" t="s">
        <v>78</v>
      </c>
      <c r="C152" s="3" t="s">
        <v>414</v>
      </c>
    </row>
    <row r="153" spans="1:3">
      <c r="A153" s="3" t="s">
        <v>295</v>
      </c>
      <c r="B153" s="3" t="s">
        <v>36</v>
      </c>
      <c r="C153" s="3" t="s">
        <v>414</v>
      </c>
    </row>
    <row r="154" spans="1:3">
      <c r="A154" s="3" t="s">
        <v>232</v>
      </c>
      <c r="B154" s="3" t="s">
        <v>47</v>
      </c>
      <c r="C154" s="3" t="s">
        <v>414</v>
      </c>
    </row>
    <row r="155" spans="1:3">
      <c r="A155" s="3" t="s">
        <v>233</v>
      </c>
      <c r="B155" s="3" t="s">
        <v>48</v>
      </c>
      <c r="C155" s="3" t="s">
        <v>414</v>
      </c>
    </row>
    <row r="156" spans="1:3">
      <c r="A156" s="3" t="s">
        <v>234</v>
      </c>
      <c r="B156" s="3" t="s">
        <v>35</v>
      </c>
      <c r="C156" s="3" t="s">
        <v>414</v>
      </c>
    </row>
    <row r="157" spans="1:3">
      <c r="A157" s="3" t="s">
        <v>235</v>
      </c>
      <c r="B157" s="3" t="s">
        <v>46</v>
      </c>
      <c r="C157" s="3" t="s">
        <v>414</v>
      </c>
    </row>
    <row r="158" spans="1:3">
      <c r="A158" s="3" t="s">
        <v>296</v>
      </c>
      <c r="B158" s="138" t="s">
        <v>59</v>
      </c>
      <c r="C158" s="3" t="s">
        <v>414</v>
      </c>
    </row>
    <row r="159" spans="1:3">
      <c r="A159" s="3" t="s">
        <v>236</v>
      </c>
      <c r="B159" s="3"/>
      <c r="C159" s="3" t="s">
        <v>411</v>
      </c>
    </row>
    <row r="160" spans="1:3">
      <c r="A160" s="3" t="s">
        <v>432</v>
      </c>
      <c r="B160" s="3"/>
      <c r="C160" s="3" t="s">
        <v>411</v>
      </c>
    </row>
    <row r="161" spans="1:3">
      <c r="A161" s="3" t="s">
        <v>374</v>
      </c>
      <c r="B161" s="3"/>
      <c r="C161" s="3" t="s">
        <v>411</v>
      </c>
    </row>
    <row r="162" spans="1:3">
      <c r="A162" s="3" t="s">
        <v>433</v>
      </c>
      <c r="B162" s="3"/>
      <c r="C162" s="3" t="s">
        <v>411</v>
      </c>
    </row>
    <row r="163" spans="1:3">
      <c r="A163" s="3" t="s">
        <v>238</v>
      </c>
      <c r="B163" s="3"/>
      <c r="C163" s="3" t="s">
        <v>411</v>
      </c>
    </row>
    <row r="164" spans="1:3">
      <c r="A164" s="3" t="s">
        <v>242</v>
      </c>
      <c r="B164" s="3"/>
      <c r="C164" s="3" t="s">
        <v>411</v>
      </c>
    </row>
    <row r="165" spans="1:3">
      <c r="A165" s="3" t="s">
        <v>240</v>
      </c>
      <c r="B165" s="3"/>
      <c r="C165" s="3" t="s">
        <v>411</v>
      </c>
    </row>
    <row r="166" spans="1:3">
      <c r="A166" s="3" t="s">
        <v>272</v>
      </c>
      <c r="B166" s="3"/>
      <c r="C166" s="3" t="s">
        <v>411</v>
      </c>
    </row>
    <row r="167" spans="1:3">
      <c r="A167" s="3" t="s">
        <v>241</v>
      </c>
      <c r="B167" s="3"/>
      <c r="C167" s="3" t="s">
        <v>411</v>
      </c>
    </row>
    <row r="168" spans="1:3">
      <c r="A168" s="3" t="s">
        <v>270</v>
      </c>
      <c r="B168" s="3"/>
      <c r="C168" s="3" t="s">
        <v>411</v>
      </c>
    </row>
    <row r="169" spans="1:3">
      <c r="A169" s="3" t="s">
        <v>243</v>
      </c>
      <c r="B169" s="3"/>
      <c r="C169" s="3" t="s">
        <v>411</v>
      </c>
    </row>
    <row r="170" spans="1:3">
      <c r="A170" s="3" t="s">
        <v>271</v>
      </c>
      <c r="B170" s="3"/>
      <c r="C170" s="3" t="s">
        <v>411</v>
      </c>
    </row>
    <row r="171" spans="1:3">
      <c r="A171" s="3" t="s">
        <v>273</v>
      </c>
      <c r="B171" s="3"/>
      <c r="C171" s="3" t="s">
        <v>411</v>
      </c>
    </row>
    <row r="172" spans="1:3">
      <c r="A172" s="3" t="s">
        <v>298</v>
      </c>
      <c r="B172" s="3"/>
      <c r="C172" s="3" t="s">
        <v>411</v>
      </c>
    </row>
    <row r="173" spans="1:3">
      <c r="A173" s="3" t="s">
        <v>239</v>
      </c>
      <c r="B173" s="3" t="s">
        <v>67</v>
      </c>
      <c r="C173" s="3" t="s">
        <v>414</v>
      </c>
    </row>
    <row r="174" spans="1:3">
      <c r="A174" s="3" t="s">
        <v>274</v>
      </c>
      <c r="B174" s="3"/>
      <c r="C174" s="3" t="s">
        <v>411</v>
      </c>
    </row>
    <row r="175" spans="1:3">
      <c r="A175" s="3" t="s">
        <v>330</v>
      </c>
      <c r="B175" s="3"/>
      <c r="C175" s="3" t="s">
        <v>411</v>
      </c>
    </row>
    <row r="176" spans="1:3">
      <c r="A176" s="3" t="s">
        <v>375</v>
      </c>
      <c r="B176" s="3"/>
      <c r="C176" s="3" t="s">
        <v>411</v>
      </c>
    </row>
    <row r="177" spans="1:3">
      <c r="A177" s="3" t="s">
        <v>331</v>
      </c>
      <c r="B177" s="3"/>
      <c r="C177" s="3" t="s">
        <v>411</v>
      </c>
    </row>
    <row r="178" spans="1:3">
      <c r="A178" s="3" t="s">
        <v>336</v>
      </c>
      <c r="B178" s="138" t="s">
        <v>472</v>
      </c>
      <c r="C178" s="3" t="s">
        <v>411</v>
      </c>
    </row>
    <row r="179" spans="1:3">
      <c r="A179" s="3" t="s">
        <v>376</v>
      </c>
      <c r="B179" s="3"/>
      <c r="C179" s="3" t="s">
        <v>411</v>
      </c>
    </row>
    <row r="180" spans="1:3">
      <c r="A180" s="3" t="s">
        <v>347</v>
      </c>
      <c r="B180" s="3"/>
      <c r="C180" s="3" t="s">
        <v>411</v>
      </c>
    </row>
    <row r="181" spans="1:3">
      <c r="A181" s="3" t="s">
        <v>434</v>
      </c>
      <c r="B181" s="3"/>
      <c r="C181" s="3" t="s">
        <v>411</v>
      </c>
    </row>
    <row r="182" spans="1:3">
      <c r="A182" s="3" t="s">
        <v>435</v>
      </c>
      <c r="B182" s="3"/>
      <c r="C182" s="3" t="s">
        <v>411</v>
      </c>
    </row>
    <row r="183" spans="1:3">
      <c r="A183" s="3" t="s">
        <v>436</v>
      </c>
      <c r="B183" s="3"/>
      <c r="C183" s="3" t="s">
        <v>411</v>
      </c>
    </row>
    <row r="184" spans="1:3">
      <c r="A184" s="3" t="s">
        <v>437</v>
      </c>
      <c r="B184" s="3"/>
      <c r="C184" s="3" t="s">
        <v>411</v>
      </c>
    </row>
    <row r="185" spans="1:3">
      <c r="A185" s="3" t="s">
        <v>244</v>
      </c>
      <c r="B185" s="3"/>
      <c r="C185" s="3" t="s">
        <v>411</v>
      </c>
    </row>
    <row r="186" spans="1:3">
      <c r="A186" s="3" t="s">
        <v>438</v>
      </c>
      <c r="B186" s="3"/>
      <c r="C186" s="3" t="s">
        <v>411</v>
      </c>
    </row>
    <row r="187" spans="1:3">
      <c r="A187" s="3" t="s">
        <v>245</v>
      </c>
      <c r="B187" s="3"/>
      <c r="C187" s="3" t="s">
        <v>411</v>
      </c>
    </row>
    <row r="188" spans="1:3">
      <c r="A188" s="3" t="s">
        <v>318</v>
      </c>
      <c r="B188" s="3"/>
      <c r="C188" s="3" t="s">
        <v>411</v>
      </c>
    </row>
    <row r="189" spans="1:3">
      <c r="A189" s="3" t="s">
        <v>319</v>
      </c>
      <c r="B189" s="3"/>
      <c r="C189" s="3" t="s">
        <v>411</v>
      </c>
    </row>
    <row r="190" spans="1:3">
      <c r="A190" s="3" t="s">
        <v>337</v>
      </c>
      <c r="B190" s="3"/>
      <c r="C190" s="3" t="s">
        <v>411</v>
      </c>
    </row>
    <row r="191" spans="1:3">
      <c r="A191" s="3" t="s">
        <v>378</v>
      </c>
      <c r="B191" s="3"/>
      <c r="C191" s="3" t="s">
        <v>411</v>
      </c>
    </row>
    <row r="192" spans="1:3">
      <c r="A192" s="3" t="s">
        <v>439</v>
      </c>
      <c r="B192" s="3"/>
      <c r="C192" s="3" t="s">
        <v>411</v>
      </c>
    </row>
    <row r="193" spans="1:3">
      <c r="A193" s="3" t="s">
        <v>247</v>
      </c>
      <c r="B193" s="3" t="s">
        <v>58</v>
      </c>
      <c r="C193" s="3" t="s">
        <v>411</v>
      </c>
    </row>
    <row r="194" spans="1:3">
      <c r="A194" s="3" t="s">
        <v>440</v>
      </c>
      <c r="B194" s="3"/>
      <c r="C194" s="3" t="s">
        <v>411</v>
      </c>
    </row>
    <row r="195" spans="1:3">
      <c r="A195" s="3" t="s">
        <v>395</v>
      </c>
      <c r="B195" s="3"/>
      <c r="C195" s="3" t="s">
        <v>411</v>
      </c>
    </row>
    <row r="196" spans="1:3">
      <c r="A196" s="3" t="s">
        <v>379</v>
      </c>
      <c r="B196" s="3"/>
      <c r="C196" s="3" t="s">
        <v>411</v>
      </c>
    </row>
    <row r="197" spans="1:3">
      <c r="A197" s="3" t="s">
        <v>380</v>
      </c>
      <c r="B197" s="3"/>
      <c r="C197" s="3" t="s">
        <v>411</v>
      </c>
    </row>
    <row r="198" spans="1:3">
      <c r="A198" s="3" t="s">
        <v>300</v>
      </c>
      <c r="B198" s="3"/>
      <c r="C198" s="3" t="s">
        <v>411</v>
      </c>
    </row>
    <row r="199" spans="1:3">
      <c r="A199" s="3" t="s">
        <v>441</v>
      </c>
      <c r="B199" s="3"/>
      <c r="C199" s="3" t="s">
        <v>411</v>
      </c>
    </row>
    <row r="200" spans="1:3">
      <c r="A200" s="3" t="s">
        <v>353</v>
      </c>
      <c r="B200" s="3"/>
      <c r="C200" s="3" t="s">
        <v>411</v>
      </c>
    </row>
    <row r="201" spans="1:3">
      <c r="A201" s="3" t="s">
        <v>442</v>
      </c>
      <c r="B201" s="3"/>
      <c r="C201" s="3" t="s">
        <v>411</v>
      </c>
    </row>
    <row r="202" spans="1:3">
      <c r="A202" s="3" t="s">
        <v>443</v>
      </c>
      <c r="B202" s="3"/>
      <c r="C202" s="3" t="s">
        <v>411</v>
      </c>
    </row>
    <row r="203" spans="1:3">
      <c r="A203" s="3" t="s">
        <v>444</v>
      </c>
      <c r="B203" s="3"/>
      <c r="C203" s="3" t="s">
        <v>411</v>
      </c>
    </row>
    <row r="204" spans="1:3">
      <c r="A204" s="3" t="s">
        <v>301</v>
      </c>
      <c r="B204" s="3"/>
      <c r="C204" s="3" t="s">
        <v>411</v>
      </c>
    </row>
    <row r="205" spans="1:3">
      <c r="A205" s="3" t="s">
        <v>108</v>
      </c>
      <c r="B205" s="3" t="s">
        <v>108</v>
      </c>
      <c r="C205" s="3" t="s">
        <v>414</v>
      </c>
    </row>
    <row r="206" spans="1:3">
      <c r="A206" s="3" t="s">
        <v>249</v>
      </c>
      <c r="B206" s="3" t="s">
        <v>462</v>
      </c>
      <c r="C206" s="3" t="s">
        <v>414</v>
      </c>
    </row>
    <row r="207" spans="1:3">
      <c r="A207" s="3" t="s">
        <v>129</v>
      </c>
      <c r="B207" s="3" t="s">
        <v>129</v>
      </c>
      <c r="C207" s="3" t="s">
        <v>414</v>
      </c>
    </row>
    <row r="208" spans="1:3">
      <c r="A208" s="3" t="s">
        <v>118</v>
      </c>
      <c r="B208" s="3" t="s">
        <v>118</v>
      </c>
      <c r="C208" s="3" t="s">
        <v>414</v>
      </c>
    </row>
    <row r="209" spans="1:3">
      <c r="A209" s="3" t="s">
        <v>333</v>
      </c>
      <c r="B209" s="3" t="s">
        <v>90</v>
      </c>
      <c r="C209" s="3" t="s">
        <v>414</v>
      </c>
    </row>
    <row r="210" spans="1:3">
      <c r="A210" s="3" t="s">
        <v>381</v>
      </c>
      <c r="B210" s="3"/>
      <c r="C210" s="3" t="s">
        <v>411</v>
      </c>
    </row>
    <row r="211" spans="1:3">
      <c r="A211" s="3" t="s">
        <v>130</v>
      </c>
      <c r="B211" s="3" t="s">
        <v>130</v>
      </c>
      <c r="C211" s="3" t="s">
        <v>445</v>
      </c>
    </row>
    <row r="212" spans="1:3">
      <c r="A212" s="3" t="s">
        <v>383</v>
      </c>
      <c r="B212" s="3"/>
      <c r="C212" s="3" t="s">
        <v>411</v>
      </c>
    </row>
    <row r="213" spans="1:3">
      <c r="A213" s="3" t="s">
        <v>320</v>
      </c>
      <c r="B213" s="138" t="s">
        <v>474</v>
      </c>
      <c r="C213" s="3" t="s">
        <v>411</v>
      </c>
    </row>
    <row r="214" spans="1:3">
      <c r="A214" s="3" t="s">
        <v>382</v>
      </c>
      <c r="B214" s="3" t="s">
        <v>91</v>
      </c>
      <c r="C214" s="3" t="s">
        <v>414</v>
      </c>
    </row>
    <row r="215" spans="1:3">
      <c r="A215" s="3" t="s">
        <v>400</v>
      </c>
      <c r="B215" s="3" t="s">
        <v>85</v>
      </c>
      <c r="C215" s="3" t="s">
        <v>414</v>
      </c>
    </row>
    <row r="216" spans="1:3">
      <c r="A216" s="3" t="s">
        <v>275</v>
      </c>
      <c r="B216" s="3"/>
      <c r="C216" s="3" t="s">
        <v>411</v>
      </c>
    </row>
    <row r="217" spans="1:3">
      <c r="A217" s="3" t="s">
        <v>446</v>
      </c>
      <c r="B217" s="3"/>
      <c r="C217" s="3" t="s">
        <v>411</v>
      </c>
    </row>
    <row r="218" spans="1:3">
      <c r="A218" s="3" t="s">
        <v>447</v>
      </c>
      <c r="B218" s="3"/>
      <c r="C218" s="3" t="s">
        <v>411</v>
      </c>
    </row>
    <row r="219" spans="1:3">
      <c r="A219" s="3" t="s">
        <v>348</v>
      </c>
      <c r="B219" s="3" t="s">
        <v>93</v>
      </c>
      <c r="C219" s="3" t="s">
        <v>414</v>
      </c>
    </row>
    <row r="220" spans="1:3">
      <c r="A220" s="3" t="s">
        <v>104</v>
      </c>
      <c r="B220" s="3" t="s">
        <v>104</v>
      </c>
      <c r="C220" s="3" t="s">
        <v>414</v>
      </c>
    </row>
    <row r="221" spans="1:3">
      <c r="A221" s="3" t="s">
        <v>103</v>
      </c>
      <c r="B221" s="3" t="s">
        <v>103</v>
      </c>
      <c r="C221" s="3" t="s">
        <v>414</v>
      </c>
    </row>
    <row r="222" spans="1:3">
      <c r="A222" s="3" t="s">
        <v>113</v>
      </c>
      <c r="B222" s="3" t="s">
        <v>113</v>
      </c>
      <c r="C222" s="3" t="s">
        <v>414</v>
      </c>
    </row>
    <row r="223" spans="1:3">
      <c r="A223" s="3" t="s">
        <v>114</v>
      </c>
      <c r="B223" s="3" t="s">
        <v>114</v>
      </c>
      <c r="C223" s="3" t="s">
        <v>414</v>
      </c>
    </row>
    <row r="224" spans="1:3">
      <c r="A224" s="3" t="s">
        <v>102</v>
      </c>
      <c r="B224" s="3" t="s">
        <v>102</v>
      </c>
      <c r="C224" s="3" t="s">
        <v>414</v>
      </c>
    </row>
    <row r="225" spans="1:3">
      <c r="A225" s="3" t="s">
        <v>354</v>
      </c>
      <c r="B225" s="3" t="s">
        <v>85</v>
      </c>
      <c r="C225" s="3" t="s">
        <v>414</v>
      </c>
    </row>
    <row r="226" spans="1:3">
      <c r="A226" s="3" t="s">
        <v>355</v>
      </c>
      <c r="B226" s="3"/>
      <c r="C226" s="3" t="s">
        <v>411</v>
      </c>
    </row>
    <row r="227" spans="1:3">
      <c r="A227" s="3" t="s">
        <v>107</v>
      </c>
      <c r="B227" s="3" t="s">
        <v>107</v>
      </c>
      <c r="C227" s="3" t="s">
        <v>414</v>
      </c>
    </row>
    <row r="228" spans="1:3">
      <c r="A228" s="3" t="s">
        <v>105</v>
      </c>
      <c r="B228" s="3" t="s">
        <v>105</v>
      </c>
      <c r="C228" s="3" t="s">
        <v>414</v>
      </c>
    </row>
    <row r="229" spans="1:3">
      <c r="A229" s="3" t="s">
        <v>106</v>
      </c>
      <c r="B229" s="3" t="s">
        <v>106</v>
      </c>
      <c r="C229" s="3" t="s">
        <v>414</v>
      </c>
    </row>
    <row r="230" spans="1:3">
      <c r="A230" s="3" t="s">
        <v>321</v>
      </c>
      <c r="B230" s="3"/>
      <c r="C230" s="3" t="s">
        <v>411</v>
      </c>
    </row>
    <row r="231" spans="1:3">
      <c r="A231" s="3" t="s">
        <v>251</v>
      </c>
      <c r="B231" s="3" t="s">
        <v>72</v>
      </c>
      <c r="C231" s="3" t="s">
        <v>414</v>
      </c>
    </row>
    <row r="232" spans="1:3">
      <c r="A232" s="3" t="s">
        <v>252</v>
      </c>
      <c r="B232" s="3"/>
      <c r="C232" s="3" t="s">
        <v>411</v>
      </c>
    </row>
    <row r="233" spans="1:3">
      <c r="A233" s="3" t="s">
        <v>384</v>
      </c>
      <c r="B233" s="3"/>
      <c r="C233" s="3" t="s">
        <v>411</v>
      </c>
    </row>
    <row r="234" spans="1:3">
      <c r="A234" s="3" t="s">
        <v>74</v>
      </c>
      <c r="B234" s="3" t="s">
        <v>74</v>
      </c>
      <c r="C234" s="3" t="s">
        <v>414</v>
      </c>
    </row>
    <row r="235" spans="1:3">
      <c r="A235" s="3" t="s">
        <v>254</v>
      </c>
      <c r="B235" s="3" t="s">
        <v>75</v>
      </c>
      <c r="C235" s="3" t="s">
        <v>414</v>
      </c>
    </row>
    <row r="236" spans="1:3">
      <c r="A236" s="3" t="s">
        <v>303</v>
      </c>
      <c r="B236" s="3"/>
      <c r="C236" s="3" t="s">
        <v>411</v>
      </c>
    </row>
    <row r="237" spans="1:3">
      <c r="A237" s="3" t="s">
        <v>448</v>
      </c>
      <c r="B237" s="3" t="s">
        <v>76</v>
      </c>
      <c r="C237" s="3" t="s">
        <v>414</v>
      </c>
    </row>
    <row r="238" spans="1:3">
      <c r="A238" s="3" t="s">
        <v>304</v>
      </c>
      <c r="B238" s="3"/>
      <c r="C238" s="3" t="s">
        <v>411</v>
      </c>
    </row>
    <row r="239" spans="1:3">
      <c r="A239" s="3" t="s">
        <v>385</v>
      </c>
      <c r="B239" s="3"/>
      <c r="C239" s="3" t="s">
        <v>411</v>
      </c>
    </row>
    <row r="240" spans="1:3">
      <c r="A240" s="3" t="s">
        <v>349</v>
      </c>
      <c r="B240" s="3"/>
      <c r="C240" s="3" t="s">
        <v>411</v>
      </c>
    </row>
    <row r="241" spans="1:3">
      <c r="A241" s="3" t="s">
        <v>449</v>
      </c>
      <c r="B241" s="3"/>
      <c r="C241" s="3" t="s">
        <v>411</v>
      </c>
    </row>
    <row r="242" spans="1:3">
      <c r="A242" s="3" t="s">
        <v>386</v>
      </c>
      <c r="B242" s="3"/>
      <c r="C242" s="3" t="s">
        <v>411</v>
      </c>
    </row>
    <row r="243" spans="1:3">
      <c r="A243" s="3" t="s">
        <v>387</v>
      </c>
      <c r="B243" s="3"/>
      <c r="C243" s="3" t="s">
        <v>411</v>
      </c>
    </row>
    <row r="244" spans="1:3">
      <c r="A244" s="3" t="s">
        <v>450</v>
      </c>
      <c r="B244" s="3"/>
      <c r="C244" s="3" t="s">
        <v>411</v>
      </c>
    </row>
    <row r="245" spans="1:3">
      <c r="A245" s="3" t="s">
        <v>451</v>
      </c>
      <c r="B245" s="3"/>
      <c r="C245" s="3" t="s">
        <v>411</v>
      </c>
    </row>
    <row r="246" spans="1:3">
      <c r="A246" s="3" t="s">
        <v>322</v>
      </c>
      <c r="B246" s="3"/>
      <c r="C246" s="3" t="s">
        <v>411</v>
      </c>
    </row>
    <row r="247" spans="1:3">
      <c r="A247" s="3" t="s">
        <v>452</v>
      </c>
      <c r="B247" s="3"/>
      <c r="C247" s="3" t="s">
        <v>411</v>
      </c>
    </row>
    <row r="248" spans="1:3">
      <c r="A248" s="3" t="s">
        <v>257</v>
      </c>
      <c r="B248" s="3"/>
      <c r="C248" s="3" t="s">
        <v>411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48"/>
  <sheetViews>
    <sheetView topLeftCell="A13" workbookViewId="0">
      <selection activeCell="F240" sqref="F240"/>
    </sheetView>
  </sheetViews>
  <sheetFormatPr defaultColWidth="9" defaultRowHeight="12.75"/>
  <cols>
    <col min="1" max="1" width="34.140625" customWidth="1"/>
    <col min="2" max="2" width="26.85546875" customWidth="1"/>
    <col min="3" max="3" width="17.42578125" customWidth="1"/>
  </cols>
  <sheetData>
    <row r="1" spans="1:3">
      <c r="A1" t="s">
        <v>408</v>
      </c>
      <c r="B1" t="s">
        <v>409</v>
      </c>
      <c r="C1" t="s">
        <v>410</v>
      </c>
    </row>
    <row r="2" spans="1:3">
      <c r="A2" t="s">
        <v>175</v>
      </c>
      <c r="C2" t="s">
        <v>411</v>
      </c>
    </row>
    <row r="3" spans="1:3">
      <c r="A3" t="s">
        <v>177</v>
      </c>
      <c r="C3" t="s">
        <v>411</v>
      </c>
    </row>
    <row r="4" spans="1:3">
      <c r="A4" t="s">
        <v>259</v>
      </c>
      <c r="C4" t="s">
        <v>411</v>
      </c>
    </row>
    <row r="5" spans="1:3">
      <c r="A5" t="s">
        <v>324</v>
      </c>
      <c r="C5" t="s">
        <v>411</v>
      </c>
    </row>
    <row r="6" spans="1:3">
      <c r="A6" t="s">
        <v>412</v>
      </c>
      <c r="C6" t="s">
        <v>411</v>
      </c>
    </row>
    <row r="7" spans="1:3">
      <c r="A7" t="s">
        <v>413</v>
      </c>
      <c r="C7" t="s">
        <v>411</v>
      </c>
    </row>
    <row r="8" spans="1:3">
      <c r="A8" t="s">
        <v>178</v>
      </c>
      <c r="C8" t="s">
        <v>411</v>
      </c>
    </row>
    <row r="9" spans="1:3">
      <c r="A9" t="s">
        <v>179</v>
      </c>
      <c r="C9" t="s">
        <v>411</v>
      </c>
    </row>
    <row r="10" spans="1:3">
      <c r="A10" t="s">
        <v>260</v>
      </c>
      <c r="C10" t="s">
        <v>411</v>
      </c>
    </row>
    <row r="11" spans="1:3">
      <c r="A11" t="s">
        <v>277</v>
      </c>
      <c r="C11" t="s">
        <v>411</v>
      </c>
    </row>
    <row r="12" spans="1:3">
      <c r="A12" t="s">
        <v>180</v>
      </c>
      <c r="C12" t="s">
        <v>411</v>
      </c>
    </row>
    <row r="13" spans="1:3">
      <c r="A13" t="s">
        <v>361</v>
      </c>
      <c r="C13" t="s">
        <v>411</v>
      </c>
    </row>
    <row r="14" spans="1:3">
      <c r="A14" t="s">
        <v>261</v>
      </c>
      <c r="B14" t="s">
        <v>92</v>
      </c>
      <c r="C14" t="s">
        <v>414</v>
      </c>
    </row>
    <row r="15" spans="1:3">
      <c r="A15" t="s">
        <v>262</v>
      </c>
      <c r="B15" t="s">
        <v>94</v>
      </c>
      <c r="C15" t="s">
        <v>414</v>
      </c>
    </row>
    <row r="16" spans="1:3">
      <c r="A16" t="s">
        <v>362</v>
      </c>
      <c r="C16" t="s">
        <v>411</v>
      </c>
    </row>
    <row r="17" spans="1:3">
      <c r="A17" t="s">
        <v>181</v>
      </c>
      <c r="C17" t="s">
        <v>411</v>
      </c>
    </row>
    <row r="18" spans="1:3">
      <c r="A18" t="s">
        <v>111</v>
      </c>
      <c r="B18" t="s">
        <v>111</v>
      </c>
      <c r="C18" t="s">
        <v>414</v>
      </c>
    </row>
    <row r="19" spans="1:3">
      <c r="A19" t="s">
        <v>182</v>
      </c>
      <c r="B19" t="s">
        <v>44</v>
      </c>
      <c r="C19" t="s">
        <v>414</v>
      </c>
    </row>
    <row r="20" spans="1:3">
      <c r="A20" t="s">
        <v>183</v>
      </c>
      <c r="C20" t="s">
        <v>411</v>
      </c>
    </row>
    <row r="21" spans="1:3">
      <c r="A21" t="s">
        <v>415</v>
      </c>
      <c r="C21" t="s">
        <v>411</v>
      </c>
    </row>
    <row r="22" spans="1:3">
      <c r="A22" t="s">
        <v>184</v>
      </c>
      <c r="C22" t="s">
        <v>411</v>
      </c>
    </row>
    <row r="23" spans="1:3">
      <c r="A23" t="s">
        <v>186</v>
      </c>
      <c r="C23" t="s">
        <v>411</v>
      </c>
    </row>
    <row r="24" spans="1:3">
      <c r="A24" t="s">
        <v>187</v>
      </c>
      <c r="C24" t="s">
        <v>411</v>
      </c>
    </row>
    <row r="25" spans="1:3">
      <c r="A25" t="s">
        <v>307</v>
      </c>
      <c r="C25" t="s">
        <v>411</v>
      </c>
    </row>
    <row r="26" spans="1:3">
      <c r="A26" t="s">
        <v>364</v>
      </c>
      <c r="C26" t="s">
        <v>411</v>
      </c>
    </row>
    <row r="27" spans="1:3">
      <c r="A27" t="s">
        <v>278</v>
      </c>
      <c r="B27" t="s">
        <v>60</v>
      </c>
      <c r="C27" t="s">
        <v>414</v>
      </c>
    </row>
    <row r="28" spans="1:3">
      <c r="A28" t="s">
        <v>279</v>
      </c>
      <c r="C28" t="s">
        <v>411</v>
      </c>
    </row>
    <row r="29" spans="1:3">
      <c r="A29" t="s">
        <v>265</v>
      </c>
      <c r="B29" t="s">
        <v>58</v>
      </c>
      <c r="C29" t="s">
        <v>414</v>
      </c>
    </row>
    <row r="30" spans="1:3">
      <c r="A30" t="s">
        <v>189</v>
      </c>
      <c r="B30" t="s">
        <v>61</v>
      </c>
      <c r="C30" t="s">
        <v>414</v>
      </c>
    </row>
    <row r="31" spans="1:3">
      <c r="A31" t="s">
        <v>264</v>
      </c>
      <c r="C31" t="s">
        <v>411</v>
      </c>
    </row>
    <row r="32" spans="1:3">
      <c r="A32" t="s">
        <v>263</v>
      </c>
      <c r="C32" t="s">
        <v>411</v>
      </c>
    </row>
    <row r="33" spans="1:3">
      <c r="A33" t="s">
        <v>340</v>
      </c>
      <c r="B33" t="s">
        <v>83</v>
      </c>
      <c r="C33" t="s">
        <v>414</v>
      </c>
    </row>
    <row r="34" spans="1:3">
      <c r="A34" t="s">
        <v>365</v>
      </c>
      <c r="C34" t="s">
        <v>411</v>
      </c>
    </row>
    <row r="35" spans="1:3">
      <c r="A35" t="s">
        <v>368</v>
      </c>
      <c r="C35" t="s">
        <v>411</v>
      </c>
    </row>
    <row r="36" spans="1:3">
      <c r="A36" t="s">
        <v>190</v>
      </c>
      <c r="B36" t="s">
        <v>86</v>
      </c>
      <c r="C36" t="s">
        <v>414</v>
      </c>
    </row>
    <row r="37" spans="1:3">
      <c r="A37" t="s">
        <v>325</v>
      </c>
      <c r="C37" t="s">
        <v>411</v>
      </c>
    </row>
    <row r="38" spans="1:3">
      <c r="A38" t="s">
        <v>310</v>
      </c>
      <c r="B38" t="s">
        <v>87</v>
      </c>
      <c r="C38" t="s">
        <v>414</v>
      </c>
    </row>
    <row r="39" spans="1:3">
      <c r="A39" t="s">
        <v>287</v>
      </c>
      <c r="B39" t="s">
        <v>82</v>
      </c>
      <c r="C39" t="s">
        <v>414</v>
      </c>
    </row>
    <row r="40" spans="1:3">
      <c r="A40" t="s">
        <v>339</v>
      </c>
      <c r="B40" t="s">
        <v>88</v>
      </c>
      <c r="C40" t="s">
        <v>414</v>
      </c>
    </row>
    <row r="41" spans="1:3">
      <c r="A41" t="s">
        <v>366</v>
      </c>
      <c r="C41" t="s">
        <v>411</v>
      </c>
    </row>
    <row r="42" spans="1:3">
      <c r="A42" t="s">
        <v>191</v>
      </c>
      <c r="B42" t="s">
        <v>119</v>
      </c>
      <c r="C42" t="s">
        <v>414</v>
      </c>
    </row>
    <row r="43" spans="1:3">
      <c r="A43" t="s">
        <v>416</v>
      </c>
      <c r="C43" t="s">
        <v>411</v>
      </c>
    </row>
    <row r="44" spans="1:3">
      <c r="A44" t="s">
        <v>367</v>
      </c>
      <c r="C44" t="s">
        <v>411</v>
      </c>
    </row>
    <row r="45" spans="1:3">
      <c r="A45" t="s">
        <v>308</v>
      </c>
      <c r="B45" t="s">
        <v>84</v>
      </c>
      <c r="C45" t="s">
        <v>414</v>
      </c>
    </row>
    <row r="46" spans="1:3">
      <c r="A46" t="s">
        <v>341</v>
      </c>
      <c r="C46" t="s">
        <v>411</v>
      </c>
    </row>
    <row r="47" spans="1:3">
      <c r="A47" t="s">
        <v>131</v>
      </c>
      <c r="B47" t="s">
        <v>131</v>
      </c>
      <c r="C47" t="s">
        <v>414</v>
      </c>
    </row>
    <row r="48" spans="1:3">
      <c r="A48" t="s">
        <v>369</v>
      </c>
      <c r="C48" t="s">
        <v>411</v>
      </c>
    </row>
    <row r="49" spans="1:3">
      <c r="A49" t="s">
        <v>417</v>
      </c>
      <c r="C49" t="s">
        <v>411</v>
      </c>
    </row>
    <row r="50" spans="1:3">
      <c r="A50" t="s">
        <v>281</v>
      </c>
      <c r="C50" t="s">
        <v>411</v>
      </c>
    </row>
    <row r="51" spans="1:3">
      <c r="A51" t="s">
        <v>280</v>
      </c>
      <c r="C51" t="s">
        <v>411</v>
      </c>
    </row>
    <row r="52" spans="1:3">
      <c r="A52" t="s">
        <v>418</v>
      </c>
      <c r="C52" t="s">
        <v>411</v>
      </c>
    </row>
    <row r="53" spans="1:3">
      <c r="A53" t="s">
        <v>282</v>
      </c>
      <c r="C53" t="s">
        <v>411</v>
      </c>
    </row>
    <row r="54" spans="1:3">
      <c r="A54" t="s">
        <v>283</v>
      </c>
      <c r="C54" t="s">
        <v>411</v>
      </c>
    </row>
    <row r="55" spans="1:3">
      <c r="A55" t="s">
        <v>309</v>
      </c>
      <c r="C55" t="s">
        <v>411</v>
      </c>
    </row>
    <row r="56" spans="1:3">
      <c r="A56" t="s">
        <v>326</v>
      </c>
      <c r="C56" t="s">
        <v>411</v>
      </c>
    </row>
    <row r="57" spans="1:3">
      <c r="A57" t="s">
        <v>284</v>
      </c>
      <c r="C57" t="s">
        <v>411</v>
      </c>
    </row>
    <row r="58" spans="1:3">
      <c r="A58" t="s">
        <v>285</v>
      </c>
      <c r="C58" t="s">
        <v>411</v>
      </c>
    </row>
    <row r="59" spans="1:3">
      <c r="A59" t="s">
        <v>286</v>
      </c>
      <c r="C59" t="s">
        <v>411</v>
      </c>
    </row>
    <row r="60" spans="1:3">
      <c r="A60" t="s">
        <v>343</v>
      </c>
      <c r="C60" t="s">
        <v>411</v>
      </c>
    </row>
    <row r="61" spans="1:3">
      <c r="A61" t="s">
        <v>419</v>
      </c>
      <c r="C61" t="s">
        <v>411</v>
      </c>
    </row>
    <row r="62" spans="1:3">
      <c r="A62" t="s">
        <v>420</v>
      </c>
      <c r="B62" t="s">
        <v>63</v>
      </c>
      <c r="C62" t="s">
        <v>414</v>
      </c>
    </row>
    <row r="63" spans="1:3">
      <c r="A63" t="s">
        <v>192</v>
      </c>
      <c r="B63" t="s">
        <v>89</v>
      </c>
      <c r="C63" t="s">
        <v>414</v>
      </c>
    </row>
    <row r="64" spans="1:3">
      <c r="A64" t="s">
        <v>193</v>
      </c>
      <c r="C64" t="s">
        <v>411</v>
      </c>
    </row>
    <row r="65" spans="1:3">
      <c r="A65" t="s">
        <v>370</v>
      </c>
      <c r="C65" t="s">
        <v>411</v>
      </c>
    </row>
    <row r="66" spans="1:3">
      <c r="A66" t="s">
        <v>288</v>
      </c>
      <c r="C66" t="s">
        <v>411</v>
      </c>
    </row>
    <row r="67" spans="1:3">
      <c r="A67" t="s">
        <v>121</v>
      </c>
      <c r="B67" t="s">
        <v>121</v>
      </c>
      <c r="C67" t="s">
        <v>414</v>
      </c>
    </row>
    <row r="68" spans="1:3">
      <c r="A68" t="s">
        <v>194</v>
      </c>
      <c r="B68" t="s">
        <v>80</v>
      </c>
      <c r="C68" t="s">
        <v>414</v>
      </c>
    </row>
    <row r="69" spans="1:3">
      <c r="A69" t="s">
        <v>266</v>
      </c>
      <c r="B69" t="s">
        <v>120</v>
      </c>
      <c r="C69" t="s">
        <v>414</v>
      </c>
    </row>
    <row r="70" spans="1:3">
      <c r="A70" t="s">
        <v>132</v>
      </c>
      <c r="C70" t="s">
        <v>411</v>
      </c>
    </row>
    <row r="71" spans="1:3">
      <c r="A71" t="s">
        <v>344</v>
      </c>
      <c r="C71" t="s">
        <v>411</v>
      </c>
    </row>
    <row r="72" spans="1:3">
      <c r="A72" t="s">
        <v>267</v>
      </c>
      <c r="B72" t="s">
        <v>71</v>
      </c>
      <c r="C72" t="s">
        <v>414</v>
      </c>
    </row>
    <row r="73" spans="1:3">
      <c r="A73" t="s">
        <v>345</v>
      </c>
      <c r="B73" t="s">
        <v>117</v>
      </c>
      <c r="C73" t="s">
        <v>414</v>
      </c>
    </row>
    <row r="74" spans="1:3">
      <c r="A74" t="s">
        <v>311</v>
      </c>
      <c r="C74" t="s">
        <v>411</v>
      </c>
    </row>
    <row r="75" spans="1:3">
      <c r="A75" t="s">
        <v>421</v>
      </c>
      <c r="C75" t="s">
        <v>411</v>
      </c>
    </row>
    <row r="76" spans="1:3">
      <c r="A76" t="s">
        <v>116</v>
      </c>
      <c r="B76" t="s">
        <v>116</v>
      </c>
      <c r="C76" t="s">
        <v>414</v>
      </c>
    </row>
    <row r="77" spans="1:3">
      <c r="A77" t="s">
        <v>422</v>
      </c>
      <c r="C77" t="s">
        <v>411</v>
      </c>
    </row>
    <row r="78" spans="1:3">
      <c r="A78" t="s">
        <v>128</v>
      </c>
      <c r="B78" t="s">
        <v>128</v>
      </c>
      <c r="C78" t="s">
        <v>414</v>
      </c>
    </row>
    <row r="79" spans="1:3">
      <c r="A79" t="s">
        <v>346</v>
      </c>
      <c r="C79" t="s">
        <v>411</v>
      </c>
    </row>
    <row r="80" spans="1:3">
      <c r="A80" t="s">
        <v>195</v>
      </c>
      <c r="B80" t="s">
        <v>122</v>
      </c>
      <c r="C80" t="s">
        <v>414</v>
      </c>
    </row>
    <row r="81" spans="1:3">
      <c r="A81" t="s">
        <v>289</v>
      </c>
      <c r="B81" t="s">
        <v>123</v>
      </c>
      <c r="C81" t="s">
        <v>414</v>
      </c>
    </row>
    <row r="82" spans="1:3">
      <c r="A82" t="s">
        <v>268</v>
      </c>
      <c r="B82" t="s">
        <v>124</v>
      </c>
      <c r="C82" t="s">
        <v>414</v>
      </c>
    </row>
    <row r="83" spans="1:3">
      <c r="A83" t="s">
        <v>290</v>
      </c>
      <c r="B83" t="s">
        <v>125</v>
      </c>
      <c r="C83" t="s">
        <v>414</v>
      </c>
    </row>
    <row r="84" spans="1:3">
      <c r="A84" t="s">
        <v>312</v>
      </c>
      <c r="C84" t="s">
        <v>411</v>
      </c>
    </row>
    <row r="85" spans="1:3">
      <c r="A85" t="s">
        <v>313</v>
      </c>
      <c r="B85" t="s">
        <v>126</v>
      </c>
      <c r="C85" t="s">
        <v>414</v>
      </c>
    </row>
    <row r="86" spans="1:3">
      <c r="A86" t="s">
        <v>291</v>
      </c>
      <c r="B86" t="s">
        <v>127</v>
      </c>
      <c r="C86" t="s">
        <v>414</v>
      </c>
    </row>
    <row r="87" spans="1:3">
      <c r="A87" t="s">
        <v>314</v>
      </c>
      <c r="C87" t="s">
        <v>411</v>
      </c>
    </row>
    <row r="88" spans="1:3">
      <c r="A88" t="s">
        <v>196</v>
      </c>
      <c r="C88" t="s">
        <v>411</v>
      </c>
    </row>
    <row r="89" spans="1:3">
      <c r="A89" t="s">
        <v>328</v>
      </c>
      <c r="C89" t="s">
        <v>411</v>
      </c>
    </row>
    <row r="90" spans="1:3">
      <c r="A90" t="s">
        <v>292</v>
      </c>
      <c r="C90" t="s">
        <v>411</v>
      </c>
    </row>
    <row r="91" spans="1:3">
      <c r="A91" t="s">
        <v>197</v>
      </c>
      <c r="B91" t="s">
        <v>133</v>
      </c>
      <c r="C91" t="s">
        <v>414</v>
      </c>
    </row>
    <row r="92" spans="1:3">
      <c r="A92" t="s">
        <v>351</v>
      </c>
      <c r="C92" t="s">
        <v>411</v>
      </c>
    </row>
    <row r="93" spans="1:3">
      <c r="A93" t="s">
        <v>112</v>
      </c>
      <c r="B93" t="s">
        <v>112</v>
      </c>
      <c r="C93" t="s">
        <v>414</v>
      </c>
    </row>
    <row r="94" spans="1:3">
      <c r="A94" t="s">
        <v>423</v>
      </c>
      <c r="C94" t="s">
        <v>411</v>
      </c>
    </row>
    <row r="95" spans="1:3">
      <c r="A95" t="s">
        <v>198</v>
      </c>
      <c r="C95" t="s">
        <v>411</v>
      </c>
    </row>
    <row r="96" spans="1:3">
      <c r="A96" t="s">
        <v>199</v>
      </c>
      <c r="C96" t="s">
        <v>411</v>
      </c>
    </row>
    <row r="97" spans="1:3">
      <c r="A97" t="s">
        <v>293</v>
      </c>
      <c r="B97" t="s">
        <v>66</v>
      </c>
      <c r="C97" t="s">
        <v>414</v>
      </c>
    </row>
    <row r="98" spans="1:3">
      <c r="A98" t="s">
        <v>389</v>
      </c>
      <c r="C98" t="s">
        <v>411</v>
      </c>
    </row>
    <row r="99" spans="1:3">
      <c r="A99" t="s">
        <v>315</v>
      </c>
      <c r="B99" t="s">
        <v>133</v>
      </c>
      <c r="C99" t="s">
        <v>414</v>
      </c>
    </row>
    <row r="100" spans="1:3">
      <c r="A100" t="s">
        <v>371</v>
      </c>
      <c r="C100" t="s">
        <v>411</v>
      </c>
    </row>
    <row r="101" spans="1:3">
      <c r="A101" t="s">
        <v>200</v>
      </c>
      <c r="B101" t="s">
        <v>115</v>
      </c>
      <c r="C101" t="s">
        <v>414</v>
      </c>
    </row>
    <row r="102" spans="1:3">
      <c r="A102" t="s">
        <v>110</v>
      </c>
      <c r="B102" t="s">
        <v>110</v>
      </c>
      <c r="C102" t="s">
        <v>414</v>
      </c>
    </row>
    <row r="103" spans="1:3">
      <c r="A103" t="s">
        <v>81</v>
      </c>
      <c r="B103" t="s">
        <v>81</v>
      </c>
      <c r="C103" t="s">
        <v>414</v>
      </c>
    </row>
    <row r="104" spans="1:3">
      <c r="A104" t="s">
        <v>101</v>
      </c>
      <c r="B104" t="s">
        <v>101</v>
      </c>
      <c r="C104" t="s">
        <v>414</v>
      </c>
    </row>
    <row r="105" spans="1:3">
      <c r="A105" t="s">
        <v>100</v>
      </c>
      <c r="B105" t="s">
        <v>100</v>
      </c>
      <c r="C105" t="s">
        <v>414</v>
      </c>
    </row>
    <row r="106" spans="1:3">
      <c r="A106" t="s">
        <v>99</v>
      </c>
      <c r="B106" t="s">
        <v>99</v>
      </c>
      <c r="C106" t="s">
        <v>414</v>
      </c>
    </row>
    <row r="107" spans="1:3">
      <c r="A107" t="s">
        <v>201</v>
      </c>
      <c r="C107" t="s">
        <v>411</v>
      </c>
    </row>
    <row r="108" spans="1:3">
      <c r="A108" t="s">
        <v>398</v>
      </c>
      <c r="C108" t="s">
        <v>411</v>
      </c>
    </row>
    <row r="109" spans="1:3">
      <c r="A109" t="s">
        <v>204</v>
      </c>
      <c r="C109" t="s">
        <v>411</v>
      </c>
    </row>
    <row r="110" spans="1:3">
      <c r="A110" t="s">
        <v>209</v>
      </c>
      <c r="B110" t="s">
        <v>78</v>
      </c>
      <c r="C110" t="s">
        <v>414</v>
      </c>
    </row>
    <row r="111" spans="1:3">
      <c r="A111" t="s">
        <v>205</v>
      </c>
      <c r="C111" t="s">
        <v>411</v>
      </c>
    </row>
    <row r="112" spans="1:3">
      <c r="A112" t="s">
        <v>203</v>
      </c>
      <c r="C112" t="s">
        <v>411</v>
      </c>
    </row>
    <row r="113" spans="1:3">
      <c r="A113" t="s">
        <v>206</v>
      </c>
      <c r="B113" t="s">
        <v>78</v>
      </c>
      <c r="C113" t="s">
        <v>414</v>
      </c>
    </row>
    <row r="114" spans="1:3">
      <c r="A114" t="s">
        <v>208</v>
      </c>
      <c r="B114" t="s">
        <v>78</v>
      </c>
      <c r="C114" t="s">
        <v>414</v>
      </c>
    </row>
    <row r="115" spans="1:3">
      <c r="A115" t="s">
        <v>424</v>
      </c>
      <c r="B115" t="s">
        <v>78</v>
      </c>
      <c r="C115" t="s">
        <v>414</v>
      </c>
    </row>
    <row r="116" spans="1:3">
      <c r="A116" t="s">
        <v>425</v>
      </c>
      <c r="B116" t="s">
        <v>78</v>
      </c>
      <c r="C116" t="s">
        <v>414</v>
      </c>
    </row>
    <row r="117" spans="1:3">
      <c r="A117" t="s">
        <v>426</v>
      </c>
      <c r="B117" t="s">
        <v>78</v>
      </c>
      <c r="C117" t="s">
        <v>414</v>
      </c>
    </row>
    <row r="118" spans="1:3">
      <c r="A118" t="s">
        <v>210</v>
      </c>
      <c r="C118" t="s">
        <v>411</v>
      </c>
    </row>
    <row r="119" spans="1:3">
      <c r="A119" t="s">
        <v>427</v>
      </c>
      <c r="C119" t="s">
        <v>411</v>
      </c>
    </row>
    <row r="120" spans="1:3">
      <c r="A120" t="s">
        <v>335</v>
      </c>
      <c r="C120" t="s">
        <v>411</v>
      </c>
    </row>
    <row r="121" spans="1:3">
      <c r="A121" t="s">
        <v>428</v>
      </c>
      <c r="B121" t="s">
        <v>78</v>
      </c>
      <c r="C121" t="s">
        <v>414</v>
      </c>
    </row>
    <row r="122" spans="1:3">
      <c r="A122" t="s">
        <v>429</v>
      </c>
      <c r="B122" t="s">
        <v>78</v>
      </c>
      <c r="C122" t="s">
        <v>414</v>
      </c>
    </row>
    <row r="123" spans="1:3">
      <c r="A123" t="s">
        <v>430</v>
      </c>
      <c r="B123" t="s">
        <v>78</v>
      </c>
      <c r="C123" t="s">
        <v>414</v>
      </c>
    </row>
    <row r="124" spans="1:3">
      <c r="A124" t="s">
        <v>211</v>
      </c>
      <c r="B124" t="s">
        <v>167</v>
      </c>
      <c r="C124" t="s">
        <v>414</v>
      </c>
    </row>
    <row r="125" spans="1:3">
      <c r="A125" t="s">
        <v>212</v>
      </c>
      <c r="B125" t="s">
        <v>39</v>
      </c>
      <c r="C125" t="s">
        <v>414</v>
      </c>
    </row>
    <row r="126" spans="1:3">
      <c r="A126" t="s">
        <v>213</v>
      </c>
      <c r="B126" t="s">
        <v>32</v>
      </c>
      <c r="C126" t="s">
        <v>414</v>
      </c>
    </row>
    <row r="127" spans="1:3">
      <c r="A127" t="s">
        <v>214</v>
      </c>
      <c r="B127" t="s">
        <v>34</v>
      </c>
      <c r="C127" t="s">
        <v>414</v>
      </c>
    </row>
    <row r="128" spans="1:3">
      <c r="A128" t="s">
        <v>215</v>
      </c>
      <c r="B128" t="s">
        <v>33</v>
      </c>
      <c r="C128" t="s">
        <v>414</v>
      </c>
    </row>
    <row r="129" spans="1:3">
      <c r="A129" t="s">
        <v>316</v>
      </c>
      <c r="B129" t="s">
        <v>40</v>
      </c>
      <c r="C129" t="s">
        <v>414</v>
      </c>
    </row>
    <row r="130" spans="1:3">
      <c r="A130" t="s">
        <v>216</v>
      </c>
      <c r="B130" t="s">
        <v>50</v>
      </c>
      <c r="C130" t="s">
        <v>414</v>
      </c>
    </row>
    <row r="131" spans="1:3">
      <c r="A131" t="s">
        <v>217</v>
      </c>
      <c r="B131" t="s">
        <v>30</v>
      </c>
      <c r="C131" t="s">
        <v>414</v>
      </c>
    </row>
    <row r="132" spans="1:3">
      <c r="A132" t="s">
        <v>218</v>
      </c>
      <c r="B132" t="s">
        <v>41</v>
      </c>
      <c r="C132" t="s">
        <v>414</v>
      </c>
    </row>
    <row r="133" spans="1:3">
      <c r="A133" t="s">
        <v>329</v>
      </c>
      <c r="B133" t="s">
        <v>41</v>
      </c>
      <c r="C133" t="s">
        <v>414</v>
      </c>
    </row>
    <row r="134" spans="1:3">
      <c r="A134" t="s">
        <v>219</v>
      </c>
      <c r="B134" t="s">
        <v>41</v>
      </c>
      <c r="C134" t="s">
        <v>414</v>
      </c>
    </row>
    <row r="135" spans="1:3">
      <c r="A135" t="s">
        <v>269</v>
      </c>
      <c r="C135" t="s">
        <v>411</v>
      </c>
    </row>
    <row r="136" spans="1:3">
      <c r="A136" t="s">
        <v>220</v>
      </c>
      <c r="B136" t="s">
        <v>37</v>
      </c>
      <c r="C136" t="s">
        <v>414</v>
      </c>
    </row>
    <row r="137" spans="1:3">
      <c r="A137" t="s">
        <v>221</v>
      </c>
      <c r="B137" t="s">
        <v>42</v>
      </c>
      <c r="C137" t="s">
        <v>414</v>
      </c>
    </row>
    <row r="138" spans="1:3">
      <c r="A138" t="s">
        <v>222</v>
      </c>
      <c r="B138" t="s">
        <v>43</v>
      </c>
      <c r="C138" t="s">
        <v>414</v>
      </c>
    </row>
    <row r="139" spans="1:3">
      <c r="A139" t="s">
        <v>223</v>
      </c>
      <c r="B139" t="s">
        <v>51</v>
      </c>
      <c r="C139" t="s">
        <v>414</v>
      </c>
    </row>
    <row r="140" spans="1:3">
      <c r="A140" t="s">
        <v>372</v>
      </c>
      <c r="C140" t="s">
        <v>411</v>
      </c>
    </row>
    <row r="141" spans="1:3">
      <c r="A141" t="s">
        <v>224</v>
      </c>
      <c r="C141" t="s">
        <v>411</v>
      </c>
    </row>
    <row r="142" spans="1:3">
      <c r="A142" t="s">
        <v>225</v>
      </c>
      <c r="B142" t="s">
        <v>77</v>
      </c>
      <c r="C142" t="s">
        <v>414</v>
      </c>
    </row>
    <row r="143" spans="1:3">
      <c r="A143" t="s">
        <v>226</v>
      </c>
      <c r="B143" t="s">
        <v>96</v>
      </c>
      <c r="C143" t="s">
        <v>414</v>
      </c>
    </row>
    <row r="144" spans="1:3">
      <c r="A144" t="s">
        <v>317</v>
      </c>
      <c r="B144" t="s">
        <v>97</v>
      </c>
      <c r="C144" t="s">
        <v>414</v>
      </c>
    </row>
    <row r="145" spans="1:3">
      <c r="A145" t="s">
        <v>227</v>
      </c>
      <c r="B145" t="s">
        <v>45</v>
      </c>
      <c r="C145" t="s">
        <v>414</v>
      </c>
    </row>
    <row r="146" spans="1:3">
      <c r="A146" t="s">
        <v>228</v>
      </c>
      <c r="B146" t="s">
        <v>52</v>
      </c>
      <c r="C146" t="s">
        <v>414</v>
      </c>
    </row>
    <row r="147" spans="1:3">
      <c r="A147" t="s">
        <v>229</v>
      </c>
      <c r="B147" t="s">
        <v>52</v>
      </c>
      <c r="C147" t="s">
        <v>414</v>
      </c>
    </row>
    <row r="148" spans="1:3">
      <c r="A148" t="s">
        <v>230</v>
      </c>
      <c r="B148" t="s">
        <v>38</v>
      </c>
      <c r="C148" t="s">
        <v>414</v>
      </c>
    </row>
    <row r="149" spans="1:3">
      <c r="A149" t="s">
        <v>231</v>
      </c>
      <c r="B149" t="s">
        <v>53</v>
      </c>
      <c r="C149" t="s">
        <v>414</v>
      </c>
    </row>
    <row r="150" spans="1:3">
      <c r="A150" t="s">
        <v>352</v>
      </c>
      <c r="C150" t="s">
        <v>411</v>
      </c>
    </row>
    <row r="151" spans="1:3">
      <c r="A151" t="s">
        <v>431</v>
      </c>
      <c r="C151" t="s">
        <v>411</v>
      </c>
    </row>
    <row r="152" spans="1:3">
      <c r="A152" t="s">
        <v>294</v>
      </c>
      <c r="B152" t="s">
        <v>78</v>
      </c>
      <c r="C152" t="s">
        <v>414</v>
      </c>
    </row>
    <row r="153" spans="1:3">
      <c r="A153" t="s">
        <v>295</v>
      </c>
      <c r="B153" t="s">
        <v>36</v>
      </c>
      <c r="C153" t="s">
        <v>414</v>
      </c>
    </row>
    <row r="154" spans="1:3">
      <c r="A154" t="s">
        <v>232</v>
      </c>
      <c r="B154" t="s">
        <v>47</v>
      </c>
      <c r="C154" t="s">
        <v>414</v>
      </c>
    </row>
    <row r="155" spans="1:3">
      <c r="A155" t="s">
        <v>233</v>
      </c>
      <c r="B155" t="s">
        <v>48</v>
      </c>
      <c r="C155" t="s">
        <v>414</v>
      </c>
    </row>
    <row r="156" spans="1:3">
      <c r="A156" t="s">
        <v>234</v>
      </c>
      <c r="C156" t="s">
        <v>411</v>
      </c>
    </row>
    <row r="157" spans="1:3">
      <c r="A157" t="s">
        <v>235</v>
      </c>
      <c r="B157" t="s">
        <v>46</v>
      </c>
      <c r="C157" t="s">
        <v>414</v>
      </c>
    </row>
    <row r="158" spans="1:3">
      <c r="A158" t="s">
        <v>296</v>
      </c>
      <c r="B158" t="s">
        <v>35</v>
      </c>
      <c r="C158" t="s">
        <v>414</v>
      </c>
    </row>
    <row r="159" spans="1:3">
      <c r="A159" t="s">
        <v>236</v>
      </c>
      <c r="C159" t="s">
        <v>411</v>
      </c>
    </row>
    <row r="160" spans="1:3">
      <c r="A160" t="s">
        <v>432</v>
      </c>
      <c r="C160" t="s">
        <v>411</v>
      </c>
    </row>
    <row r="161" spans="1:3">
      <c r="A161" t="s">
        <v>374</v>
      </c>
      <c r="C161" t="s">
        <v>411</v>
      </c>
    </row>
    <row r="162" spans="1:3">
      <c r="A162" t="s">
        <v>433</v>
      </c>
      <c r="C162" t="s">
        <v>411</v>
      </c>
    </row>
    <row r="163" spans="1:3">
      <c r="A163" t="s">
        <v>238</v>
      </c>
      <c r="C163" t="s">
        <v>411</v>
      </c>
    </row>
    <row r="164" spans="1:3">
      <c r="A164" t="s">
        <v>242</v>
      </c>
      <c r="C164" t="s">
        <v>411</v>
      </c>
    </row>
    <row r="165" spans="1:3">
      <c r="A165" t="s">
        <v>240</v>
      </c>
      <c r="C165" t="s">
        <v>411</v>
      </c>
    </row>
    <row r="166" spans="1:3">
      <c r="A166" t="s">
        <v>272</v>
      </c>
      <c r="C166" t="s">
        <v>411</v>
      </c>
    </row>
    <row r="167" spans="1:3">
      <c r="A167" t="s">
        <v>241</v>
      </c>
      <c r="C167" t="s">
        <v>411</v>
      </c>
    </row>
    <row r="168" spans="1:3">
      <c r="A168" t="s">
        <v>270</v>
      </c>
      <c r="C168" t="s">
        <v>411</v>
      </c>
    </row>
    <row r="169" spans="1:3">
      <c r="A169" t="s">
        <v>243</v>
      </c>
      <c r="C169" t="s">
        <v>411</v>
      </c>
    </row>
    <row r="170" spans="1:3">
      <c r="A170" t="s">
        <v>271</v>
      </c>
      <c r="C170" t="s">
        <v>411</v>
      </c>
    </row>
    <row r="171" spans="1:3">
      <c r="A171" t="s">
        <v>273</v>
      </c>
      <c r="C171" t="s">
        <v>411</v>
      </c>
    </row>
    <row r="172" spans="1:3">
      <c r="A172" t="s">
        <v>298</v>
      </c>
      <c r="C172" t="s">
        <v>411</v>
      </c>
    </row>
    <row r="173" spans="1:3">
      <c r="A173" t="s">
        <v>239</v>
      </c>
      <c r="B173" t="s">
        <v>67</v>
      </c>
      <c r="C173" t="s">
        <v>414</v>
      </c>
    </row>
    <row r="174" spans="1:3">
      <c r="A174" t="s">
        <v>274</v>
      </c>
      <c r="C174" t="s">
        <v>411</v>
      </c>
    </row>
    <row r="175" spans="1:3">
      <c r="A175" t="s">
        <v>330</v>
      </c>
      <c r="C175" t="s">
        <v>411</v>
      </c>
    </row>
    <row r="176" spans="1:3">
      <c r="A176" t="s">
        <v>375</v>
      </c>
      <c r="C176" t="s">
        <v>411</v>
      </c>
    </row>
    <row r="177" spans="1:3">
      <c r="A177" t="s">
        <v>331</v>
      </c>
      <c r="C177" t="s">
        <v>411</v>
      </c>
    </row>
    <row r="178" spans="1:3">
      <c r="A178" t="s">
        <v>336</v>
      </c>
      <c r="C178" t="s">
        <v>411</v>
      </c>
    </row>
    <row r="179" spans="1:3">
      <c r="A179" t="s">
        <v>376</v>
      </c>
      <c r="C179" t="s">
        <v>411</v>
      </c>
    </row>
    <row r="180" spans="1:3">
      <c r="A180" t="s">
        <v>347</v>
      </c>
      <c r="C180" t="s">
        <v>411</v>
      </c>
    </row>
    <row r="181" spans="1:3">
      <c r="A181" t="s">
        <v>434</v>
      </c>
      <c r="C181" t="s">
        <v>411</v>
      </c>
    </row>
    <row r="182" spans="1:3">
      <c r="A182" t="s">
        <v>435</v>
      </c>
      <c r="C182" t="s">
        <v>411</v>
      </c>
    </row>
    <row r="183" spans="1:3">
      <c r="A183" t="s">
        <v>436</v>
      </c>
      <c r="C183" t="s">
        <v>411</v>
      </c>
    </row>
    <row r="184" spans="1:3">
      <c r="A184" t="s">
        <v>437</v>
      </c>
      <c r="C184" t="s">
        <v>411</v>
      </c>
    </row>
    <row r="185" spans="1:3">
      <c r="A185" t="s">
        <v>244</v>
      </c>
      <c r="C185" t="s">
        <v>411</v>
      </c>
    </row>
    <row r="186" spans="1:3">
      <c r="A186" t="s">
        <v>438</v>
      </c>
      <c r="C186" t="s">
        <v>411</v>
      </c>
    </row>
    <row r="187" spans="1:3">
      <c r="A187" t="s">
        <v>245</v>
      </c>
      <c r="C187" t="s">
        <v>411</v>
      </c>
    </row>
    <row r="188" spans="1:3">
      <c r="A188" t="s">
        <v>318</v>
      </c>
      <c r="C188" t="s">
        <v>411</v>
      </c>
    </row>
    <row r="189" spans="1:3">
      <c r="A189" t="s">
        <v>319</v>
      </c>
      <c r="C189" t="s">
        <v>411</v>
      </c>
    </row>
    <row r="190" spans="1:3">
      <c r="A190" t="s">
        <v>337</v>
      </c>
      <c r="C190" t="s">
        <v>411</v>
      </c>
    </row>
    <row r="191" spans="1:3">
      <c r="A191" t="s">
        <v>378</v>
      </c>
      <c r="C191" t="s">
        <v>411</v>
      </c>
    </row>
    <row r="192" spans="1:3">
      <c r="A192" t="s">
        <v>439</v>
      </c>
      <c r="C192" t="s">
        <v>411</v>
      </c>
    </row>
    <row r="193" spans="1:3">
      <c r="A193" t="s">
        <v>247</v>
      </c>
      <c r="C193" t="s">
        <v>411</v>
      </c>
    </row>
    <row r="194" spans="1:3">
      <c r="A194" t="s">
        <v>440</v>
      </c>
      <c r="C194" t="s">
        <v>411</v>
      </c>
    </row>
    <row r="195" spans="1:3">
      <c r="A195" t="s">
        <v>395</v>
      </c>
      <c r="C195" t="s">
        <v>411</v>
      </c>
    </row>
    <row r="196" spans="1:3">
      <c r="A196" t="s">
        <v>379</v>
      </c>
      <c r="C196" t="s">
        <v>411</v>
      </c>
    </row>
    <row r="197" spans="1:3">
      <c r="A197" t="s">
        <v>380</v>
      </c>
      <c r="C197" t="s">
        <v>411</v>
      </c>
    </row>
    <row r="198" spans="1:3">
      <c r="A198" t="s">
        <v>300</v>
      </c>
      <c r="C198" t="s">
        <v>411</v>
      </c>
    </row>
    <row r="199" spans="1:3">
      <c r="A199" t="s">
        <v>441</v>
      </c>
      <c r="C199" t="s">
        <v>411</v>
      </c>
    </row>
    <row r="200" spans="1:3">
      <c r="A200" t="s">
        <v>353</v>
      </c>
      <c r="C200" t="s">
        <v>411</v>
      </c>
    </row>
    <row r="201" spans="1:3">
      <c r="A201" t="s">
        <v>442</v>
      </c>
      <c r="C201" t="s">
        <v>411</v>
      </c>
    </row>
    <row r="202" spans="1:3">
      <c r="A202" t="s">
        <v>443</v>
      </c>
      <c r="C202" t="s">
        <v>411</v>
      </c>
    </row>
    <row r="203" spans="1:3">
      <c r="A203" t="s">
        <v>444</v>
      </c>
      <c r="C203" t="s">
        <v>411</v>
      </c>
    </row>
    <row r="204" spans="1:3">
      <c r="A204" t="s">
        <v>301</v>
      </c>
      <c r="C204" t="s">
        <v>411</v>
      </c>
    </row>
    <row r="205" spans="1:3">
      <c r="A205" t="s">
        <v>108</v>
      </c>
      <c r="B205" t="s">
        <v>108</v>
      </c>
      <c r="C205" t="s">
        <v>414</v>
      </c>
    </row>
    <row r="206" spans="1:3">
      <c r="A206" t="s">
        <v>249</v>
      </c>
      <c r="C206" t="s">
        <v>411</v>
      </c>
    </row>
    <row r="207" spans="1:3">
      <c r="A207" t="s">
        <v>129</v>
      </c>
      <c r="B207" t="s">
        <v>129</v>
      </c>
      <c r="C207" t="s">
        <v>414</v>
      </c>
    </row>
    <row r="208" spans="1:3">
      <c r="A208" t="s">
        <v>118</v>
      </c>
      <c r="B208" t="s">
        <v>118</v>
      </c>
      <c r="C208" t="s">
        <v>414</v>
      </c>
    </row>
    <row r="209" spans="1:3">
      <c r="A209" t="s">
        <v>333</v>
      </c>
      <c r="B209" t="s">
        <v>90</v>
      </c>
      <c r="C209" t="s">
        <v>414</v>
      </c>
    </row>
    <row r="210" spans="1:3">
      <c r="A210" t="s">
        <v>381</v>
      </c>
      <c r="C210" t="s">
        <v>411</v>
      </c>
    </row>
    <row r="211" spans="1:3">
      <c r="A211" t="s">
        <v>130</v>
      </c>
      <c r="B211" t="s">
        <v>130</v>
      </c>
      <c r="C211" t="s">
        <v>445</v>
      </c>
    </row>
    <row r="212" spans="1:3">
      <c r="A212" t="s">
        <v>383</v>
      </c>
      <c r="C212" t="s">
        <v>411</v>
      </c>
    </row>
    <row r="213" spans="1:3">
      <c r="A213" t="s">
        <v>320</v>
      </c>
      <c r="C213" t="s">
        <v>411</v>
      </c>
    </row>
    <row r="214" spans="1:3">
      <c r="A214" t="s">
        <v>382</v>
      </c>
      <c r="B214" t="s">
        <v>91</v>
      </c>
      <c r="C214" t="s">
        <v>414</v>
      </c>
    </row>
    <row r="215" spans="1:3">
      <c r="A215" t="s">
        <v>400</v>
      </c>
      <c r="B215" t="s">
        <v>85</v>
      </c>
      <c r="C215" t="s">
        <v>414</v>
      </c>
    </row>
    <row r="216" spans="1:3">
      <c r="A216" t="s">
        <v>275</v>
      </c>
      <c r="C216" t="s">
        <v>411</v>
      </c>
    </row>
    <row r="217" spans="1:3">
      <c r="A217" t="s">
        <v>446</v>
      </c>
      <c r="C217" t="s">
        <v>411</v>
      </c>
    </row>
    <row r="218" spans="1:3">
      <c r="A218" t="s">
        <v>447</v>
      </c>
      <c r="C218" t="s">
        <v>411</v>
      </c>
    </row>
    <row r="219" spans="1:3">
      <c r="A219" t="s">
        <v>348</v>
      </c>
      <c r="B219" t="s">
        <v>93</v>
      </c>
      <c r="C219" t="s">
        <v>414</v>
      </c>
    </row>
    <row r="220" spans="1:3">
      <c r="A220" t="s">
        <v>104</v>
      </c>
      <c r="B220" t="s">
        <v>104</v>
      </c>
      <c r="C220" t="s">
        <v>414</v>
      </c>
    </row>
    <row r="221" spans="1:3">
      <c r="A221" t="s">
        <v>103</v>
      </c>
      <c r="B221" t="s">
        <v>103</v>
      </c>
      <c r="C221" t="s">
        <v>414</v>
      </c>
    </row>
    <row r="222" spans="1:3">
      <c r="A222" t="s">
        <v>113</v>
      </c>
      <c r="B222" t="s">
        <v>113</v>
      </c>
      <c r="C222" t="s">
        <v>414</v>
      </c>
    </row>
    <row r="223" spans="1:3">
      <c r="A223" t="s">
        <v>114</v>
      </c>
      <c r="B223" t="s">
        <v>114</v>
      </c>
      <c r="C223" t="s">
        <v>414</v>
      </c>
    </row>
    <row r="224" spans="1:3">
      <c r="A224" t="s">
        <v>102</v>
      </c>
      <c r="B224" t="s">
        <v>102</v>
      </c>
      <c r="C224" t="s">
        <v>414</v>
      </c>
    </row>
    <row r="225" spans="1:3">
      <c r="A225" t="s">
        <v>354</v>
      </c>
      <c r="B225" t="s">
        <v>85</v>
      </c>
      <c r="C225" t="s">
        <v>414</v>
      </c>
    </row>
    <row r="226" spans="1:3">
      <c r="A226" t="s">
        <v>355</v>
      </c>
      <c r="C226" t="s">
        <v>411</v>
      </c>
    </row>
    <row r="227" spans="1:3">
      <c r="A227" t="s">
        <v>107</v>
      </c>
      <c r="B227" t="s">
        <v>107</v>
      </c>
      <c r="C227" t="s">
        <v>414</v>
      </c>
    </row>
    <row r="228" spans="1:3">
      <c r="A228" t="s">
        <v>105</v>
      </c>
      <c r="B228" t="s">
        <v>105</v>
      </c>
      <c r="C228" t="s">
        <v>414</v>
      </c>
    </row>
    <row r="229" spans="1:3">
      <c r="A229" t="s">
        <v>106</v>
      </c>
      <c r="B229" t="s">
        <v>106</v>
      </c>
      <c r="C229" t="s">
        <v>414</v>
      </c>
    </row>
    <row r="230" spans="1:3">
      <c r="A230" t="s">
        <v>321</v>
      </c>
      <c r="C230" t="s">
        <v>411</v>
      </c>
    </row>
    <row r="231" spans="1:3">
      <c r="A231" t="s">
        <v>251</v>
      </c>
      <c r="B231" t="s">
        <v>72</v>
      </c>
      <c r="C231" t="s">
        <v>414</v>
      </c>
    </row>
    <row r="232" spans="1:3">
      <c r="A232" t="s">
        <v>252</v>
      </c>
      <c r="C232" t="s">
        <v>411</v>
      </c>
    </row>
    <row r="233" spans="1:3">
      <c r="A233" t="s">
        <v>384</v>
      </c>
      <c r="C233" t="s">
        <v>411</v>
      </c>
    </row>
    <row r="234" spans="1:3">
      <c r="A234" t="s">
        <v>74</v>
      </c>
      <c r="B234" t="s">
        <v>74</v>
      </c>
      <c r="C234" t="s">
        <v>414</v>
      </c>
    </row>
    <row r="235" spans="1:3">
      <c r="A235" t="s">
        <v>254</v>
      </c>
      <c r="B235" t="s">
        <v>75</v>
      </c>
      <c r="C235" t="s">
        <v>414</v>
      </c>
    </row>
    <row r="236" spans="1:3">
      <c r="A236" t="s">
        <v>303</v>
      </c>
      <c r="C236" t="s">
        <v>411</v>
      </c>
    </row>
    <row r="237" spans="1:3">
      <c r="A237" t="s">
        <v>448</v>
      </c>
      <c r="B237" t="s">
        <v>76</v>
      </c>
      <c r="C237" t="s">
        <v>414</v>
      </c>
    </row>
    <row r="238" spans="1:3">
      <c r="A238" t="s">
        <v>304</v>
      </c>
      <c r="C238" t="s">
        <v>411</v>
      </c>
    </row>
    <row r="239" spans="1:3">
      <c r="A239" t="s">
        <v>385</v>
      </c>
      <c r="C239" t="s">
        <v>411</v>
      </c>
    </row>
    <row r="240" spans="1:3">
      <c r="A240" t="s">
        <v>349</v>
      </c>
      <c r="C240" t="s">
        <v>411</v>
      </c>
    </row>
    <row r="241" spans="1:3">
      <c r="A241" t="s">
        <v>449</v>
      </c>
      <c r="C241" t="s">
        <v>411</v>
      </c>
    </row>
    <row r="242" spans="1:3">
      <c r="A242" t="s">
        <v>386</v>
      </c>
      <c r="C242" t="s">
        <v>411</v>
      </c>
    </row>
    <row r="243" spans="1:3">
      <c r="A243" t="s">
        <v>387</v>
      </c>
      <c r="C243" t="s">
        <v>411</v>
      </c>
    </row>
    <row r="244" spans="1:3">
      <c r="A244" t="s">
        <v>450</v>
      </c>
      <c r="C244" t="s">
        <v>411</v>
      </c>
    </row>
    <row r="245" spans="1:3">
      <c r="A245" t="s">
        <v>451</v>
      </c>
      <c r="C245" t="s">
        <v>411</v>
      </c>
    </row>
    <row r="246" spans="1:3">
      <c r="A246" t="s">
        <v>322</v>
      </c>
      <c r="C246" t="s">
        <v>411</v>
      </c>
    </row>
    <row r="247" spans="1:3">
      <c r="A247" t="s">
        <v>452</v>
      </c>
      <c r="C247" t="s">
        <v>411</v>
      </c>
    </row>
    <row r="248" spans="1:3">
      <c r="A248" t="s">
        <v>257</v>
      </c>
      <c r="C248" t="s">
        <v>411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43CAB-E29B-49EC-957F-7DB54D9061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PQ_Harian</vt:lpstr>
      <vt:lpstr>Juli2026</vt:lpstr>
      <vt:lpstr>Aug2026</vt:lpstr>
      <vt:lpstr>PQ_Aug</vt:lpstr>
      <vt:lpstr>LIS_Aug</vt:lpstr>
      <vt:lpstr>PQ_Juli</vt:lpstr>
      <vt:lpstr>LIS_Juli</vt:lpstr>
      <vt:lpstr>LIS_Histori</vt:lpstr>
      <vt:lpstr>Mapping_Test</vt:lpstr>
      <vt:lpstr>Mapping_Test (2)</vt:lpstr>
      <vt:lpstr>'Aug2026'!Print_Area</vt:lpstr>
      <vt:lpstr>Juli2026!Print_Area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Clinical Team KALGen Innolab</cp:lastModifiedBy>
  <cp:lastPrinted>2026-07-03T08:40:00Z</cp:lastPrinted>
  <dcterms:created xsi:type="dcterms:W3CDTF">2024-02-13T04:58:00Z</dcterms:created>
  <dcterms:modified xsi:type="dcterms:W3CDTF">2026-08-27T06:23:58Z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1CCAA889D10C4373B8F33CE6022AA1C9_12</vt:lpwstr>
  </property>
  <property fmtid="{D5CDD505-2E9C-101B-9397-08002B2CF9AE}" pid="3" name="KSOProductBuildVer">
    <vt:lpwstr>1033-12.2.0.21931</vt:lpwstr>
  </property>
</Properties>
</file>